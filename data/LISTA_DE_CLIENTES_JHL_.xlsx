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O DE VENTAS" sheetId="1" r:id="rId5"/>
    <sheet state="visible" name="DEUDORES" sheetId="2" r:id="rId6"/>
  </sheets>
  <definedNames/>
  <calcPr/>
</workbook>
</file>

<file path=xl/sharedStrings.xml><?xml version="1.0" encoding="utf-8"?>
<sst xmlns="http://schemas.openxmlformats.org/spreadsheetml/2006/main" count="8979" uniqueCount="2821">
  <si>
    <t>NOMBRE</t>
  </si>
  <si>
    <t>APELLIDO</t>
  </si>
  <si>
    <t>CELULAR</t>
  </si>
  <si>
    <t>SEDE</t>
  </si>
  <si>
    <t>SERVICIO</t>
  </si>
  <si>
    <t>CATEGORIA</t>
  </si>
  <si>
    <t>FECHA SEPARACION</t>
  </si>
  <si>
    <t>ADELANTO</t>
  </si>
  <si>
    <t>COMO SE ENTERO</t>
  </si>
  <si>
    <t>VENDEDOR</t>
  </si>
  <si>
    <t>CONSENTIMIENTO</t>
  </si>
  <si>
    <t>POR COBRAR</t>
  </si>
  <si>
    <t>MEDIO DE PAGO</t>
  </si>
  <si>
    <t xml:space="preserve">JAKELINE </t>
  </si>
  <si>
    <t>HERRAN</t>
  </si>
  <si>
    <t>CHINCHA</t>
  </si>
  <si>
    <t>HEAD SPA</t>
  </si>
  <si>
    <t>CAPILAR</t>
  </si>
  <si>
    <t>FACEBOOK</t>
  </si>
  <si>
    <t>KYHARA</t>
  </si>
  <si>
    <t>SI ACEPTO</t>
  </si>
  <si>
    <t>EFECTIVO</t>
  </si>
  <si>
    <t>LISSETE</t>
  </si>
  <si>
    <t xml:space="preserve">JOVANA </t>
  </si>
  <si>
    <t>HUASASQUICHE</t>
  </si>
  <si>
    <t xml:space="preserve">CHINCHA </t>
  </si>
  <si>
    <t>BALAYAGUE</t>
  </si>
  <si>
    <t>YAPE</t>
  </si>
  <si>
    <t>ESTHER</t>
  </si>
  <si>
    <t>ALVARES</t>
  </si>
  <si>
    <t>LIMA</t>
  </si>
  <si>
    <t>CABELLO</t>
  </si>
  <si>
    <t>TINTE</t>
  </si>
  <si>
    <t>CARMEN  LUISA</t>
  </si>
  <si>
    <t>FELIPA</t>
  </si>
  <si>
    <t>BOTOX</t>
  </si>
  <si>
    <t>FACIAL</t>
  </si>
  <si>
    <t xml:space="preserve">ANALYN </t>
  </si>
  <si>
    <t>RAMIREZ</t>
  </si>
  <si>
    <t>HIDROLIPOCLASIA</t>
  </si>
  <si>
    <t>CORPORAL</t>
  </si>
  <si>
    <t>BBVA</t>
  </si>
  <si>
    <t>MIGUEL</t>
  </si>
  <si>
    <t>CISNEROS</t>
  </si>
  <si>
    <t>VOLANTEO</t>
  </si>
  <si>
    <t>FERNANDA</t>
  </si>
  <si>
    <t>CAMPOS</t>
  </si>
  <si>
    <t xml:space="preserve">INSTAGRAM </t>
  </si>
  <si>
    <t>THALYA</t>
  </si>
  <si>
    <t>ROMAN</t>
  </si>
  <si>
    <t>MARIBEL</t>
  </si>
  <si>
    <t>PAREDES</t>
  </si>
  <si>
    <t>MASAJE CONTRACTURANTE</t>
  </si>
  <si>
    <t xml:space="preserve">LOIDA </t>
  </si>
  <si>
    <t>CHANGA</t>
  </si>
  <si>
    <t>DEPILACION LASER</t>
  </si>
  <si>
    <t xml:space="preserve">ARIANNE </t>
  </si>
  <si>
    <t>CAVA CARBAJAL</t>
  </si>
  <si>
    <t>VALERY</t>
  </si>
  <si>
    <t xml:space="preserve">PAREJA SARAVIA </t>
  </si>
  <si>
    <t>LIMPIEZA FACIAL</t>
  </si>
  <si>
    <t>TIKTOK</t>
  </si>
  <si>
    <t xml:space="preserve">JENIFER </t>
  </si>
  <si>
    <t>HACHAHUAMANCA</t>
  </si>
  <si>
    <t>MASAJE RELAJANTE</t>
  </si>
  <si>
    <t>CLIENTE ANTIGUO - REGULAR</t>
  </si>
  <si>
    <t xml:space="preserve">MIRIAM </t>
  </si>
  <si>
    <t xml:space="preserve">MOLINA </t>
  </si>
  <si>
    <t xml:space="preserve">DEPILACION </t>
  </si>
  <si>
    <t xml:space="preserve">MARIA </t>
  </si>
  <si>
    <t>EVALUACION JOHANA</t>
  </si>
  <si>
    <t xml:space="preserve">DRA DIANA </t>
  </si>
  <si>
    <t>CALDAS</t>
  </si>
  <si>
    <t>COWORKING</t>
  </si>
  <si>
    <t>PLAN INCIAL</t>
  </si>
  <si>
    <t>RECOMENDACIÓN BOCA A BOCA</t>
  </si>
  <si>
    <t>INTERBANK</t>
  </si>
  <si>
    <t xml:space="preserve">IRIS </t>
  </si>
  <si>
    <t>FERNANDEZ</t>
  </si>
  <si>
    <t xml:space="preserve">LUCIA </t>
  </si>
  <si>
    <t>AGUIRRE</t>
  </si>
  <si>
    <t>PLAN EXITO TOTAL</t>
  </si>
  <si>
    <t>BCP</t>
  </si>
  <si>
    <t>KAROLINE</t>
  </si>
  <si>
    <t>HERNANDEZ</t>
  </si>
  <si>
    <t>07/102025</t>
  </si>
  <si>
    <t>LUCIANA</t>
  </si>
  <si>
    <t>PARRA</t>
  </si>
  <si>
    <t xml:space="preserve">XIMENA </t>
  </si>
  <si>
    <t>YONG</t>
  </si>
  <si>
    <t>LUCIA</t>
  </si>
  <si>
    <t>PLIN</t>
  </si>
  <si>
    <t>MITCHELL</t>
  </si>
  <si>
    <t>CARBAJAL</t>
  </si>
  <si>
    <t xml:space="preserve">ROSMERY </t>
  </si>
  <si>
    <t>YATACO</t>
  </si>
  <si>
    <t xml:space="preserve">CYNTHYA </t>
  </si>
  <si>
    <t>HUIMAN</t>
  </si>
  <si>
    <t>ORLANDO</t>
  </si>
  <si>
    <t>PLAZA</t>
  </si>
  <si>
    <t xml:space="preserve">TATIANA </t>
  </si>
  <si>
    <t>MELENDEZ</t>
  </si>
  <si>
    <t>935 316 753</t>
  </si>
  <si>
    <t>VAYOLET</t>
  </si>
  <si>
    <t>PACHAS</t>
  </si>
  <si>
    <t>906 126 433</t>
  </si>
  <si>
    <t>RINOMODELACIÓN</t>
  </si>
  <si>
    <t>21/10/2025</t>
  </si>
  <si>
    <t>S/.50,00</t>
  </si>
  <si>
    <t>S/.500,00</t>
  </si>
  <si>
    <t>LIDIA</t>
  </si>
  <si>
    <t>ACHULLI</t>
  </si>
  <si>
    <t>967 446 659</t>
  </si>
  <si>
    <t xml:space="preserve">EVELYN </t>
  </si>
  <si>
    <t>940 396 452</t>
  </si>
  <si>
    <t>DEPOLACION BIKINI</t>
  </si>
  <si>
    <t>ROJAS</t>
  </si>
  <si>
    <t>955 024 229</t>
  </si>
  <si>
    <t>DEPILACION AXILAS</t>
  </si>
  <si>
    <t>ANA</t>
  </si>
  <si>
    <t>HUAMAN</t>
  </si>
  <si>
    <t>978 912 894</t>
  </si>
  <si>
    <t xml:space="preserve">KATHERINE </t>
  </si>
  <si>
    <t xml:space="preserve">MARAÑON </t>
  </si>
  <si>
    <t>968 561 876</t>
  </si>
  <si>
    <t xml:space="preserve"> FERNANDES</t>
  </si>
  <si>
    <t>952 260 643</t>
  </si>
  <si>
    <t>POS</t>
  </si>
  <si>
    <t>FATIMA DEL CARMEN</t>
  </si>
  <si>
    <t xml:space="preserve">LECCA </t>
  </si>
  <si>
    <t>986 738 770</t>
  </si>
  <si>
    <t>NAYELI</t>
  </si>
  <si>
    <t>ELIAS</t>
  </si>
  <si>
    <t>ARMONIZACIÓN F/C</t>
  </si>
  <si>
    <t>DEISY</t>
  </si>
  <si>
    <t>PAUCAR</t>
  </si>
  <si>
    <t>948 751 469</t>
  </si>
  <si>
    <t xml:space="preserve">KARLA </t>
  </si>
  <si>
    <t>CAPURRO</t>
  </si>
  <si>
    <t xml:space="preserve">RITA </t>
  </si>
  <si>
    <t>PANTOJA</t>
  </si>
  <si>
    <t>943 038 851</t>
  </si>
  <si>
    <t xml:space="preserve">DANNA </t>
  </si>
  <si>
    <t>TORRES</t>
  </si>
  <si>
    <t>936 026 266</t>
  </si>
  <si>
    <t>LIMPIEZA PREMIUM</t>
  </si>
  <si>
    <t>MARILYN</t>
  </si>
  <si>
    <t>MAMANI</t>
  </si>
  <si>
    <t>993 475 835</t>
  </si>
  <si>
    <t>ANELLE</t>
  </si>
  <si>
    <t>SAAVEDRA</t>
  </si>
  <si>
    <t>956 162 478</t>
  </si>
  <si>
    <t>VALIA</t>
  </si>
  <si>
    <t>ANCAYA</t>
  </si>
  <si>
    <t>947 327 216</t>
  </si>
  <si>
    <t xml:space="preserve">FERNANDO </t>
  </si>
  <si>
    <t>SIFUENTES</t>
  </si>
  <si>
    <t>DANIELA</t>
  </si>
  <si>
    <t>RODRIGUEZ</t>
  </si>
  <si>
    <t>955 702 875</t>
  </si>
  <si>
    <t xml:space="preserve">CARMEN </t>
  </si>
  <si>
    <t>PLASENCIA</t>
  </si>
  <si>
    <t>938 578 440</t>
  </si>
  <si>
    <t>KATY</t>
  </si>
  <si>
    <t xml:space="preserve">BAZAN </t>
  </si>
  <si>
    <t>946 444 814</t>
  </si>
  <si>
    <t>FLOR</t>
  </si>
  <si>
    <t>SALAZAR</t>
  </si>
  <si>
    <t>RAUL</t>
  </si>
  <si>
    <t>DE LA CRUZ</t>
  </si>
  <si>
    <t xml:space="preserve"> 949 443 156</t>
  </si>
  <si>
    <t>JEAN PIERRE</t>
  </si>
  <si>
    <t>HUAYAMARES</t>
  </si>
  <si>
    <t>985 488 092</t>
  </si>
  <si>
    <t xml:space="preserve">EVA </t>
  </si>
  <si>
    <t>MERCEDES</t>
  </si>
  <si>
    <t xml:space="preserve">ROSALIA </t>
  </si>
  <si>
    <t>CASTRO</t>
  </si>
  <si>
    <t xml:space="preserve">ROCIO </t>
  </si>
  <si>
    <t>PORCEL</t>
  </si>
  <si>
    <t>WSP</t>
  </si>
  <si>
    <t xml:space="preserve">MIA </t>
  </si>
  <si>
    <t>GAVIRIA</t>
  </si>
  <si>
    <t>RECOMENDACION DE INFLUENCER</t>
  </si>
  <si>
    <t>MARIA  ANTONIA</t>
  </si>
  <si>
    <t xml:space="preserve">ZANABRIA </t>
  </si>
  <si>
    <t>944 317 161</t>
  </si>
  <si>
    <t>KATHERIN</t>
  </si>
  <si>
    <t>MAIZONDO</t>
  </si>
  <si>
    <t>969 740 224</t>
  </si>
  <si>
    <t xml:space="preserve">Alondra </t>
  </si>
  <si>
    <t>TASAYCO</t>
  </si>
  <si>
    <t>994 004 366</t>
  </si>
  <si>
    <t>GERALDYN</t>
  </si>
  <si>
    <t>ALDAZAR</t>
  </si>
  <si>
    <t>AUMENTO DE LABIOS</t>
  </si>
  <si>
    <t>ZAIDA</t>
  </si>
  <si>
    <t>BACA</t>
  </si>
  <si>
    <t>wsp</t>
  </si>
  <si>
    <t>EFECTIVO Y YAPE</t>
  </si>
  <si>
    <t>YESENIA</t>
  </si>
  <si>
    <t>VILCHEZ</t>
  </si>
  <si>
    <t xml:space="preserve">PERLA </t>
  </si>
  <si>
    <t xml:space="preserve">LEONELA </t>
  </si>
  <si>
    <t>LEVANO</t>
  </si>
  <si>
    <t>MILAGROS</t>
  </si>
  <si>
    <t>ARLET</t>
  </si>
  <si>
    <t>NAJAR</t>
  </si>
  <si>
    <t xml:space="preserve">MILUSKA </t>
  </si>
  <si>
    <t>FLORES</t>
  </si>
  <si>
    <t>ELIMINACION TATUAJE</t>
  </si>
  <si>
    <t>BAÑO DE COLOR</t>
  </si>
  <si>
    <t>ENZIMAS LIOFILIZADAS</t>
  </si>
  <si>
    <t xml:space="preserve">LUIS </t>
  </si>
  <si>
    <t>MUNAYCO</t>
  </si>
  <si>
    <t>GIANELLA</t>
  </si>
  <si>
    <t>MARIA</t>
  </si>
  <si>
    <t>ROSSI</t>
  </si>
  <si>
    <t xml:space="preserve">MADELINE </t>
  </si>
  <si>
    <t>ORE</t>
  </si>
  <si>
    <t>VANESSA</t>
  </si>
  <si>
    <t xml:space="preserve">ENZIMAS ESPAÑOLAS </t>
  </si>
  <si>
    <t>POWER PAY</t>
  </si>
  <si>
    <t>AIDA</t>
  </si>
  <si>
    <t xml:space="preserve">BARRIONUEVO </t>
  </si>
  <si>
    <t>922 158 766</t>
  </si>
  <si>
    <t>INKA MASAJE</t>
  </si>
  <si>
    <t>MINO</t>
  </si>
  <si>
    <t>OLGA</t>
  </si>
  <si>
    <t>GARCIA</t>
  </si>
  <si>
    <t>955 487 851</t>
  </si>
  <si>
    <t>CONSULTA</t>
  </si>
  <si>
    <t>SAHORI</t>
  </si>
  <si>
    <t>ALVAREZ</t>
  </si>
  <si>
    <t>907 451 157</t>
  </si>
  <si>
    <t xml:space="preserve">CAROLA </t>
  </si>
  <si>
    <t>CORNEJO</t>
  </si>
  <si>
    <t>FIORELA</t>
  </si>
  <si>
    <t>SOLIS</t>
  </si>
  <si>
    <t>SCOTIABANK</t>
  </si>
  <si>
    <t xml:space="preserve">INGRID </t>
  </si>
  <si>
    <t>DAGNINO</t>
  </si>
  <si>
    <t>ANA VERONICA</t>
  </si>
  <si>
    <t xml:space="preserve">MENDIETA </t>
  </si>
  <si>
    <t>987 818 121</t>
  </si>
  <si>
    <t>MARIA ELENA</t>
  </si>
  <si>
    <t>QUECAÑO</t>
  </si>
  <si>
    <t>MARIA FERNANDA</t>
  </si>
  <si>
    <t xml:space="preserve">MILAGROS </t>
  </si>
  <si>
    <t xml:space="preserve">CARDENAS </t>
  </si>
  <si>
    <t xml:space="preserve">PiNK INTIMATE </t>
  </si>
  <si>
    <t xml:space="preserve">SANDRA </t>
  </si>
  <si>
    <t xml:space="preserve">MARIN </t>
  </si>
  <si>
    <t xml:space="preserve">YANELLA </t>
  </si>
  <si>
    <t>IPARRAGUIRRE</t>
  </si>
  <si>
    <t>MEDALITH</t>
  </si>
  <si>
    <t>FABIANA</t>
  </si>
  <si>
    <t>PALOMINO</t>
  </si>
  <si>
    <t xml:space="preserve">HOLLYWOOD PEEL </t>
  </si>
  <si>
    <t>CARRILLO</t>
  </si>
  <si>
    <t xml:space="preserve">PACK CEJAS </t>
  </si>
  <si>
    <t xml:space="preserve">KAROLINE </t>
  </si>
  <si>
    <t xml:space="preserve">PINK INTIMATE </t>
  </si>
  <si>
    <t xml:space="preserve">ANDREA </t>
  </si>
  <si>
    <t>JAUREGUI</t>
  </si>
  <si>
    <t>923 089 402</t>
  </si>
  <si>
    <t>CIRCUITO REDUCTOR</t>
  </si>
  <si>
    <t xml:space="preserve">ANTONELLA </t>
  </si>
  <si>
    <t>GERONIMO</t>
  </si>
  <si>
    <t>981 265 749</t>
  </si>
  <si>
    <t xml:space="preserve">CUYA </t>
  </si>
  <si>
    <t>TATIANA</t>
  </si>
  <si>
    <t>FALCONE</t>
  </si>
  <si>
    <t>INÉS</t>
  </si>
  <si>
    <t>MANSILLA</t>
  </si>
  <si>
    <t xml:space="preserve">ERIKA </t>
  </si>
  <si>
    <t>SANTANA</t>
  </si>
  <si>
    <t>DAYANA</t>
  </si>
  <si>
    <t>DIAZ</t>
  </si>
  <si>
    <t>ANGIE</t>
  </si>
  <si>
    <t xml:space="preserve">DE LA CRUZ </t>
  </si>
  <si>
    <t xml:space="preserve">JESSICA </t>
  </si>
  <si>
    <t>SALVATIERRA</t>
  </si>
  <si>
    <t xml:space="preserve">LIABEL </t>
  </si>
  <si>
    <t xml:space="preserve">FLORES </t>
  </si>
  <si>
    <t xml:space="preserve">NORMA </t>
  </si>
  <si>
    <t>PÉREZ</t>
  </si>
  <si>
    <t>JESSICA</t>
  </si>
  <si>
    <t>BENDEZU</t>
  </si>
  <si>
    <t>EXOSOMAS</t>
  </si>
  <si>
    <t>YANELLA</t>
  </si>
  <si>
    <t>ARAUJO</t>
  </si>
  <si>
    <t>ALEXANDRA</t>
  </si>
  <si>
    <t>VERÁSTEGUI</t>
  </si>
  <si>
    <t>998 993 237</t>
  </si>
  <si>
    <t xml:space="preserve">IRANÍ </t>
  </si>
  <si>
    <t>GALVEZ</t>
  </si>
  <si>
    <t>HELEN</t>
  </si>
  <si>
    <t>LOLI</t>
  </si>
  <si>
    <t>924 881 528</t>
  </si>
  <si>
    <t>YIANELI</t>
  </si>
  <si>
    <t>POICON</t>
  </si>
  <si>
    <t>PROBLEMATICO</t>
  </si>
  <si>
    <t>SAHORY</t>
  </si>
  <si>
    <t xml:space="preserve">KAREN </t>
  </si>
  <si>
    <t>QUISPE</t>
  </si>
  <si>
    <t>912 983 723</t>
  </si>
  <si>
    <t>CEPILLADO</t>
  </si>
  <si>
    <t xml:space="preserve">SORAYA </t>
  </si>
  <si>
    <t>ACUÑA</t>
  </si>
  <si>
    <t>JULISSA</t>
  </si>
  <si>
    <t>MONTALVAN</t>
  </si>
  <si>
    <t xml:space="preserve">FRITZA </t>
  </si>
  <si>
    <t>CEREZO</t>
  </si>
  <si>
    <t xml:space="preserve">PATRICIA </t>
  </si>
  <si>
    <t>KOSA</t>
  </si>
  <si>
    <t>926 646 214</t>
  </si>
  <si>
    <t>BOTOX Y NUCLEOFILL</t>
  </si>
  <si>
    <t>PEPTONAS</t>
  </si>
  <si>
    <t>UGARTE</t>
  </si>
  <si>
    <t xml:space="preserve">MAYRA </t>
  </si>
  <si>
    <t>DAVALOS</t>
  </si>
  <si>
    <t>JUANA</t>
  </si>
  <si>
    <t>CHERO</t>
  </si>
  <si>
    <t>APOLINARIO Y SU AMIGO</t>
  </si>
  <si>
    <t>988 579 090</t>
  </si>
  <si>
    <t>EMERI</t>
  </si>
  <si>
    <t>CASTILLANO</t>
  </si>
  <si>
    <t>912 815 385</t>
  </si>
  <si>
    <t xml:space="preserve">FRANCISCA </t>
  </si>
  <si>
    <t>HIDROBO</t>
  </si>
  <si>
    <t>981 549 460</t>
  </si>
  <si>
    <t>MASAJES DESCONTRUCTURANTE</t>
  </si>
  <si>
    <t>Takuya</t>
  </si>
  <si>
    <t xml:space="preserve">Katayama </t>
  </si>
  <si>
    <t>953 238 736</t>
  </si>
  <si>
    <t>CAMILA</t>
  </si>
  <si>
    <t>CAMACHO</t>
  </si>
  <si>
    <t>943 910 489</t>
  </si>
  <si>
    <t>HEAD SPA THERAPY</t>
  </si>
  <si>
    <t>ERICKA</t>
  </si>
  <si>
    <t>CALLE</t>
  </si>
  <si>
    <t>ELVITA</t>
  </si>
  <si>
    <t>MEDINA</t>
  </si>
  <si>
    <t>MORPHEUS 8</t>
  </si>
  <si>
    <t>VALERIE</t>
  </si>
  <si>
    <t>SOLORZANO</t>
  </si>
  <si>
    <t>955 345 914</t>
  </si>
  <si>
    <t xml:space="preserve">ALEXANDER </t>
  </si>
  <si>
    <t>PEREZ</t>
  </si>
  <si>
    <t>993 262 506</t>
  </si>
  <si>
    <t>MAYLI</t>
  </si>
  <si>
    <t>JURADO</t>
  </si>
  <si>
    <t>930 197 145</t>
  </si>
  <si>
    <t>VERONICA</t>
  </si>
  <si>
    <t>ALCAZAR</t>
  </si>
  <si>
    <t>927 993 046</t>
  </si>
  <si>
    <t>TIRADO</t>
  </si>
  <si>
    <t>995 590 345</t>
  </si>
  <si>
    <t xml:space="preserve">FRANCIS </t>
  </si>
  <si>
    <t>992 473 150</t>
  </si>
  <si>
    <t>DEYSI</t>
  </si>
  <si>
    <t>ALFARO</t>
  </si>
  <si>
    <t>CHRISLAINE</t>
  </si>
  <si>
    <t>MARTINEZ</t>
  </si>
  <si>
    <t xml:space="preserve">MASSIEL </t>
  </si>
  <si>
    <t>ENZIMAS RECOMBINANTES</t>
  </si>
  <si>
    <t xml:space="preserve">EMERI </t>
  </si>
  <si>
    <t>CASTILLON</t>
  </si>
  <si>
    <t>MARIANA</t>
  </si>
  <si>
    <t>MARQUEZ</t>
  </si>
  <si>
    <t xml:space="preserve">LADY </t>
  </si>
  <si>
    <t>LEGUA</t>
  </si>
  <si>
    <t xml:space="preserve">GLADYS </t>
  </si>
  <si>
    <t>FELIX</t>
  </si>
  <si>
    <t>ARACELI</t>
  </si>
  <si>
    <t>MARALLANO</t>
  </si>
  <si>
    <t>MARGIORIE</t>
  </si>
  <si>
    <t>JUAN</t>
  </si>
  <si>
    <t>CASTILLO</t>
  </si>
  <si>
    <t xml:space="preserve">LUPE </t>
  </si>
  <si>
    <t>TAIPE</t>
  </si>
  <si>
    <t>966 457 703</t>
  </si>
  <si>
    <t>PLASMA RICO EN PLAQUETAS</t>
  </si>
  <si>
    <t>LELSI</t>
  </si>
  <si>
    <t>262.5</t>
  </si>
  <si>
    <t>PAMELA</t>
  </si>
  <si>
    <t>SANCHEZ</t>
  </si>
  <si>
    <t>GIAN CARLOS</t>
  </si>
  <si>
    <t>ALMEYDA</t>
  </si>
  <si>
    <t>POST OPERATORIO</t>
  </si>
  <si>
    <t>CULLANCO</t>
  </si>
  <si>
    <t>LIFTING DE PESTAÑAS</t>
  </si>
  <si>
    <t>YESSICA</t>
  </si>
  <si>
    <t xml:space="preserve">DENIS </t>
  </si>
  <si>
    <t>CHACALTANA</t>
  </si>
  <si>
    <t>CYNTHIA</t>
  </si>
  <si>
    <t>BAUTISTA</t>
  </si>
  <si>
    <t>SHESYRA</t>
  </si>
  <si>
    <t>TATAJE</t>
  </si>
  <si>
    <t>YADIRA</t>
  </si>
  <si>
    <t>PAYANO</t>
  </si>
  <si>
    <t>KRISTEL</t>
  </si>
  <si>
    <t>CARHUAPUMA</t>
  </si>
  <si>
    <t xml:space="preserve">NANCY </t>
  </si>
  <si>
    <t>ANTEZANA</t>
  </si>
  <si>
    <t>T.ANTICELULITIS</t>
  </si>
  <si>
    <t>CASTILON</t>
  </si>
  <si>
    <t xml:space="preserve">VANIA </t>
  </si>
  <si>
    <t>GUIPE</t>
  </si>
  <si>
    <t>930 579 911</t>
  </si>
  <si>
    <t>MENDOZA</t>
  </si>
  <si>
    <t xml:space="preserve">NAIDA </t>
  </si>
  <si>
    <t>ALBINO</t>
  </si>
  <si>
    <t xml:space="preserve">YOLANDA </t>
  </si>
  <si>
    <t>CANCHARI</t>
  </si>
  <si>
    <t>WS</t>
  </si>
  <si>
    <t xml:space="preserve">GIOVANA </t>
  </si>
  <si>
    <t>VALENZUELA</t>
  </si>
  <si>
    <t>SEBASTIAN</t>
  </si>
  <si>
    <t>RUDY</t>
  </si>
  <si>
    <t>GERMAN</t>
  </si>
  <si>
    <t>VELAZCO</t>
  </si>
  <si>
    <t>CONSUELO</t>
  </si>
  <si>
    <t>JUAREZ</t>
  </si>
  <si>
    <t>CCENTE</t>
  </si>
  <si>
    <t>LACEADO</t>
  </si>
  <si>
    <t>JULIANA</t>
  </si>
  <si>
    <t>DEL RIO</t>
  </si>
  <si>
    <t>ELIZABETH</t>
  </si>
  <si>
    <t>VITAMINA ENDOVENOSA</t>
  </si>
  <si>
    <t>RUPERT</t>
  </si>
  <si>
    <t>EVEREST</t>
  </si>
  <si>
    <t>ALDO</t>
  </si>
  <si>
    <t>GRIMALDO</t>
  </si>
  <si>
    <t>FRAMI</t>
  </si>
  <si>
    <t>TRENEMAN</t>
  </si>
  <si>
    <t>SEÑORA</t>
  </si>
  <si>
    <t>FALCONI</t>
  </si>
  <si>
    <t>-</t>
  </si>
  <si>
    <t>NUCLEOFILL STRONG</t>
  </si>
  <si>
    <t>DIEGO</t>
  </si>
  <si>
    <t>SANTOS</t>
  </si>
  <si>
    <t>CAUTERIZACION LUNAR - FRIBROBLAST</t>
  </si>
  <si>
    <t>YAMPIERE</t>
  </si>
  <si>
    <t xml:space="preserve">PILAR </t>
  </si>
  <si>
    <t>ELVIS</t>
  </si>
  <si>
    <t>NOLASCO</t>
  </si>
  <si>
    <t>CARLOS</t>
  </si>
  <si>
    <t xml:space="preserve">BRIGITH </t>
  </si>
  <si>
    <t>LILA</t>
  </si>
  <si>
    <t>GUILLEN</t>
  </si>
  <si>
    <t>MAFER</t>
  </si>
  <si>
    <t>CARRASCAL</t>
  </si>
  <si>
    <t xml:space="preserve">ESTHER </t>
  </si>
  <si>
    <t>XIOMARA</t>
  </si>
  <si>
    <t>ALVARADO</t>
  </si>
  <si>
    <t xml:space="preserve">LUISA </t>
  </si>
  <si>
    <t>TANIA</t>
  </si>
  <si>
    <t>HIDRALIPS</t>
  </si>
  <si>
    <t>PACK MIRADA CEJA Y LIFTING</t>
  </si>
  <si>
    <t>MARISELA</t>
  </si>
  <si>
    <t>CARRANZA</t>
  </si>
  <si>
    <t>942 396 165</t>
  </si>
  <si>
    <t xml:space="preserve">MARISELA </t>
  </si>
  <si>
    <t>943 396 165</t>
  </si>
  <si>
    <t>TAYPE</t>
  </si>
  <si>
    <t xml:space="preserve">DEYANIRA </t>
  </si>
  <si>
    <t>RAMOS</t>
  </si>
  <si>
    <t>CLAUDIA</t>
  </si>
  <si>
    <t xml:space="preserve">LUCY </t>
  </si>
  <si>
    <t>ECATHERINE</t>
  </si>
  <si>
    <t>ROMANI</t>
  </si>
  <si>
    <t xml:space="preserve">WEDNY </t>
  </si>
  <si>
    <t>CAJUSOL</t>
  </si>
  <si>
    <t>ANNA</t>
  </si>
  <si>
    <t>REBASA</t>
  </si>
  <si>
    <t>JIMENEZ</t>
  </si>
  <si>
    <t>VERA</t>
  </si>
  <si>
    <t>MARYORITH</t>
  </si>
  <si>
    <t>INKA MASAJES</t>
  </si>
  <si>
    <t xml:space="preserve">GIANINA </t>
  </si>
  <si>
    <t>OLMOS</t>
  </si>
  <si>
    <t>ASTRID</t>
  </si>
  <si>
    <t>CONISLLA</t>
  </si>
  <si>
    <t>AISSA</t>
  </si>
  <si>
    <t>JUDIT</t>
  </si>
  <si>
    <t>BEL</t>
  </si>
  <si>
    <t xml:space="preserve">YAPE Y PLIN </t>
  </si>
  <si>
    <t>FERGIE</t>
  </si>
  <si>
    <t>HERRERA</t>
  </si>
  <si>
    <t>943 032 490</t>
  </si>
  <si>
    <t xml:space="preserve">VEDDY </t>
  </si>
  <si>
    <t>LUZ</t>
  </si>
  <si>
    <t xml:space="preserve">ANNA </t>
  </si>
  <si>
    <t>(+1 (520) 404-2253</t>
  </si>
  <si>
    <t>FRANCIS</t>
  </si>
  <si>
    <t>PORTALES</t>
  </si>
  <si>
    <t>FIGUEROA</t>
  </si>
  <si>
    <t>LAURA</t>
  </si>
  <si>
    <t>CAMINANDO POR LOCAL</t>
  </si>
  <si>
    <t xml:space="preserve">LYN </t>
  </si>
  <si>
    <t>VILLAFUERTE</t>
  </si>
  <si>
    <t xml:space="preserve">VICTOR </t>
  </si>
  <si>
    <t>MAYTA</t>
  </si>
  <si>
    <t xml:space="preserve">CLAUDIA </t>
  </si>
  <si>
    <t>TALLA</t>
  </si>
  <si>
    <t>DRENA</t>
  </si>
  <si>
    <t>ORMEÑO</t>
  </si>
  <si>
    <t>MARYORI</t>
  </si>
  <si>
    <t>CORDOVA</t>
  </si>
  <si>
    <t>LISETH</t>
  </si>
  <si>
    <t>TRILLO</t>
  </si>
  <si>
    <t>CRISTEL</t>
  </si>
  <si>
    <t>LESLI</t>
  </si>
  <si>
    <t>LUANA</t>
  </si>
  <si>
    <t>GILVANA</t>
  </si>
  <si>
    <t>MUNIZ</t>
  </si>
  <si>
    <t>KATYA</t>
  </si>
  <si>
    <t>SUMIKO</t>
  </si>
  <si>
    <t>SOFIA</t>
  </si>
  <si>
    <t>BRENNER</t>
  </si>
  <si>
    <t>CINTHYA</t>
  </si>
  <si>
    <t>SALVADOR</t>
  </si>
  <si>
    <t xml:space="preserve">JASMIN </t>
  </si>
  <si>
    <t>ROCHA</t>
  </si>
  <si>
    <t>GRETA</t>
  </si>
  <si>
    <t xml:space="preserve">ELSIE </t>
  </si>
  <si>
    <t>APOLAYA</t>
  </si>
  <si>
    <t>ANNABELLE</t>
  </si>
  <si>
    <t>MONSERRATE</t>
  </si>
  <si>
    <t>LORENA</t>
  </si>
  <si>
    <t xml:space="preserve">ZAIDA </t>
  </si>
  <si>
    <t xml:space="preserve">NICOLE </t>
  </si>
  <si>
    <t>YUPANQUI</t>
  </si>
  <si>
    <t>VALERIA</t>
  </si>
  <si>
    <t>ATSIRE</t>
  </si>
  <si>
    <t>TINEO</t>
  </si>
  <si>
    <t xml:space="preserve">MIGUEL </t>
  </si>
  <si>
    <t>139.5</t>
  </si>
  <si>
    <t>KASSANDRA</t>
  </si>
  <si>
    <t>934 614 996</t>
  </si>
  <si>
    <t>DIANA</t>
  </si>
  <si>
    <t>BARRIENTOS</t>
  </si>
  <si>
    <t>JHOSTIN</t>
  </si>
  <si>
    <t>YSABEL</t>
  </si>
  <si>
    <t>JACOBO</t>
  </si>
  <si>
    <t>SALAS</t>
  </si>
  <si>
    <t xml:space="preserve">GLORIA </t>
  </si>
  <si>
    <t>OCHOA</t>
  </si>
  <si>
    <t>LEYDI</t>
  </si>
  <si>
    <t>SARAVIA</t>
  </si>
  <si>
    <t>GABRIEL</t>
  </si>
  <si>
    <t>MANRIQUE</t>
  </si>
  <si>
    <t>CUETO</t>
  </si>
  <si>
    <t>AYASTA</t>
  </si>
  <si>
    <t>YANET</t>
  </si>
  <si>
    <t>SOLDEVILLA</t>
  </si>
  <si>
    <t>BELLISSA</t>
  </si>
  <si>
    <t>PANDO</t>
  </si>
  <si>
    <t>BELISSA</t>
  </si>
  <si>
    <t>DIATERMIA PRO</t>
  </si>
  <si>
    <t>ISABEL</t>
  </si>
  <si>
    <t>BONIFACIO</t>
  </si>
  <si>
    <t>MATOS</t>
  </si>
  <si>
    <t>LOZADA</t>
  </si>
  <si>
    <t xml:space="preserve">PACHAS </t>
  </si>
  <si>
    <t xml:space="preserve">CRYSTEL </t>
  </si>
  <si>
    <t>OLIVARES</t>
  </si>
  <si>
    <t>HECTOR</t>
  </si>
  <si>
    <t>URTEAGA</t>
  </si>
  <si>
    <t>CIELO</t>
  </si>
  <si>
    <t xml:space="preserve">PAULET </t>
  </si>
  <si>
    <t>NUÑEZ</t>
  </si>
  <si>
    <t xml:space="preserve">BRENDA </t>
  </si>
  <si>
    <t xml:space="preserve">ROBLES </t>
  </si>
  <si>
    <t>BARRY</t>
  </si>
  <si>
    <t>BENET</t>
  </si>
  <si>
    <t>CABALLERO</t>
  </si>
  <si>
    <t xml:space="preserve">ANA </t>
  </si>
  <si>
    <t>LOPEZ</t>
  </si>
  <si>
    <t>VANESA</t>
  </si>
  <si>
    <t>SCARLET</t>
  </si>
  <si>
    <t>PONCE</t>
  </si>
  <si>
    <t>MORAN</t>
  </si>
  <si>
    <t>DARIANA</t>
  </si>
  <si>
    <t>CELESTE</t>
  </si>
  <si>
    <t>YANINA</t>
  </si>
  <si>
    <t xml:space="preserve">ANTONIA </t>
  </si>
  <si>
    <t>CRIS</t>
  </si>
  <si>
    <t>MEJIA</t>
  </si>
  <si>
    <t>ENERO</t>
  </si>
  <si>
    <t xml:space="preserve">SOFÍA </t>
  </si>
  <si>
    <t xml:space="preserve">ARELIS </t>
  </si>
  <si>
    <t>CARMEN</t>
  </si>
  <si>
    <t>CALDERON</t>
  </si>
  <si>
    <t xml:space="preserve">DAYELI </t>
  </si>
  <si>
    <t>NAVARRO</t>
  </si>
  <si>
    <t>EVELYN</t>
  </si>
  <si>
    <t>SERNA</t>
  </si>
  <si>
    <t>DARA</t>
  </si>
  <si>
    <t>MAGDIEL</t>
  </si>
  <si>
    <t>BENNER</t>
  </si>
  <si>
    <t>IRANI</t>
  </si>
  <si>
    <t>MIRIAM</t>
  </si>
  <si>
    <t>CUSIHUAMAN</t>
  </si>
  <si>
    <t>LIONEL</t>
  </si>
  <si>
    <t>SERRANO</t>
  </si>
  <si>
    <t>POS Y YAPE</t>
  </si>
  <si>
    <t>LOZANO</t>
  </si>
  <si>
    <t xml:space="preserve">INTAGRAM Y TIK TOK </t>
  </si>
  <si>
    <t>CAJA</t>
  </si>
  <si>
    <t xml:space="preserve">SUSANA </t>
  </si>
  <si>
    <t>ATUNCAR</t>
  </si>
  <si>
    <t>BRILLIT</t>
  </si>
  <si>
    <t>CUADROS</t>
  </si>
  <si>
    <t>ANABELE</t>
  </si>
  <si>
    <t>CAROLINA</t>
  </si>
  <si>
    <t>BECERRA</t>
  </si>
  <si>
    <t xml:space="preserve">CRISTIAN </t>
  </si>
  <si>
    <t>INGRID</t>
  </si>
  <si>
    <t>FIORELLA</t>
  </si>
  <si>
    <t>ROCCA</t>
  </si>
  <si>
    <t>LUIS</t>
  </si>
  <si>
    <t>VASQUEZ</t>
  </si>
  <si>
    <t>KASANDRA</t>
  </si>
  <si>
    <t>JOSE</t>
  </si>
  <si>
    <t>MARICARMEN</t>
  </si>
  <si>
    <t>GONZALES</t>
  </si>
  <si>
    <t>NIDIA</t>
  </si>
  <si>
    <t>HUARCAYA</t>
  </si>
  <si>
    <t>PERCY</t>
  </si>
  <si>
    <t>QUINTANILLA</t>
  </si>
  <si>
    <t>YAHAIRA</t>
  </si>
  <si>
    <t>GUTIERREZ</t>
  </si>
  <si>
    <t>TERESA</t>
  </si>
  <si>
    <t>ISABELA</t>
  </si>
  <si>
    <t xml:space="preserve">CINTHIA </t>
  </si>
  <si>
    <t>MARLENE</t>
  </si>
  <si>
    <t xml:space="preserve">RECUBRIMIENTO CANAS </t>
  </si>
  <si>
    <t xml:space="preserve">SOFIA </t>
  </si>
  <si>
    <t>CHUMPITAZ</t>
  </si>
  <si>
    <t>MELANIE</t>
  </si>
  <si>
    <t>ACHIRAICO</t>
  </si>
  <si>
    <t>ZAMBRANO</t>
  </si>
  <si>
    <t xml:space="preserve">DEYBI </t>
  </si>
  <si>
    <t>MAYERLY</t>
  </si>
  <si>
    <t>LOURDES</t>
  </si>
  <si>
    <t>SOLARI</t>
  </si>
  <si>
    <t xml:space="preserve">KAMILA </t>
  </si>
  <si>
    <t>PEÑA</t>
  </si>
  <si>
    <t xml:space="preserve">ELSA </t>
  </si>
  <si>
    <t>MILUSKA</t>
  </si>
  <si>
    <t>MOYA</t>
  </si>
  <si>
    <t>MARJORIE</t>
  </si>
  <si>
    <t>MANTILLA</t>
  </si>
  <si>
    <t xml:space="preserve">JOSE </t>
  </si>
  <si>
    <t>GISEL</t>
  </si>
  <si>
    <t>ANALYN</t>
  </si>
  <si>
    <t xml:space="preserve">ROJAS </t>
  </si>
  <si>
    <t>DREYSSI</t>
  </si>
  <si>
    <t>SALVATIERA</t>
  </si>
  <si>
    <t>ANELE</t>
  </si>
  <si>
    <t>PACCO</t>
  </si>
  <si>
    <t xml:space="preserve">LIDIA </t>
  </si>
  <si>
    <t>GUERRERO</t>
  </si>
  <si>
    <t xml:space="preserve">VIANKA </t>
  </si>
  <si>
    <t xml:space="preserve">SOLANGE </t>
  </si>
  <si>
    <t>HEIDY</t>
  </si>
  <si>
    <t>MANZANEDO</t>
  </si>
  <si>
    <t>GRACE</t>
  </si>
  <si>
    <t>ZAVALETA</t>
  </si>
  <si>
    <t>LIZET</t>
  </si>
  <si>
    <t>SOTO</t>
  </si>
  <si>
    <t>CINDY</t>
  </si>
  <si>
    <t>TIPIANI</t>
  </si>
  <si>
    <t>NORMITA</t>
  </si>
  <si>
    <t xml:space="preserve">ANABEL </t>
  </si>
  <si>
    <t>GUERRA</t>
  </si>
  <si>
    <t>ASLEY</t>
  </si>
  <si>
    <t>BENITES</t>
  </si>
  <si>
    <t>VILLEGAS</t>
  </si>
  <si>
    <t>NADIME</t>
  </si>
  <si>
    <t>PAOLA</t>
  </si>
  <si>
    <t>FRANCO</t>
  </si>
  <si>
    <t>MANCCO</t>
  </si>
  <si>
    <t>ARIAS</t>
  </si>
  <si>
    <t>STEPHANIE</t>
  </si>
  <si>
    <t>HOPKINS</t>
  </si>
  <si>
    <t>ACTIVACION</t>
  </si>
  <si>
    <t>SILVIA</t>
  </si>
  <si>
    <t>RUTH</t>
  </si>
  <si>
    <t>MARY</t>
  </si>
  <si>
    <t>ADRIANA</t>
  </si>
  <si>
    <t>IRIGON</t>
  </si>
  <si>
    <t>REBECA</t>
  </si>
  <si>
    <t>RAMON</t>
  </si>
  <si>
    <t xml:space="preserve">NOELIA </t>
  </si>
  <si>
    <t>HUAMANI</t>
  </si>
  <si>
    <t>MAYERLI</t>
  </si>
  <si>
    <t>ZAYUMI</t>
  </si>
  <si>
    <t>GERALDINE</t>
  </si>
  <si>
    <t>RECOBA</t>
  </si>
  <si>
    <t>NATHALY</t>
  </si>
  <si>
    <t xml:space="preserve">MAGALLANES </t>
  </si>
  <si>
    <t xml:space="preserve">NICOL </t>
  </si>
  <si>
    <t xml:space="preserve">JORGE </t>
  </si>
  <si>
    <t>HERENCIA</t>
  </si>
  <si>
    <t>LISET</t>
  </si>
  <si>
    <t>CHARLY</t>
  </si>
  <si>
    <t xml:space="preserve">VARGAS </t>
  </si>
  <si>
    <t xml:space="preserve">CARLOS </t>
  </si>
  <si>
    <t>ALEXIA</t>
  </si>
  <si>
    <t>CASTILLA</t>
  </si>
  <si>
    <t xml:space="preserve">MARLENE </t>
  </si>
  <si>
    <t>CHICO</t>
  </si>
  <si>
    <t>ARM. ACIDO HIALURONICO</t>
  </si>
  <si>
    <t>TALIA</t>
  </si>
  <si>
    <t>CABRERA</t>
  </si>
  <si>
    <t>ARCOS</t>
  </si>
  <si>
    <t>LIZ</t>
  </si>
  <si>
    <t>VILLA</t>
  </si>
  <si>
    <t xml:space="preserve">VERONICA </t>
  </si>
  <si>
    <t>ATALA</t>
  </si>
  <si>
    <t xml:space="preserve">DIANA </t>
  </si>
  <si>
    <t>MINERVA</t>
  </si>
  <si>
    <t>MENESES</t>
  </si>
  <si>
    <t>MARLENI</t>
  </si>
  <si>
    <t>MOREYRA</t>
  </si>
  <si>
    <t>MARVIN</t>
  </si>
  <si>
    <t>BELLIDO</t>
  </si>
  <si>
    <t xml:space="preserve">EDITH </t>
  </si>
  <si>
    <t xml:space="preserve">LAURA </t>
  </si>
  <si>
    <t>AVALOS</t>
  </si>
  <si>
    <t>LUISA</t>
  </si>
  <si>
    <t>ANAMPA</t>
  </si>
  <si>
    <t>CRISTINA</t>
  </si>
  <si>
    <t>JOVE</t>
  </si>
  <si>
    <t>IGNACIO</t>
  </si>
  <si>
    <t>SILVANA</t>
  </si>
  <si>
    <t>VILLACRES</t>
  </si>
  <si>
    <t xml:space="preserve">ALEJANDRA </t>
  </si>
  <si>
    <t>ARREDONDO</t>
  </si>
  <si>
    <t xml:space="preserve">CHIRE </t>
  </si>
  <si>
    <t xml:space="preserve">KRISTEL </t>
  </si>
  <si>
    <t xml:space="preserve">ANGELES </t>
  </si>
  <si>
    <t xml:space="preserve">CAMILA </t>
  </si>
  <si>
    <t xml:space="preserve">LIRA </t>
  </si>
  <si>
    <t>ALFONSO</t>
  </si>
  <si>
    <t>WONG</t>
  </si>
  <si>
    <t xml:space="preserve">VILLA </t>
  </si>
  <si>
    <t xml:space="preserve">ORE </t>
  </si>
  <si>
    <t>YENNI</t>
  </si>
  <si>
    <t xml:space="preserve">BLANCA </t>
  </si>
  <si>
    <t>LESLY</t>
  </si>
  <si>
    <t xml:space="preserve">BARBARA </t>
  </si>
  <si>
    <t>GALLEGOS</t>
  </si>
  <si>
    <t xml:space="preserve">CAROLINA </t>
  </si>
  <si>
    <t>ARCE</t>
  </si>
  <si>
    <t>SHESHIRA</t>
  </si>
  <si>
    <t>MARCOS</t>
  </si>
  <si>
    <t>ANGELINA</t>
  </si>
  <si>
    <t>CONDEÑA</t>
  </si>
  <si>
    <t xml:space="preserve">ISABEL </t>
  </si>
  <si>
    <t>SOTELO</t>
  </si>
  <si>
    <t>GIANELLI</t>
  </si>
  <si>
    <t>DANA</t>
  </si>
  <si>
    <t>PADILLA</t>
  </si>
  <si>
    <t>BEBERLY</t>
  </si>
  <si>
    <t>CELIA</t>
  </si>
  <si>
    <t>FARFAN</t>
  </si>
  <si>
    <t>CLIENTE WHASTAPP</t>
  </si>
  <si>
    <t>Marca temporal</t>
  </si>
  <si>
    <t>NOMBRES</t>
  </si>
  <si>
    <t>APELLIDOS</t>
  </si>
  <si>
    <t>NÚMERO DE CELULAR (WHATSAPP). Verificar que el número sea el correcto.</t>
  </si>
  <si>
    <t>DNI</t>
  </si>
  <si>
    <t>CORREO ELECTRÓNICO</t>
  </si>
  <si>
    <t>DIRECCIÓN DE DOMICILIO</t>
  </si>
  <si>
    <t>DISTRITO</t>
  </si>
  <si>
    <t>PROVINCIA</t>
  </si>
  <si>
    <t>DEPARTAMENTO</t>
  </si>
  <si>
    <t>PROFESIÓN</t>
  </si>
  <si>
    <t>PROGRAMA DE ESPECIALIZACIÓN</t>
  </si>
  <si>
    <t>BONO</t>
  </si>
  <si>
    <t>EDAD</t>
  </si>
  <si>
    <t>IMPORTE ABONADO</t>
  </si>
  <si>
    <t>COMPROBANTE</t>
  </si>
  <si>
    <t>SOLO SI DESEA FACTURA* 
COLOCAR RUC  Y OBSERVACIÓN ADICIONAL PARA SU EMISIÓN</t>
  </si>
  <si>
    <t>ASESOR EL CUAL LO AYUDO CON SU INSCRIPCIÓN</t>
  </si>
  <si>
    <t>ESTADO</t>
  </si>
  <si>
    <t>FECHA</t>
  </si>
  <si>
    <t>COMENTARIO</t>
  </si>
  <si>
    <t>2DO PAGO</t>
  </si>
  <si>
    <t>3ER PAGO</t>
  </si>
  <si>
    <t>4TO PAGO</t>
  </si>
  <si>
    <t>TOTAL</t>
  </si>
  <si>
    <t>AURELIA NADIA</t>
  </si>
  <si>
    <t>ALVA PONCE</t>
  </si>
  <si>
    <t>09395000</t>
  </si>
  <si>
    <t>aurelianaphm@gmail.com</t>
  </si>
  <si>
    <t>AV. ALMIRANTE MIGUEL GRAU N° 965 INTERIOR 303</t>
  </si>
  <si>
    <t>BARRANCO</t>
  </si>
  <si>
    <t>ARQUITECTA</t>
  </si>
  <si>
    <t>DIPLOMA DE ESPECIALIZACIÓN CONTRATACIONES CON EL ESTADO</t>
  </si>
  <si>
    <t>BOLETA</t>
  </si>
  <si>
    <t>NARLA REBAZA</t>
  </si>
  <si>
    <t>ACTIVO</t>
  </si>
  <si>
    <t>MARTIN ANDRES</t>
  </si>
  <si>
    <t>CAYO PERALES</t>
  </si>
  <si>
    <t>martinandrescayoperales@gmail.com</t>
  </si>
  <si>
    <t xml:space="preserve">URB. LOS HUARANGOS J - 14 ICA </t>
  </si>
  <si>
    <t>ICA</t>
  </si>
  <si>
    <t>CONTADOR</t>
  </si>
  <si>
    <t>CURSO LIQUIDACIÓN FINANCIERA DE OBRAS PÚBLICAS POR ADMINISTRACIÓN DIRECTA Y POR CONTRATA</t>
  </si>
  <si>
    <t>LAUREN OCAMPO</t>
  </si>
  <si>
    <t xml:space="preserve">AMALIA ELIZABETH </t>
  </si>
  <si>
    <t xml:space="preserve">VELASQUEZ MORÓN </t>
  </si>
  <si>
    <t xml:space="preserve">soloamalia@hotmail.com </t>
  </si>
  <si>
    <t xml:space="preserve">MZ O LT 2 C. P SANTIAGO </t>
  </si>
  <si>
    <t xml:space="preserve">SANTIAGO </t>
  </si>
  <si>
    <t xml:space="preserve">CONTADOR </t>
  </si>
  <si>
    <t>ROSA CALDERÓN</t>
  </si>
  <si>
    <t xml:space="preserve">NAYLE CANDY </t>
  </si>
  <si>
    <t xml:space="preserve">SULLAYME PUA </t>
  </si>
  <si>
    <t>nsullayme294@gmail.com</t>
  </si>
  <si>
    <t>ASOC. NUEVA ESPERANZA E-15</t>
  </si>
  <si>
    <t xml:space="preserve">MOQUEGUA </t>
  </si>
  <si>
    <t xml:space="preserve">MARISCAL NIETO </t>
  </si>
  <si>
    <t xml:space="preserve">PROFESIONAL TÉCNICO DE CONTABILIDAD </t>
  </si>
  <si>
    <t>CURSO DE ESPECIALIZACIÓN TESORERIA GUBERNAMENTAL Y CIERRE CONTABLE EN SIAF</t>
  </si>
  <si>
    <t>SIMÓN ESTRADA</t>
  </si>
  <si>
    <t xml:space="preserve">JAVIER </t>
  </si>
  <si>
    <t xml:space="preserve">FLORES RAMOS </t>
  </si>
  <si>
    <t>javierfr214@hotmail.com</t>
  </si>
  <si>
    <t>JR. BENAVIDES S/N</t>
  </si>
  <si>
    <t xml:space="preserve">TAPUC </t>
  </si>
  <si>
    <t xml:space="preserve">DANIEL ALCIDES CARRIÓN </t>
  </si>
  <si>
    <t>PASCO</t>
  </si>
  <si>
    <t xml:space="preserve">ROBERTO </t>
  </si>
  <si>
    <t xml:space="preserve">OCAS ACEIJAS </t>
  </si>
  <si>
    <t>05379412</t>
  </si>
  <si>
    <t>ocasroberto6@gmail.com</t>
  </si>
  <si>
    <t>RAYMONDI # 353 - IQUITOS</t>
  </si>
  <si>
    <t>IQUITOS</t>
  </si>
  <si>
    <t>MAYNAS</t>
  </si>
  <si>
    <t>LORETO</t>
  </si>
  <si>
    <t>INGENIERO CIVIL</t>
  </si>
  <si>
    <t>DIPLOMA ELABORACIÓN Y SUPERVISIÓN DE FICHAS TÉCNICAS, PERFILES, EXPEDIENTES TÉCNICOS</t>
  </si>
  <si>
    <t>ELIDA</t>
  </si>
  <si>
    <t>SOSA ARANGO</t>
  </si>
  <si>
    <t xml:space="preserve">Elida.sosa.16@unsch.edu.pe </t>
  </si>
  <si>
    <t>AV. EJÉRCITO N 786</t>
  </si>
  <si>
    <t xml:space="preserve">ANDRES AVELINO CÁCERES </t>
  </si>
  <si>
    <t xml:space="preserve">HUAMANGA </t>
  </si>
  <si>
    <t xml:space="preserve">AYACUCHO </t>
  </si>
  <si>
    <t>MIRKO</t>
  </si>
  <si>
    <t>VILLAGARCIA LOAYZA</t>
  </si>
  <si>
    <t>MIRK_VILLA@HOTMAIL.COM</t>
  </si>
  <si>
    <t>AV MILITAR 2031</t>
  </si>
  <si>
    <t>LINCE</t>
  </si>
  <si>
    <t>ARQUITECTO</t>
  </si>
  <si>
    <t>YESSENIA</t>
  </si>
  <si>
    <t>TARIFA HUILLCA</t>
  </si>
  <si>
    <t>yesseniatarifa777@gmail.com</t>
  </si>
  <si>
    <t>JIRON CUSCO N1513 ESPINAR CUSCO</t>
  </si>
  <si>
    <t>ESPINAR</t>
  </si>
  <si>
    <t>CUSCO</t>
  </si>
  <si>
    <t xml:space="preserve">LUIS FERNANDO </t>
  </si>
  <si>
    <t>SALVATIERRA ORUNA</t>
  </si>
  <si>
    <t>fsalvatierra123@gmail.com</t>
  </si>
  <si>
    <t>CALLE LOS CEDROS 436</t>
  </si>
  <si>
    <t xml:space="preserve">VÍCTOR LARCO </t>
  </si>
  <si>
    <t xml:space="preserve">TRUJILLO </t>
  </si>
  <si>
    <t xml:space="preserve">LA LIBERTAD </t>
  </si>
  <si>
    <t xml:space="preserve">INGENIERÍA CIVIL </t>
  </si>
  <si>
    <t>CURSO DE ESPECIALIZACIÓN HIDROLOGÍA AVANZADA</t>
  </si>
  <si>
    <t>JHORDAN RONALD</t>
  </si>
  <si>
    <t>DE LA CRUZ SOLANO</t>
  </si>
  <si>
    <t>jhordand498@gmail.com</t>
  </si>
  <si>
    <t>CHILCA</t>
  </si>
  <si>
    <t xml:space="preserve">HUANCAYO </t>
  </si>
  <si>
    <t xml:space="preserve">JUNÍN </t>
  </si>
  <si>
    <t xml:space="preserve">CIENCIAS FORESTALES Y DEL AMBIENTE </t>
  </si>
  <si>
    <t>CURSO ELABORACIÓN DE FICHAS TÉCNICAS DE PROYECTOS DE INVERSIÓN PÚBLICA Y LAS IOARR</t>
  </si>
  <si>
    <t>OSCAR</t>
  </si>
  <si>
    <t xml:space="preserve">CALDERÓN CALLA </t>
  </si>
  <si>
    <t>racsoli8@hotmail.com</t>
  </si>
  <si>
    <t xml:space="preserve">AV. SANTAE ROSA </t>
  </si>
  <si>
    <t xml:space="preserve">JULIACA </t>
  </si>
  <si>
    <t xml:space="preserve">SAN ROMÁN </t>
  </si>
  <si>
    <t>PUNO</t>
  </si>
  <si>
    <t xml:space="preserve">ABOGADO </t>
  </si>
  <si>
    <t>CURSO DE ESPECIALIZACIÓN PERITAJE EN LAVADO DE ACTIVOS</t>
  </si>
  <si>
    <t>GUIDO</t>
  </si>
  <si>
    <t xml:space="preserve">YAGUNO QUISPE </t>
  </si>
  <si>
    <t>macolque19@gmail.com</t>
  </si>
  <si>
    <t xml:space="preserve">COOPERATIVA VISTA ALEGRE AREQUIPA </t>
  </si>
  <si>
    <t xml:space="preserve">ALTO SELVA ALEGRE </t>
  </si>
  <si>
    <t xml:space="preserve">AREQUIPA </t>
  </si>
  <si>
    <t xml:space="preserve">ESTUDIANTE ING. INDUSTRIAL </t>
  </si>
  <si>
    <t>MABEL</t>
  </si>
  <si>
    <t xml:space="preserve">POMATANA CASTILLON </t>
  </si>
  <si>
    <t>mabepotamanacastillon@gmail.com</t>
  </si>
  <si>
    <t>AV PRÓCERES NRO 1151 CHILCA</t>
  </si>
  <si>
    <t>JUNIN</t>
  </si>
  <si>
    <t xml:space="preserve">CONTABILIDAD </t>
  </si>
  <si>
    <t>TRAUCO RUIZ</t>
  </si>
  <si>
    <t>c.traucor@gmail.com</t>
  </si>
  <si>
    <t>JR. CIRO ALEGRIA 347 BAGUA GRANDE</t>
  </si>
  <si>
    <t>BAGUA GRANDE</t>
  </si>
  <si>
    <t>UTCUBAMBA</t>
  </si>
  <si>
    <t>AMAZONAS</t>
  </si>
  <si>
    <t>CONTADOR PUBLICO</t>
  </si>
  <si>
    <t xml:space="preserve">JUDITH </t>
  </si>
  <si>
    <t xml:space="preserve">CASTILLO LÁZARO </t>
  </si>
  <si>
    <t xml:space="preserve">Jcl_71@hotmail.com </t>
  </si>
  <si>
    <t>AVENIDA GENERAL GARZÓN 1283 OFICINA 407</t>
  </si>
  <si>
    <t xml:space="preserve">JESUS MARÍA </t>
  </si>
  <si>
    <t xml:space="preserve">ABOGADA </t>
  </si>
  <si>
    <t>FACTURA</t>
  </si>
  <si>
    <t>RUTH ROSARIO</t>
  </si>
  <si>
    <t>MAMANI LUQUE</t>
  </si>
  <si>
    <t>rumamanil.12@gmail.com</t>
  </si>
  <si>
    <t>PUERTO ENE S/N</t>
  </si>
  <si>
    <t>RIO TAMBO</t>
  </si>
  <si>
    <t>SATIPO</t>
  </si>
  <si>
    <t>CONTADORA</t>
  </si>
  <si>
    <t>KOKE</t>
  </si>
  <si>
    <t>MARIN FALCONI</t>
  </si>
  <si>
    <t>kokemarinfalconi@gmail.com</t>
  </si>
  <si>
    <t>JR. ITANA Nº119</t>
  </si>
  <si>
    <t>AYACUCHO</t>
  </si>
  <si>
    <t>HUAMANGA</t>
  </si>
  <si>
    <t xml:space="preserve">HUMBERTO </t>
  </si>
  <si>
    <t xml:space="preserve">NUÑEZ AYMA </t>
  </si>
  <si>
    <t>humbertoezma@gmail.com</t>
  </si>
  <si>
    <t>SAN BLAS CARMEN ALTO N°210</t>
  </si>
  <si>
    <t xml:space="preserve">CUSCO </t>
  </si>
  <si>
    <t>CARLOS ALBERTO</t>
  </si>
  <si>
    <t>YUPANQUI LLANCACHAGUA</t>
  </si>
  <si>
    <t>carlosalbertoyupanquillancacha@gmail.com</t>
  </si>
  <si>
    <t>JR. BOLVIAR 1745</t>
  </si>
  <si>
    <t>MUQUI</t>
  </si>
  <si>
    <t>JAUJA</t>
  </si>
  <si>
    <t>CURSO DE ESPECIALIZACIÓN CONTABILIDAD GUBERNAMENTAL EN EL SIAF</t>
  </si>
  <si>
    <t>ELOY JAVIER</t>
  </si>
  <si>
    <t>ISLADO REGALADO</t>
  </si>
  <si>
    <t>eloyislado@gmail.com</t>
  </si>
  <si>
    <t>MANCOS</t>
  </si>
  <si>
    <t>YUNGAY</t>
  </si>
  <si>
    <t>ANCASH</t>
  </si>
  <si>
    <t>ESTUDIANTE DE CONTABILIDAD</t>
  </si>
  <si>
    <t>KEVIN CRISTHIAN</t>
  </si>
  <si>
    <t>JIMENEZ HUAMALI</t>
  </si>
  <si>
    <t>jimenezhuamali@gmail.com</t>
  </si>
  <si>
    <t>AV. LA UNION 012</t>
  </si>
  <si>
    <t>YANCANCHA</t>
  </si>
  <si>
    <t>LIC. EN ADMINISTRACION</t>
  </si>
  <si>
    <t>LESLYE MARILYN</t>
  </si>
  <si>
    <t>AGUILAR CALIPUY</t>
  </si>
  <si>
    <t>laguilarcalipuy@gmail.com</t>
  </si>
  <si>
    <t>URB LAS FLORES MZ H LT06</t>
  </si>
  <si>
    <t>TRUJILLO</t>
  </si>
  <si>
    <t>LA LIBERTAD</t>
  </si>
  <si>
    <t>INGENIERA CIVIL</t>
  </si>
  <si>
    <t xml:space="preserve">YENY VIVIANA </t>
  </si>
  <si>
    <t>MAMANI FUENTES</t>
  </si>
  <si>
    <t>yvmf09@gmail.com</t>
  </si>
  <si>
    <t>SANTA ROSA MZ 78 LT 03</t>
  </si>
  <si>
    <t>EL ALGARROBAL</t>
  </si>
  <si>
    <t>ILO</t>
  </si>
  <si>
    <t>MOQUEGUA</t>
  </si>
  <si>
    <t xml:space="preserve">FLAVIA SABRINA </t>
  </si>
  <si>
    <t xml:space="preserve">REÁTEGUI LUNA </t>
  </si>
  <si>
    <t>freateguiluna@gmail.com</t>
  </si>
  <si>
    <t>JR. SAN MARTÍN N° 1234</t>
  </si>
  <si>
    <t xml:space="preserve">LAMAS </t>
  </si>
  <si>
    <t>LAMAS</t>
  </si>
  <si>
    <t xml:space="preserve">SAN MARTIN </t>
  </si>
  <si>
    <t xml:space="preserve">ECONOMISTA </t>
  </si>
  <si>
    <t xml:space="preserve">SILVERT HITLER </t>
  </si>
  <si>
    <t>ATANACIO PEREZ</t>
  </si>
  <si>
    <t>pzsilvert@gmail.com</t>
  </si>
  <si>
    <t>JR VALLE DORADO 1242</t>
  </si>
  <si>
    <t xml:space="preserve">PICHARI </t>
  </si>
  <si>
    <t xml:space="preserve">LA CONVENCIÓN </t>
  </si>
  <si>
    <t xml:space="preserve">INGENIERO GEÓGRAFO </t>
  </si>
  <si>
    <t>DARYL CRUZ</t>
  </si>
  <si>
    <t>EDWAR RONNY</t>
  </si>
  <si>
    <t>DE LA CRUZ PORTA</t>
  </si>
  <si>
    <t>edwarronny2020@gmail.com</t>
  </si>
  <si>
    <t>Avenida Los Andes 927</t>
  </si>
  <si>
    <t>EL TAMBO</t>
  </si>
  <si>
    <t>HUANCAYO</t>
  </si>
  <si>
    <t>ING CIVIL</t>
  </si>
  <si>
    <t>LIZETH</t>
  </si>
  <si>
    <t>MONAGO ESPINOZA</t>
  </si>
  <si>
    <t>lizmonago2020@gmail.com</t>
  </si>
  <si>
    <t>JR. PROGRESO S/N - SAN RAFAEL</t>
  </si>
  <si>
    <t>SAN RAFAEL</t>
  </si>
  <si>
    <t>AMBO</t>
  </si>
  <si>
    <t>HUANUCO</t>
  </si>
  <si>
    <t>ANDRES</t>
  </si>
  <si>
    <t>CHUNGA IMAN</t>
  </si>
  <si>
    <t>08912667</t>
  </si>
  <si>
    <t>ingchunga30@gmail.com</t>
  </si>
  <si>
    <t>JR RAMON CASTILLA 320</t>
  </si>
  <si>
    <t>SANTA CRUZ</t>
  </si>
  <si>
    <t>CAJAMARCA</t>
  </si>
  <si>
    <t xml:space="preserve">JAVIER HIDALGO </t>
  </si>
  <si>
    <t>CONDORI PARI</t>
  </si>
  <si>
    <t xml:space="preserve">hidalgocp@hotmail.com </t>
  </si>
  <si>
    <t xml:space="preserve">JR QUITO  URB AMAUTA JULIACA </t>
  </si>
  <si>
    <t>JULIACA</t>
  </si>
  <si>
    <t>SAN ROMAN</t>
  </si>
  <si>
    <t>ING. CIVIL</t>
  </si>
  <si>
    <t>10 40436942 9</t>
  </si>
  <si>
    <t>ANGIE MENDOZA</t>
  </si>
  <si>
    <t>MIRIAN ROCIO</t>
  </si>
  <si>
    <t>ANTEQUERA COCHACHIN</t>
  </si>
  <si>
    <t>MIRIAN-512@HOTMAIL.COM</t>
  </si>
  <si>
    <t>AVENIDA CENTENARIO S/N</t>
  </si>
  <si>
    <t>INDEPENDENCIA</t>
  </si>
  <si>
    <t>HUARAZ</t>
  </si>
  <si>
    <t>ING AGRICOLA</t>
  </si>
  <si>
    <t>ALBERRA</t>
  </si>
  <si>
    <t>CHOQUE PARCO</t>
  </si>
  <si>
    <t>ebenezerayacucho@gmail.com</t>
  </si>
  <si>
    <t>AA.HH LOS ARTESANOS</t>
  </si>
  <si>
    <t xml:space="preserve">CONTADOR PUBLICO </t>
  </si>
  <si>
    <t>ARREDONDO CONDORI</t>
  </si>
  <si>
    <t>iarredondocondori@gmail.com</t>
  </si>
  <si>
    <t>CALLE ALMIRANTE N° 111</t>
  </si>
  <si>
    <t>HAQUIRA</t>
  </si>
  <si>
    <t>COTABAMBAS</t>
  </si>
  <si>
    <t>APURIMAC</t>
  </si>
  <si>
    <t>ANGEL YONATAN</t>
  </si>
  <si>
    <t>CALIZAYA ARIAS</t>
  </si>
  <si>
    <t>estrt.calizaya@gmail.com</t>
  </si>
  <si>
    <t>APV. VILLA MOQUEGUA R5 LT 22</t>
  </si>
  <si>
    <t>SAN ANTONIO</t>
  </si>
  <si>
    <t>MARISCAL NIETO</t>
  </si>
  <si>
    <t xml:space="preserve">ROSSMERY </t>
  </si>
  <si>
    <t xml:space="preserve">CLAYSSEN  SANCHEZ </t>
  </si>
  <si>
    <t>rossmery2730@gmail.com</t>
  </si>
  <si>
    <t>GRAL. GAMARRA</t>
  </si>
  <si>
    <t>SANTA ANA</t>
  </si>
  <si>
    <t>LA CONVENCION</t>
  </si>
  <si>
    <t>CONTADORA PUBLICA COLEGIADA</t>
  </si>
  <si>
    <t xml:space="preserve">RAMÓN </t>
  </si>
  <si>
    <t xml:space="preserve">AMACHI  LEÓN </t>
  </si>
  <si>
    <t>01220299</t>
  </si>
  <si>
    <t>ramamleo@gmail.com</t>
  </si>
  <si>
    <t>JR. CAPITAN MORANTE 265</t>
  </si>
  <si>
    <t xml:space="preserve">PUNO </t>
  </si>
  <si>
    <t>CONTADOR PUBLICO COLEGIADO</t>
  </si>
  <si>
    <t>RUBEN</t>
  </si>
  <si>
    <t>BENIQUE AGUILAR</t>
  </si>
  <si>
    <t>01345190</t>
  </si>
  <si>
    <t>Rubenique10@gmail.com</t>
  </si>
  <si>
    <t>AV CIRCUNVALACIÓN 729</t>
  </si>
  <si>
    <t>TRANSPORTISTA</t>
  </si>
  <si>
    <t xml:space="preserve">BEXY TERESA </t>
  </si>
  <si>
    <t xml:space="preserve">EUSEBIO GIL </t>
  </si>
  <si>
    <t>bexyeusebio@gmail.com</t>
  </si>
  <si>
    <t>21 DE ABRIL B15</t>
  </si>
  <si>
    <t xml:space="preserve">CHIMBOTE </t>
  </si>
  <si>
    <t xml:space="preserve">SANTA </t>
  </si>
  <si>
    <t>NEIL RENZO</t>
  </si>
  <si>
    <t>MAMANI EUGENIO</t>
  </si>
  <si>
    <t>nmamanieu@gmail.com</t>
  </si>
  <si>
    <t>ASC. 29 DE ENERO A-11 C.P. DE CHEN CHEN, MOQUEGUA, MOQUEGUA</t>
  </si>
  <si>
    <t>BACHILLER EN INGENIERÍA CIVIL</t>
  </si>
  <si>
    <t>ERNESTO</t>
  </si>
  <si>
    <t>MOREANO BLAS</t>
  </si>
  <si>
    <t>ermobla29@gmail.com</t>
  </si>
  <si>
    <t>VILCABAMBA</t>
  </si>
  <si>
    <t>GRAU</t>
  </si>
  <si>
    <t>FREDDY RICARDO</t>
  </si>
  <si>
    <t>RODRÍGUEZ CALDERÓN</t>
  </si>
  <si>
    <t>frodriguezc.94@gmail.com</t>
  </si>
  <si>
    <t>URB. LOS JARDINES DE SAN CARLOS</t>
  </si>
  <si>
    <t xml:space="preserve">CARLOS HUGO </t>
  </si>
  <si>
    <t xml:space="preserve">MORENO URCO </t>
  </si>
  <si>
    <t>ximocajc2007@gmail.com</t>
  </si>
  <si>
    <t xml:space="preserve">JR JUNIN 439 HUANCAYO </t>
  </si>
  <si>
    <t xml:space="preserve">JUNIN </t>
  </si>
  <si>
    <t xml:space="preserve">HUGO FÉLIX </t>
  </si>
  <si>
    <t xml:space="preserve">SOVERO SOVERO </t>
  </si>
  <si>
    <t>06149718</t>
  </si>
  <si>
    <t>hsovero@gmail.com</t>
  </si>
  <si>
    <t>AV. JAVIER PRADO ESTE 6620</t>
  </si>
  <si>
    <t xml:space="preserve">LA MOLINA </t>
  </si>
  <si>
    <t xml:space="preserve">INGENIERO AGRÍCOLA </t>
  </si>
  <si>
    <t>MARIA ORFELINA</t>
  </si>
  <si>
    <t>CAMPOS FERNÁNDEZ</t>
  </si>
  <si>
    <t>ocamposf.12@gmail.com</t>
  </si>
  <si>
    <t>Jr. Eladio Tapullima #311</t>
  </si>
  <si>
    <t>SAN JOSE DE SISA</t>
  </si>
  <si>
    <t>EL DORADO</t>
  </si>
  <si>
    <t>SAN MARTIN</t>
  </si>
  <si>
    <t>INGENIERO AMBIENTAL</t>
  </si>
  <si>
    <t xml:space="preserve">ERICK SANTOS </t>
  </si>
  <si>
    <t xml:space="preserve">RAMÍREZ GARCÍA </t>
  </si>
  <si>
    <t>bio_eramirez@hotmail.com</t>
  </si>
  <si>
    <t xml:space="preserve">CALLE FRANCISCO BOLOGNESI K-10 CASERÍO SAN MARTIN DE PORRAS ICA </t>
  </si>
  <si>
    <t xml:space="preserve">ICA </t>
  </si>
  <si>
    <t xml:space="preserve">BIÓLOGO </t>
  </si>
  <si>
    <t>WILLIAM</t>
  </si>
  <si>
    <t>VILCA ENRIQUEZ</t>
  </si>
  <si>
    <t>vilk19.gg@gmail.com</t>
  </si>
  <si>
    <t>CP RAMIS</t>
  </si>
  <si>
    <t>TARACO</t>
  </si>
  <si>
    <t>HUANCANÉ</t>
  </si>
  <si>
    <t>HEBER EDUARDO</t>
  </si>
  <si>
    <t xml:space="preserve">LANZA CAYO </t>
  </si>
  <si>
    <t>consultorgrupomarti@gmail.com</t>
  </si>
  <si>
    <t>JIRON 7 DE JUNIO 284</t>
  </si>
  <si>
    <t xml:space="preserve">FRANK CARLOS </t>
  </si>
  <si>
    <t xml:space="preserve">ATACHAHUA DURAND </t>
  </si>
  <si>
    <t>frankatachahua@gmail.com</t>
  </si>
  <si>
    <t>TRUJILLO NORTE 388 MOYOPAMPA</t>
  </si>
  <si>
    <t>LURIGANCHO</t>
  </si>
  <si>
    <t xml:space="preserve">LIMA </t>
  </si>
  <si>
    <t xml:space="preserve">YVO ALFREDO </t>
  </si>
  <si>
    <t xml:space="preserve">SAAVEDRA MONTENEGRO </t>
  </si>
  <si>
    <t>yvo_saavedra@hotmail.com</t>
  </si>
  <si>
    <t xml:space="preserve">AV TACNA 145 </t>
  </si>
  <si>
    <t xml:space="preserve">CASTILLA </t>
  </si>
  <si>
    <t>PIURA</t>
  </si>
  <si>
    <t xml:space="preserve">PIURA </t>
  </si>
  <si>
    <t xml:space="preserve">CONTADOR PÚBLICO COLEGIADO </t>
  </si>
  <si>
    <t>EDWARD FRANSHESCOLY</t>
  </si>
  <si>
    <t>TIRAVANTTI CAMPOS</t>
  </si>
  <si>
    <t>edwardtiravantti@gmail.com</t>
  </si>
  <si>
    <t>COSSIO DEL POMAR MZ. D3</t>
  </si>
  <si>
    <t>BIOLOGO</t>
  </si>
  <si>
    <t>MAYURY KORAYMA</t>
  </si>
  <si>
    <t xml:space="preserve">HIDALGO SALAZAR </t>
  </si>
  <si>
    <t>hidalgomayury@gmail.com</t>
  </si>
  <si>
    <t xml:space="preserve">JUAN VELAZCO ALVARADO </t>
  </si>
  <si>
    <t>HUALMAY</t>
  </si>
  <si>
    <t xml:space="preserve">HUAURA </t>
  </si>
  <si>
    <t>JUAN ARMANDO</t>
  </si>
  <si>
    <t>VASQUEZ CORNEJO</t>
  </si>
  <si>
    <t>JAVASQUEZ1506@HOTMAIL.COM</t>
  </si>
  <si>
    <t>MICAELA BASTIDAS M12 ARCON</t>
  </si>
  <si>
    <t>ARCONA</t>
  </si>
  <si>
    <t>JOSE FELIX</t>
  </si>
  <si>
    <t>CHANCAFE LIZA</t>
  </si>
  <si>
    <t>chancafefelix@gmail.com</t>
  </si>
  <si>
    <t>CHICLAYO</t>
  </si>
  <si>
    <t>LAMBAYEQUE</t>
  </si>
  <si>
    <t>ABOGADO</t>
  </si>
  <si>
    <t xml:space="preserve">CHRISTIAN ELIZABETH </t>
  </si>
  <si>
    <t xml:space="preserve">OCHOA SORIA </t>
  </si>
  <si>
    <t>crisitaelios@gmail.com</t>
  </si>
  <si>
    <t>CALLE NEGOCIOS 280 EDIFICIO 6 DPTO 304</t>
  </si>
  <si>
    <t xml:space="preserve">SURQUILLO </t>
  </si>
  <si>
    <t xml:space="preserve">ARQUITECTURA </t>
  </si>
  <si>
    <t xml:space="preserve">OROCIA MARGOTH </t>
  </si>
  <si>
    <t xml:space="preserve">PEZO GARCÍA </t>
  </si>
  <si>
    <t>orocia.mrgth1994@gmail.com</t>
  </si>
  <si>
    <t>ARQUITECTURA</t>
  </si>
  <si>
    <t>JHONATAN BENJAMIN</t>
  </si>
  <si>
    <t>VIDARTE SAAVEDRA</t>
  </si>
  <si>
    <t>jhonatanvidarte07@gmail.com</t>
  </si>
  <si>
    <t xml:space="preserve">JR. 18 DE ABRIL #840 </t>
  </si>
  <si>
    <t xml:space="preserve">LLAMA </t>
  </si>
  <si>
    <t xml:space="preserve">CHOTA </t>
  </si>
  <si>
    <t xml:space="preserve">CAJAMARCA </t>
  </si>
  <si>
    <t xml:space="preserve">INGENIERA AGRÍCOLA </t>
  </si>
  <si>
    <t>RITA</t>
  </si>
  <si>
    <t>CHILON BECERRA</t>
  </si>
  <si>
    <t>chilonbecerrarita@gmail.com</t>
  </si>
  <si>
    <t>JR. BOLIVAR 240</t>
  </si>
  <si>
    <t xml:space="preserve">CAJABAMBA </t>
  </si>
  <si>
    <t>MANUEL ALBERTO</t>
  </si>
  <si>
    <t>MELÉNDEZ HUAMÁN</t>
  </si>
  <si>
    <t>manuelmelendezhuaman@gmail.com</t>
  </si>
  <si>
    <t>AV. LA BANDERA 251</t>
  </si>
  <si>
    <t>RUPA RUPA</t>
  </si>
  <si>
    <t>LEONCIO PRADO</t>
  </si>
  <si>
    <t>HUÁNUCO</t>
  </si>
  <si>
    <t xml:space="preserve">JEFERSON ERICK </t>
  </si>
  <si>
    <t xml:space="preserve">CORDERO MEDINA </t>
  </si>
  <si>
    <t>jcmerick31@gmail.com</t>
  </si>
  <si>
    <t>JR JOSE MARIA ARGUEDAS N°702</t>
  </si>
  <si>
    <t xml:space="preserve">EL TAMBO </t>
  </si>
  <si>
    <t xml:space="preserve">INGENIERO ELECTRICISTA </t>
  </si>
  <si>
    <t>CHANI COLQUE</t>
  </si>
  <si>
    <t>chanicol2020@gmail.com</t>
  </si>
  <si>
    <t>COLQUEMARCA PLAZA S/N</t>
  </si>
  <si>
    <t xml:space="preserve">COLQUEMARCA </t>
  </si>
  <si>
    <t xml:space="preserve">CHUMBIVILCAS </t>
  </si>
  <si>
    <t>LUIS ALBERTO</t>
  </si>
  <si>
    <t>HUAMANÍ HUAMANÍ</t>
  </si>
  <si>
    <t>luchitoromani@gmail.com</t>
  </si>
  <si>
    <t>AV. ESPAÑA 400</t>
  </si>
  <si>
    <t>CERCADO LIMA</t>
  </si>
  <si>
    <t xml:space="preserve">POLICIA </t>
  </si>
  <si>
    <t>JOAN ARI</t>
  </si>
  <si>
    <t>TELLO PEREZ</t>
  </si>
  <si>
    <t>jtelloperez90@gmail.com</t>
  </si>
  <si>
    <t>PSJ TÚPAC AMARU #895</t>
  </si>
  <si>
    <t xml:space="preserve">PUNCHANA </t>
  </si>
  <si>
    <t>ECONOMISTA</t>
  </si>
  <si>
    <t xml:space="preserve">MANUEL OSCAR </t>
  </si>
  <si>
    <t>GONZALES AVILA</t>
  </si>
  <si>
    <t>econ.manuelgonzales@gmail.con</t>
  </si>
  <si>
    <t>CALLE JOSÉ GÁLVEZ 1504</t>
  </si>
  <si>
    <t>CURSO DE ESPECIALIZACIÓN PYTHON PARA ECONOMISTAS</t>
  </si>
  <si>
    <t xml:space="preserve">MARIA ELENA </t>
  </si>
  <si>
    <t>MAMANI GUZMAN</t>
  </si>
  <si>
    <t>Maricita-12-96@hotmail.com</t>
  </si>
  <si>
    <t>JR HUASCAR S/N</t>
  </si>
  <si>
    <t xml:space="preserve">URUBAMBA </t>
  </si>
  <si>
    <t>URUBAMBA</t>
  </si>
  <si>
    <t>CONTABILIDAD</t>
  </si>
  <si>
    <t xml:space="preserve">DILMER </t>
  </si>
  <si>
    <t>ROCA DIEGO</t>
  </si>
  <si>
    <t>jabsasac@gmail.com</t>
  </si>
  <si>
    <t xml:space="preserve">JR. DE LA CRUZ PALCA HUANCAVELICA </t>
  </si>
  <si>
    <t>PALCA</t>
  </si>
  <si>
    <t>HUANCAVELICA</t>
  </si>
  <si>
    <t xml:space="preserve">HUANCAVELICA </t>
  </si>
  <si>
    <t>ZOOTECNISTA</t>
  </si>
  <si>
    <t xml:space="preserve">ORESTES </t>
  </si>
  <si>
    <t>SARASI ANAMPA</t>
  </si>
  <si>
    <t>ingore.cip@gmail.com</t>
  </si>
  <si>
    <t>AV FRANKLIN PEASE OLIVERA MZA 32 LOTE E AH MANUEL PRADO</t>
  </si>
  <si>
    <t>CHALA</t>
  </si>
  <si>
    <t>CARAVELI</t>
  </si>
  <si>
    <t>AREQUIPA</t>
  </si>
  <si>
    <t>MAYDA</t>
  </si>
  <si>
    <t xml:space="preserve">TOROCAHUA LOPEZ </t>
  </si>
  <si>
    <t>maydatl30@hotmail.com</t>
  </si>
  <si>
    <t>JR. JOSÉ CARLOS MARIATEGUI</t>
  </si>
  <si>
    <t xml:space="preserve">SICUANI </t>
  </si>
  <si>
    <t>CANCHIS</t>
  </si>
  <si>
    <t xml:space="preserve">CONTADORA </t>
  </si>
  <si>
    <t>JUAN ALEX</t>
  </si>
  <si>
    <t>FLORES ALCA</t>
  </si>
  <si>
    <t>juanalexfloresalca@gmail.com</t>
  </si>
  <si>
    <t>RONALD ALONSO</t>
  </si>
  <si>
    <t>SULLCA HUAMÁN</t>
  </si>
  <si>
    <t>sullcaronald7@gmail.com</t>
  </si>
  <si>
    <t>JR.FRANCISCO BOLOGNESI E-3</t>
  </si>
  <si>
    <t>TAMBOPATA</t>
  </si>
  <si>
    <t xml:space="preserve">MADRE DE DIOS </t>
  </si>
  <si>
    <t>BACHILLER ABOGADO</t>
  </si>
  <si>
    <t>SANDY NICOL</t>
  </si>
  <si>
    <t>REGALADO SIMON</t>
  </si>
  <si>
    <t>regaladoderengifo@gmail.com</t>
  </si>
  <si>
    <t xml:space="preserve">A.H FLOR DE ESPERANZA </t>
  </si>
  <si>
    <t>CALLERIA</t>
  </si>
  <si>
    <t xml:space="preserve">CORONEL PORTILLO </t>
  </si>
  <si>
    <t>UCAYALI</t>
  </si>
  <si>
    <t xml:space="preserve">ING. AMBIENTAL </t>
  </si>
  <si>
    <t>LUIS FELIPE</t>
  </si>
  <si>
    <t>ACEIJAS RAMON</t>
  </si>
  <si>
    <t>smaceijasramirez.15@gmail.com</t>
  </si>
  <si>
    <t>JR. JIMÉNEZ PIMENTEL 135</t>
  </si>
  <si>
    <t>PADRE ABAD</t>
  </si>
  <si>
    <t>JULIA ESPERANZA</t>
  </si>
  <si>
    <t>SANCHEZ ORDOÑEZ</t>
  </si>
  <si>
    <t>julysanord7@hotmail.com</t>
  </si>
  <si>
    <t>AV. SALVADOR LARA MZNA C LOTE 05</t>
  </si>
  <si>
    <t>MADAI</t>
  </si>
  <si>
    <t>RUESTA LOPEZ</t>
  </si>
  <si>
    <t>madairuestalopez@gmail.com</t>
  </si>
  <si>
    <t>CASERIO CRUCETA</t>
  </si>
  <si>
    <t>TAMBOGRANDE</t>
  </si>
  <si>
    <t>ING. AGRÓNOMA</t>
  </si>
  <si>
    <t>INGRIE ELIZABETH</t>
  </si>
  <si>
    <t>BASSILIO GUERRA</t>
  </si>
  <si>
    <t>08269447</t>
  </si>
  <si>
    <t>ingelibglove@hotmail.com</t>
  </si>
  <si>
    <t>AV. OLAVEGOYA Nº 1955 DPTO 303</t>
  </si>
  <si>
    <t>JESUS MARIA</t>
  </si>
  <si>
    <t>BACHILLER EN CONTABILIDAD</t>
  </si>
  <si>
    <t xml:space="preserve">FELIPE ANTONIO </t>
  </si>
  <si>
    <t>JARA NORBERTO</t>
  </si>
  <si>
    <t>08637036</t>
  </si>
  <si>
    <t>fantoniojara@gmail.com</t>
  </si>
  <si>
    <t xml:space="preserve">CALLE RUIBARES NO. 499 URB. NARANJAL </t>
  </si>
  <si>
    <t xml:space="preserve">CUBA YARCURI </t>
  </si>
  <si>
    <t xml:space="preserve">Isabelcubayarcuri@gmail.com </t>
  </si>
  <si>
    <t>URB ÑAHUINPUQUIO</t>
  </si>
  <si>
    <t xml:space="preserve">SAN JUAN BAUTISTA </t>
  </si>
  <si>
    <t>SANCHEZ CORONEL</t>
  </si>
  <si>
    <t>luisalbertres@hotmail.com</t>
  </si>
  <si>
    <t>HERMANOS ANGULO 438</t>
  </si>
  <si>
    <t>EL PORVENIR</t>
  </si>
  <si>
    <t>JAIME MARIO</t>
  </si>
  <si>
    <t xml:space="preserve">SALGADO APAZA </t>
  </si>
  <si>
    <t>jsalgado38@gmail.com</t>
  </si>
  <si>
    <t>COMPLEJO HABITACIONAL SOR ANA DE LOS ANGELES BLOCK D 405 1ER ETAPA</t>
  </si>
  <si>
    <t xml:space="preserve">PAUCARPATA </t>
  </si>
  <si>
    <t xml:space="preserve">CONTADOR PÚBLICO </t>
  </si>
  <si>
    <t>MARLON ELVIS</t>
  </si>
  <si>
    <t>CRUZ CARI</t>
  </si>
  <si>
    <t>marck.evils.xs@gmail.com</t>
  </si>
  <si>
    <t>JR SANTA CRUZ 823</t>
  </si>
  <si>
    <t>PUNI</t>
  </si>
  <si>
    <t xml:space="preserve">LIC EN COMUNICACIÓN </t>
  </si>
  <si>
    <t xml:space="preserve">WILMER </t>
  </si>
  <si>
    <t xml:space="preserve">ROJAS HUARACA </t>
  </si>
  <si>
    <t>Wilmer_edificios@hotmail.com</t>
  </si>
  <si>
    <t>RESIDENCIAL LAS CASCADAS MZ-C3- LTE- 09 URB SAN ANTONIO DE CARABAYLLO</t>
  </si>
  <si>
    <t xml:space="preserve">CARABAYLLO </t>
  </si>
  <si>
    <t xml:space="preserve">TÉCNICO EN CONSTRUCCIÓN </t>
  </si>
  <si>
    <t>JOHN FRANKLIN</t>
  </si>
  <si>
    <t>RAMOS MAMANI</t>
  </si>
  <si>
    <t>frank11rama@gmail.com</t>
  </si>
  <si>
    <t>JR. 30 DE AGOSTO 164</t>
  </si>
  <si>
    <t>JORGE LUIS</t>
  </si>
  <si>
    <t>QUIROZ QUIROZ</t>
  </si>
  <si>
    <t>quirozquirozjorgeluis@gmail.com</t>
  </si>
  <si>
    <t>JR. MARIANO MELGAR CON MIRAFLORES</t>
  </si>
  <si>
    <t>ERMAN RICARDO</t>
  </si>
  <si>
    <t>SECHAR YARASCA</t>
  </si>
  <si>
    <t>SOPORTE1675@GMAIL.COM</t>
  </si>
  <si>
    <t>ICA- URB EL HARAZ</t>
  </si>
  <si>
    <t xml:space="preserve">JESUS ALMIR </t>
  </si>
  <si>
    <t>CAMAN FARJE</t>
  </si>
  <si>
    <t>06898060</t>
  </si>
  <si>
    <t>jesuscamanfarje@gmail.com</t>
  </si>
  <si>
    <t>JOSE CHOQUEHUANCA 275</t>
  </si>
  <si>
    <t xml:space="preserve">LA VICTORIA </t>
  </si>
  <si>
    <t>DIPLOMA ELABORACIÓN Y SUPERVISIÓN DE EXPEDIENTES TÉCNICOS DE OBRAS PÚBLICAS Y PRIVADAS</t>
  </si>
  <si>
    <t xml:space="preserve">ALICIA </t>
  </si>
  <si>
    <t xml:space="preserve">BARAZORDA HUARACA </t>
  </si>
  <si>
    <t>takumi20189@gmail.com</t>
  </si>
  <si>
    <t xml:space="preserve">JR. CUSCO 624, ABANCAY APURÍMAC </t>
  </si>
  <si>
    <t xml:space="preserve">ABANCAY </t>
  </si>
  <si>
    <t xml:space="preserve">APURÍMAC </t>
  </si>
  <si>
    <t xml:space="preserve">BACHILLER EN INGENIERÍA CIVIL </t>
  </si>
  <si>
    <t xml:space="preserve">CARLOS JOSUE </t>
  </si>
  <si>
    <t>GASTELU CAMPOS</t>
  </si>
  <si>
    <t>02866773</t>
  </si>
  <si>
    <t>cjgasteluc@gmail.com</t>
  </si>
  <si>
    <t>URB LOS SAUCES MZ F LTE 7 CALLE DUBLÍN S/N</t>
  </si>
  <si>
    <t>SURQUILLO</t>
  </si>
  <si>
    <t>PROMOCIÓN 5</t>
  </si>
  <si>
    <t>ASINCRONICO</t>
  </si>
  <si>
    <t>MIRENA EDURNE</t>
  </si>
  <si>
    <t>BAZAN BRICEÑO</t>
  </si>
  <si>
    <t>mireb2@gmail.com</t>
  </si>
  <si>
    <t>CALLE ESPINELA 755. SAN ISIDRO PRIMERA ETAPA</t>
  </si>
  <si>
    <t>VICTOR WOLDFRANC</t>
  </si>
  <si>
    <t>VALVERDE AGUILAR</t>
  </si>
  <si>
    <t>victorvalverde20257@gmail.com</t>
  </si>
  <si>
    <t>JIRON SIMON BOLIVAR 258A</t>
  </si>
  <si>
    <t>HUACHO</t>
  </si>
  <si>
    <t>HUAURA</t>
  </si>
  <si>
    <t>MAURO</t>
  </si>
  <si>
    <t>QUISPE HUAMAN</t>
  </si>
  <si>
    <t>cpccmauroquispeh@gmail.com</t>
  </si>
  <si>
    <t>JR. SABAS ZARAZOLA 353 QUILLABAMBA</t>
  </si>
  <si>
    <t>MARCOS MARIANO</t>
  </si>
  <si>
    <t>PAYTAN CUBA</t>
  </si>
  <si>
    <t>paytancuba@gmail.com</t>
  </si>
  <si>
    <t>PASAJE VICENTE ANGULO NO 120</t>
  </si>
  <si>
    <t>ASCENSION</t>
  </si>
  <si>
    <t>INGENIERO CIVIL Y MINAS</t>
  </si>
  <si>
    <t>VANESSA LUCIA</t>
  </si>
  <si>
    <t>MARCA APAZA</t>
  </si>
  <si>
    <t xml:space="preserve">Vamiju6@hotmail.com </t>
  </si>
  <si>
    <t>LAS LOMAS-MOQUEGUA</t>
  </si>
  <si>
    <t>MOQUEGU</t>
  </si>
  <si>
    <t>TECNICO CONTABLE</t>
  </si>
  <si>
    <t>YULEYSI DEL CARMEN</t>
  </si>
  <si>
    <t>SILVA RIVERA</t>
  </si>
  <si>
    <t>carmensilva98riveera@gmail.com</t>
  </si>
  <si>
    <t>SONDOR S/N</t>
  </si>
  <si>
    <t>SONDOR</t>
  </si>
  <si>
    <t>HUANCABAMBA</t>
  </si>
  <si>
    <t>ING.CIVIL</t>
  </si>
  <si>
    <t xml:space="preserve">BENIFLOR JHANISE </t>
  </si>
  <si>
    <t>INFANTE CANCHO</t>
  </si>
  <si>
    <t xml:space="preserve">Jhanisebeniflor@gmail.com </t>
  </si>
  <si>
    <t>SAN ANDRÉS S/N</t>
  </si>
  <si>
    <t xml:space="preserve">SACSAMARCA </t>
  </si>
  <si>
    <t xml:space="preserve">HUANCASANCOS </t>
  </si>
  <si>
    <t xml:space="preserve">GUSTAVO EMILIO </t>
  </si>
  <si>
    <t xml:space="preserve">TELLO JIMÉNEZ </t>
  </si>
  <si>
    <t>gustavotello1982@gmail.com</t>
  </si>
  <si>
    <t>JR. LEONCIO PRADO 139</t>
  </si>
  <si>
    <t>BARRANCA</t>
  </si>
  <si>
    <t xml:space="preserve">BARRANCA </t>
  </si>
  <si>
    <t>MARLON FELIX</t>
  </si>
  <si>
    <t>ROLDAN ALVA</t>
  </si>
  <si>
    <t>marlonfra0906@gmail.com</t>
  </si>
  <si>
    <t xml:space="preserve">RAUL JULIAN </t>
  </si>
  <si>
    <t>RENGIFO DEL AGUILA</t>
  </si>
  <si>
    <t>00107489</t>
  </si>
  <si>
    <t>pds_purus1@hotmail.com</t>
  </si>
  <si>
    <t xml:space="preserve">JR TUMBES N° 180 </t>
  </si>
  <si>
    <t>CORONEL PORTILLO</t>
  </si>
  <si>
    <t>EDWIN</t>
  </si>
  <si>
    <t xml:space="preserve">MARTÍNEZ GALVÁN </t>
  </si>
  <si>
    <t>hualitam24@gmail.com</t>
  </si>
  <si>
    <t>URBANIZACIÓN SANTA ANA S/N</t>
  </si>
  <si>
    <t>20602306331 por concepto de capacitación en contrataciones con el estado</t>
  </si>
  <si>
    <t xml:space="preserve">KARINA                                                                 </t>
  </si>
  <si>
    <t xml:space="preserve">	UTANI HURTADO</t>
  </si>
  <si>
    <t xml:space="preserve">Karinautani76@gmail.com </t>
  </si>
  <si>
    <t>JIRÓN AREQUIPA N° 515</t>
  </si>
  <si>
    <t xml:space="preserve">ABANCAY	</t>
  </si>
  <si>
    <t xml:space="preserve">APURÍMAC 	</t>
  </si>
  <si>
    <t>Daryl</t>
  </si>
  <si>
    <t>RONALD</t>
  </si>
  <si>
    <t>RAMIREZ GARCIA</t>
  </si>
  <si>
    <t>alexis04@gmail.com</t>
  </si>
  <si>
    <t>JAEN</t>
  </si>
  <si>
    <t>DIPLOMA VALORIZACIÓN Y LIQUIDACIÓN DE OBRAS POR ADMINISTRACIÓN DIRECTA Y POR CONTRATA</t>
  </si>
  <si>
    <t>NICOLAS ANTONIO</t>
  </si>
  <si>
    <t>GONZALEZ BILKOWSKIJ</t>
  </si>
  <si>
    <t>ngon2685@gmail.com</t>
  </si>
  <si>
    <t>AV MARTIR JOSE OLAYA 674, CHORRILLOS, LIMA, PERÚ</t>
  </si>
  <si>
    <t>CHORRILLOS</t>
  </si>
  <si>
    <t>EMPRESARIO</t>
  </si>
  <si>
    <t>NO HABILITADO</t>
  </si>
  <si>
    <t xml:space="preserve">RUTH ERIKA </t>
  </si>
  <si>
    <t xml:space="preserve">ZEGARRA QUICOHUAMAN </t>
  </si>
  <si>
    <t>Erikazq85@gmail.com</t>
  </si>
  <si>
    <t xml:space="preserve">JR . INDEPENDENCIA </t>
  </si>
  <si>
    <t xml:space="preserve">LA COMBENCION </t>
  </si>
  <si>
    <t xml:space="preserve">VICTOR AUGUSTO   </t>
  </si>
  <si>
    <t xml:space="preserve">ROMERO LAZO </t>
  </si>
  <si>
    <t/>
  </si>
  <si>
    <t xml:space="preserve">DOMICILIO AV LIMA 425 </t>
  </si>
  <si>
    <t xml:space="preserve">YANAHUARA </t>
  </si>
  <si>
    <t xml:space="preserve"> ING PESQUERA</t>
  </si>
  <si>
    <t>KEVIN YERSON</t>
  </si>
  <si>
    <t>ROSALES ESPINOZA</t>
  </si>
  <si>
    <t>nivek.re@gmail.com</t>
  </si>
  <si>
    <t xml:space="preserve">CL.LAS MAGNOLIAS, LAS PLANICIES DE SAN CARLOS </t>
  </si>
  <si>
    <t>TARMA</t>
  </si>
  <si>
    <t>BACH. ARQUITECTURA</t>
  </si>
  <si>
    <t xml:space="preserve">YENSS JONATHAN </t>
  </si>
  <si>
    <t>REQUEJO VEGA</t>
  </si>
  <si>
    <t>yenssrequejovega@gmail.com</t>
  </si>
  <si>
    <t>AGUSTO GILARDI J-7 STA. RITA</t>
  </si>
  <si>
    <t>SANTA RITA DE SIGUAS</t>
  </si>
  <si>
    <t>INGENIERIA CIVIL</t>
  </si>
  <si>
    <t xml:space="preserve">LENNIN NEYL </t>
  </si>
  <si>
    <t>RUBIO ALARCON</t>
  </si>
  <si>
    <t>lenninalarcom1996@gmail.com</t>
  </si>
  <si>
    <t>CALLE MARIANO MELGAR 404</t>
  </si>
  <si>
    <t xml:space="preserve">JAÉN </t>
  </si>
  <si>
    <t>SUSPENDIDO</t>
  </si>
  <si>
    <t>JOSÉ MANUEL</t>
  </si>
  <si>
    <t xml:space="preserve">APARCANA GARCÍA </t>
  </si>
  <si>
    <t>01074763</t>
  </si>
  <si>
    <t>audicontaperu@gmail.com</t>
  </si>
  <si>
    <t xml:space="preserve">JR ROSARIO FLORES 271 URB  2 DE FEBRERO </t>
  </si>
  <si>
    <t>BDA DE SHILCAYO</t>
  </si>
  <si>
    <t xml:space="preserve">SAN MARTÍN </t>
  </si>
  <si>
    <t>MARITZA ALAYO</t>
  </si>
  <si>
    <t xml:space="preserve">MARLENI </t>
  </si>
  <si>
    <t>CASQUINA ALFARO</t>
  </si>
  <si>
    <t>marlenicasquina23@gmail.com</t>
  </si>
  <si>
    <t>CALLE 25 DE MARZO MZ E LOTE 16</t>
  </si>
  <si>
    <t>LA JOYA</t>
  </si>
  <si>
    <t xml:space="preserve">JOSE JORGE </t>
  </si>
  <si>
    <t>FUENTES MARTINEZ</t>
  </si>
  <si>
    <t>fuentesmartinezjosejor@gmail.com</t>
  </si>
  <si>
    <t xml:space="preserve">CALL3 MANZANA G LOTE 22 AGRUPAMIENTO DE FAMILIAS LAS PALMAS DE PACHACAMAC DE </t>
  </si>
  <si>
    <t>PACHACAMA</t>
  </si>
  <si>
    <t>GIOVANNA DEL PILAR</t>
  </si>
  <si>
    <t xml:space="preserve"> CHINCHAY MENDOZA</t>
  </si>
  <si>
    <t>giovischm@gmail.com</t>
  </si>
  <si>
    <t>ADMINISTRACION</t>
  </si>
  <si>
    <t xml:space="preserve">JHONATAN MARCO </t>
  </si>
  <si>
    <t xml:space="preserve">CCALLOCSA CCALACHUA </t>
  </si>
  <si>
    <t>marcoccallocsaj@gmail.com</t>
  </si>
  <si>
    <t xml:space="preserve">CAYLLOMA </t>
  </si>
  <si>
    <t xml:space="preserve">ADMINISTRADOR </t>
  </si>
  <si>
    <t>DIPLOMA CREACIÓN Y GESTIÓN DE EMPRESAS DE CONSULTORÍA DE ESTUDIOS Y OBRAS CIVILES</t>
  </si>
  <si>
    <t xml:space="preserve">KELLY YULYZA </t>
  </si>
  <si>
    <t xml:space="preserve">CARBAJAL REBAZA </t>
  </si>
  <si>
    <t xml:space="preserve">yulicr.86@gmail.com </t>
  </si>
  <si>
    <t>AV. PEDRO MUÑIZ 253</t>
  </si>
  <si>
    <t xml:space="preserve">DELGADO ESPINOZA </t>
  </si>
  <si>
    <t xml:space="preserve">leididelgado8846@gmail.com </t>
  </si>
  <si>
    <t xml:space="preserve">MZ U1 LT 4 LOS OLIVOS DE PRO_ </t>
  </si>
  <si>
    <t xml:space="preserve">LOS OLIVOS </t>
  </si>
  <si>
    <t xml:space="preserve">ADMINISTRACIÓN INDUSTRIAL </t>
  </si>
  <si>
    <t>HEINE ARTURO</t>
  </si>
  <si>
    <t>AGUINAGA ORREGO</t>
  </si>
  <si>
    <t>06156069</t>
  </si>
  <si>
    <t>aao2@hotmail.com</t>
  </si>
  <si>
    <t>PEDRO</t>
  </si>
  <si>
    <t>ANCAJIMA YOVERA</t>
  </si>
  <si>
    <t>02624348</t>
  </si>
  <si>
    <t>pancajima222@gmail.com</t>
  </si>
  <si>
    <t>CALLE CRISTO NOSVALGA 136 SANTA ROSA</t>
  </si>
  <si>
    <t>26 OCTUBRE</t>
  </si>
  <si>
    <t>CONTADOR PÚBLICO</t>
  </si>
  <si>
    <t>JOSE JAIME</t>
  </si>
  <si>
    <t xml:space="preserve"> RENGIFO ABANTO</t>
  </si>
  <si>
    <t xml:space="preserve">joserengifoabanto40@gmail.com </t>
  </si>
  <si>
    <t xml:space="preserve">VINATEA REYNOSSO 777 URB: BOSQUE </t>
  </si>
  <si>
    <t>JULIO CESAR</t>
  </si>
  <si>
    <t>VENTURA LLAUCE</t>
  </si>
  <si>
    <t xml:space="preserve">cesarjulianventura@gmail.com </t>
  </si>
  <si>
    <t>CPME. EL MILAGRO SECTOR V-A MZ. "B" LT. "02"</t>
  </si>
  <si>
    <t>HUANCHACO</t>
  </si>
  <si>
    <t>DIONICIO</t>
  </si>
  <si>
    <t xml:space="preserve">HUAMANÍ HUALLPA </t>
  </si>
  <si>
    <t>dihu.hual@gmail.com</t>
  </si>
  <si>
    <t xml:space="preserve">SAN PEDRO </t>
  </si>
  <si>
    <t>LUCANAS</t>
  </si>
  <si>
    <t xml:space="preserve">ING. AGRÓNOMO </t>
  </si>
  <si>
    <t xml:space="preserve">JHON </t>
  </si>
  <si>
    <t xml:space="preserve">QUISPE ALENDEZ </t>
  </si>
  <si>
    <t>py.quispealendezjhonn1@gmail.com</t>
  </si>
  <si>
    <t>S/N</t>
  </si>
  <si>
    <t xml:space="preserve">PACOBAMBA </t>
  </si>
  <si>
    <t xml:space="preserve">ANDAHUAYLAS </t>
  </si>
  <si>
    <t xml:space="preserve">ESTUDIANTE </t>
  </si>
  <si>
    <t>CURSO DE ESPECIALIZACIÓN INTRODUCCIÓN A PYTHON</t>
  </si>
  <si>
    <t>MARIANELA LUCILA</t>
  </si>
  <si>
    <t xml:space="preserve">CAMAYO PASCUAL </t>
  </si>
  <si>
    <t>malena23248@gmail.com</t>
  </si>
  <si>
    <t xml:space="preserve">JR. LIBERTAD S/N SICAYA - HUANCAYO </t>
  </si>
  <si>
    <t>SICAYA</t>
  </si>
  <si>
    <t>WALTER</t>
  </si>
  <si>
    <t>ALVARADO CASTILLO</t>
  </si>
  <si>
    <t>ingepec.peru@gmail.com</t>
  </si>
  <si>
    <t xml:space="preserve">GENCIANAS 382 ASOCIACIÓN SAN HILARIÓN </t>
  </si>
  <si>
    <t>SAN JUAN DE LURIGANCHO</t>
  </si>
  <si>
    <t>REGIÓN LIMA</t>
  </si>
  <si>
    <t>MANUEL DE LA CRUZ</t>
  </si>
  <si>
    <t>DAVILA JORGE</t>
  </si>
  <si>
    <t>manueldavila1010@gmail.com</t>
  </si>
  <si>
    <t xml:space="preserve">AV LOMAS DE LA MOLINA VIEJA 448 </t>
  </si>
  <si>
    <t>LA MOLINA</t>
  </si>
  <si>
    <t xml:space="preserve">LEADY MARITA </t>
  </si>
  <si>
    <t xml:space="preserve">ROBLES TICONA </t>
  </si>
  <si>
    <t>Leady.lr@gmail.com</t>
  </si>
  <si>
    <t>JIRÓN PIURA 854 KM 11 COMAS</t>
  </si>
  <si>
    <t xml:space="preserve">COMAS </t>
  </si>
  <si>
    <t>ANALISTA</t>
  </si>
  <si>
    <t xml:space="preserve">OMER LITER </t>
  </si>
  <si>
    <t>CARUAJULCA CALDERON</t>
  </si>
  <si>
    <t>omercaruajulca@gmail.com</t>
  </si>
  <si>
    <t xml:space="preserve">JR. LIBERTAD </t>
  </si>
  <si>
    <t xml:space="preserve">TARAPOTO </t>
  </si>
  <si>
    <t>DIPLOMA DE ESPECIALIZACIÓN PRESUPUESTO PÚBLICO</t>
  </si>
  <si>
    <t xml:space="preserve">DIANA CAROLINA </t>
  </si>
  <si>
    <t>MEDINA ORTEGA</t>
  </si>
  <si>
    <t>DMEDINA.C25@GMAIL.COM</t>
  </si>
  <si>
    <t>ASOC. VILLA SAN ANTONIO MZ. D-2 LOTE 22</t>
  </si>
  <si>
    <t>INGENIERO COMERCIAL</t>
  </si>
  <si>
    <t xml:space="preserve">JIMMY </t>
  </si>
  <si>
    <t>MEDINA CARRASCO</t>
  </si>
  <si>
    <t>Jimmyciv@hotmail.com</t>
  </si>
  <si>
    <t>JOSE LUIS</t>
  </si>
  <si>
    <t>TRUJILLO MARTINEZ</t>
  </si>
  <si>
    <t>jotrujillodj@mpfn.gob.pe</t>
  </si>
  <si>
    <t>CRISTO SALVADOR MZ C LOTE 5</t>
  </si>
  <si>
    <t>MADRE DE DIOS</t>
  </si>
  <si>
    <t>HENRY TADEO</t>
  </si>
  <si>
    <t xml:space="preserve">DURAN MARTÍNEZ </t>
  </si>
  <si>
    <t>henryduranm1409@gmail.com</t>
  </si>
  <si>
    <t>URB. SAN FRANCISCO JR. LIBERTAD E-9</t>
  </si>
  <si>
    <t xml:space="preserve">WANCHAQ </t>
  </si>
  <si>
    <t xml:space="preserve">INGENIERO CIVIL </t>
  </si>
  <si>
    <t>RONALD DANMERT</t>
  </si>
  <si>
    <t>FERNANDEZ VALDERRAMA</t>
  </si>
  <si>
    <t>danronfv@gmail.com</t>
  </si>
  <si>
    <t xml:space="preserve">AV MASLUCAN 167 </t>
  </si>
  <si>
    <t>EL MILAGRO</t>
  </si>
  <si>
    <t>INGENIERO</t>
  </si>
  <si>
    <t>REACTIVADO</t>
  </si>
  <si>
    <t xml:space="preserve">INGRID SUGEY </t>
  </si>
  <si>
    <t>DIAZ SIME</t>
  </si>
  <si>
    <t>Ingrid.diaz23sime@gmail.com</t>
  </si>
  <si>
    <t>JR.FAUSTINO SÁNCHEZ CARRIÓN 220</t>
  </si>
  <si>
    <t xml:space="preserve">BAGUA GRANDE </t>
  </si>
  <si>
    <t xml:space="preserve">UTCUBAMBA </t>
  </si>
  <si>
    <t xml:space="preserve">AMAZONAS </t>
  </si>
  <si>
    <t xml:space="preserve">INGENIERA CIVIL </t>
  </si>
  <si>
    <t xml:space="preserve">URPY LISBETH </t>
  </si>
  <si>
    <t>IBARRA CUSIHUALLPA</t>
  </si>
  <si>
    <t>urpyzita@gmail.com</t>
  </si>
  <si>
    <t xml:space="preserve">URBANIZACION SAN SEBASTIÁN Ñ-1 CUSCO </t>
  </si>
  <si>
    <t xml:space="preserve">DISTRITO </t>
  </si>
  <si>
    <t>IRACEMA</t>
  </si>
  <si>
    <t>LOZANO HUAYCAMA</t>
  </si>
  <si>
    <t>iracemalozano22@gmail.com</t>
  </si>
  <si>
    <t>CA. MAGDALENA NUEVA#38</t>
  </si>
  <si>
    <t xml:space="preserve">VICENTE </t>
  </si>
  <si>
    <t xml:space="preserve">RUELAS QUISPE </t>
  </si>
  <si>
    <t>Vruelasq@gmail.com</t>
  </si>
  <si>
    <t xml:space="preserve">URB PIEDRA SANTA K1 </t>
  </si>
  <si>
    <t xml:space="preserve">MIGUEL LALO </t>
  </si>
  <si>
    <t xml:space="preserve">AGUILAR HUAROC </t>
  </si>
  <si>
    <t>cideco@hotmail.com</t>
  </si>
  <si>
    <t>AV. JULIO SUMAR 467 EL TAMBO - HUANCAYO</t>
  </si>
  <si>
    <t xml:space="preserve">DENNYS GUILLERMO </t>
  </si>
  <si>
    <t xml:space="preserve">MENDOZA JORGE </t>
  </si>
  <si>
    <t>DENNYS.MENDOZA@ITEKPERU.COM</t>
  </si>
  <si>
    <t>LOS OLIVOS</t>
  </si>
  <si>
    <t xml:space="preserve">GESTOR DE PROYECTOS </t>
  </si>
  <si>
    <t>CINTHYA LENNIN</t>
  </si>
  <si>
    <t>SIERRA GARIBAY</t>
  </si>
  <si>
    <t>cinthyalennin@gmail.com</t>
  </si>
  <si>
    <t>CALLE LAMBAYEQUE 395</t>
  </si>
  <si>
    <t>INGENIERA INDUSTRIAL</t>
  </si>
  <si>
    <t xml:space="preserve">NOEMITH </t>
  </si>
  <si>
    <t>BARBOZA VALLEJOS</t>
  </si>
  <si>
    <t>noemithbarbozavallejos@gmail.com</t>
  </si>
  <si>
    <t>AV. DOS OLIVOS N° 371</t>
  </si>
  <si>
    <t>ELIAS SOPLIN VARGAS</t>
  </si>
  <si>
    <t>RIOJA</t>
  </si>
  <si>
    <t>ARZENIO</t>
  </si>
  <si>
    <t>JUSE MICHAKAT</t>
  </si>
  <si>
    <t>jusearze@gmail.com</t>
  </si>
  <si>
    <t>CN HUAMPAMI</t>
  </si>
  <si>
    <t>EL CENEPA</t>
  </si>
  <si>
    <t>CONDORCANQUI</t>
  </si>
  <si>
    <t>TECNICO TITULADO EN CONTABILIDAD</t>
  </si>
  <si>
    <t>DIPLOMA DE ESPECIALIZACIÓN SIGA SIAF Y SEACE 3.0</t>
  </si>
  <si>
    <t xml:space="preserve">ENRIQUE </t>
  </si>
  <si>
    <t>GUILLEN ARI</t>
  </si>
  <si>
    <t>01204474</t>
  </si>
  <si>
    <t>Enriqueguillenari@gmail.com</t>
  </si>
  <si>
    <t>COMUNIDAD CAMPESINA LACCONI</t>
  </si>
  <si>
    <t xml:space="preserve">PLATERIA </t>
  </si>
  <si>
    <t>NANCY  MERCEDES</t>
  </si>
  <si>
    <t>BARRENECHEA AGUILAR</t>
  </si>
  <si>
    <t>06921783</t>
  </si>
  <si>
    <t>nancybarrenechea@hotmail</t>
  </si>
  <si>
    <t>JR. REP. DEL PERÚ N° 523 DPTO. 301 URB. HUAQUILLAY</t>
  </si>
  <si>
    <t xml:space="preserve">INGENIERA  CIVIL </t>
  </si>
  <si>
    <t xml:space="preserve">ABIGAIL INÉS </t>
  </si>
  <si>
    <t xml:space="preserve">CHOQUEHUAMANI TRUJILLO </t>
  </si>
  <si>
    <t>inescht0694@gmail.com</t>
  </si>
  <si>
    <t>AV. LOS GERANIOS - PATIBAMBA BAJA</t>
  </si>
  <si>
    <t xml:space="preserve">FERNANDO DAN </t>
  </si>
  <si>
    <t xml:space="preserve">MUÑOZ BETALLELUZ </t>
  </si>
  <si>
    <t>fernandodan.munoz@gmail.com</t>
  </si>
  <si>
    <t>LIMA LIMA</t>
  </si>
  <si>
    <t xml:space="preserve">JILMER HIDELSON </t>
  </si>
  <si>
    <t xml:space="preserve">MARTÍNEZ VÁSQUEZ </t>
  </si>
  <si>
    <t>jilmar30@hotmail.com</t>
  </si>
  <si>
    <t>JR. MARAÑÓN 642, SAN LORENZO, DATEM DEL MARAÑON, LORETO</t>
  </si>
  <si>
    <t xml:space="preserve">DATEM DEL MARAÑON </t>
  </si>
  <si>
    <t xml:space="preserve">RONY </t>
  </si>
  <si>
    <t xml:space="preserve">HUAMANI PILLIHUAMAN </t>
  </si>
  <si>
    <t>ronyhuamanipillihuaman@gmail.com</t>
  </si>
  <si>
    <t>JR CAHUIDE S/N</t>
  </si>
  <si>
    <t xml:space="preserve">QUEROBAMBA </t>
  </si>
  <si>
    <t xml:space="preserve">SUCRE </t>
  </si>
  <si>
    <t xml:space="preserve">TERRY DELGADO </t>
  </si>
  <si>
    <t>08362475</t>
  </si>
  <si>
    <t>terry.gladys.d@outlook.com</t>
  </si>
  <si>
    <t xml:space="preserve">AV RAMÓN VARGAS MACHUCA 161 </t>
  </si>
  <si>
    <t xml:space="preserve">SAN JUAN DE MIRAFLORES </t>
  </si>
  <si>
    <t xml:space="preserve">ADMINISTRACIÓN </t>
  </si>
  <si>
    <t xml:space="preserve">JHONATAN </t>
  </si>
  <si>
    <t xml:space="preserve">TRUJILLO MORÁN </t>
  </si>
  <si>
    <t>adc2988@gmail.com</t>
  </si>
  <si>
    <t>MZ M LOTE20 1 ERA ETAPA VILLA ALEJANDRO LURIN</t>
  </si>
  <si>
    <t xml:space="preserve">LURIN </t>
  </si>
  <si>
    <t xml:space="preserve">ARQUITECTO </t>
  </si>
  <si>
    <t>NANCY ANTONIETA</t>
  </si>
  <si>
    <t>COLLACHAGUA COTERA</t>
  </si>
  <si>
    <t>Nancycotera7@gmail.com</t>
  </si>
  <si>
    <t xml:space="preserve">AV.SIMON BOLIVAR 1095 </t>
  </si>
  <si>
    <t>PUEBLO LIBRE</t>
  </si>
  <si>
    <t>ROCKY</t>
  </si>
  <si>
    <t>SAAVEDRA TANANTA</t>
  </si>
  <si>
    <t>rockylino0103@gmail.com</t>
  </si>
  <si>
    <t>PASAJE RÍO TAMBO MZ LT 5 URB. LA HUACA</t>
  </si>
  <si>
    <t>SANTIAGO DE SURCO</t>
  </si>
  <si>
    <t xml:space="preserve">AUXILIAR DE ABASTECIMIENTO - FUERZA AÉREA DEL PERÚ </t>
  </si>
  <si>
    <t>VICTOR</t>
  </si>
  <si>
    <t xml:space="preserve">CUCHO OSIQUIANO </t>
  </si>
  <si>
    <t>Victorcuchoos27@hotmail.com</t>
  </si>
  <si>
    <t>AV. SAN MARTÍN 316</t>
  </si>
  <si>
    <t>MARIA DEL CARMEN</t>
  </si>
  <si>
    <t>MARCELA HERMENEGILDA</t>
  </si>
  <si>
    <t>AGUILAR APAZA</t>
  </si>
  <si>
    <t>procesosperu25@gmail.com</t>
  </si>
  <si>
    <t>PQ. 31 DE MAYO HUARAZ -  ANCASH.</t>
  </si>
  <si>
    <t xml:space="preserve">MANOLO EDMUNDO </t>
  </si>
  <si>
    <t xml:space="preserve">VARGAS RAMIREZ </t>
  </si>
  <si>
    <t>edmanoling16@gmail.com</t>
  </si>
  <si>
    <t xml:space="preserve">JR VICTORIA 304 - SAN MARCOS </t>
  </si>
  <si>
    <t xml:space="preserve">SAN MARCOS </t>
  </si>
  <si>
    <t>HUARI</t>
  </si>
  <si>
    <t xml:space="preserve">ING CIVIL </t>
  </si>
  <si>
    <t>DENYS PAUL</t>
  </si>
  <si>
    <t xml:space="preserve"> CAMPOS PIZARRO</t>
  </si>
  <si>
    <t xml:space="preserve"> PIZARRO13313@GMAIL.COM</t>
  </si>
  <si>
    <t>AV. JORGE CHAVEZ 1735</t>
  </si>
  <si>
    <t>SURCO</t>
  </si>
  <si>
    <t>ADMINISTRACIÓN DE EMPRESAS</t>
  </si>
  <si>
    <t xml:space="preserve">ROSALYN YHEMIRA </t>
  </si>
  <si>
    <t xml:space="preserve">RIVERA DEL CARPIO </t>
  </si>
  <si>
    <t>rousse.delcarpio28@gmail.com</t>
  </si>
  <si>
    <t>PSJE. LOS SAUCES 155</t>
  </si>
  <si>
    <t xml:space="preserve">SAN RAMÓN </t>
  </si>
  <si>
    <t xml:space="preserve">CHANCHAMAYO </t>
  </si>
  <si>
    <t xml:space="preserve">OBSTETRA </t>
  </si>
  <si>
    <t xml:space="preserve">HOGER BERNARDO </t>
  </si>
  <si>
    <t xml:space="preserve">TREJO MENA </t>
  </si>
  <si>
    <t>hobertm2009@hotmail.com</t>
  </si>
  <si>
    <t>CALLE 24 # 119</t>
  </si>
  <si>
    <t xml:space="preserve">INDEPENDENCIA </t>
  </si>
  <si>
    <t xml:space="preserve">INDEPENDIENTE </t>
  </si>
  <si>
    <t>JOAQUIN ALEJANDRO</t>
  </si>
  <si>
    <t>SARMIENTO FUENTES</t>
  </si>
  <si>
    <t>joaquin.safu@gmai.com</t>
  </si>
  <si>
    <t>PASAJE SONDOR C-3</t>
  </si>
  <si>
    <t>SAN SEBASTIAN</t>
  </si>
  <si>
    <t>ING. AMBIENTAL</t>
  </si>
  <si>
    <t xml:space="preserve">SALY LUZ </t>
  </si>
  <si>
    <t xml:space="preserve">RAMÍREZ HUARANGA </t>
  </si>
  <si>
    <t xml:space="preserve">Luzramhua20@gmail.com </t>
  </si>
  <si>
    <t xml:space="preserve">CESAR AUGUSTO SANDINO 224 </t>
  </si>
  <si>
    <t>AMARILIS</t>
  </si>
  <si>
    <t xml:space="preserve">HUÁNUCO </t>
  </si>
  <si>
    <t xml:space="preserve">CAROLINA ROSSMERY </t>
  </si>
  <si>
    <t xml:space="preserve">CAMPOS RUEDA </t>
  </si>
  <si>
    <t xml:space="preserve">carolina_campos_@hotmail.com </t>
  </si>
  <si>
    <t>CALLE ANCASH 670</t>
  </si>
  <si>
    <t>EFRAIN</t>
  </si>
  <si>
    <t>QUISPE LOPEZ</t>
  </si>
  <si>
    <t>07497612</t>
  </si>
  <si>
    <t>efrainqrl59@gmail.com</t>
  </si>
  <si>
    <t>PUEBLO HUAYLLAMPA</t>
  </si>
  <si>
    <t>PACAYCASA</t>
  </si>
  <si>
    <t>GSR DESTION DE RIESGOS</t>
  </si>
  <si>
    <t xml:space="preserve">YNDIRA SOFIA </t>
  </si>
  <si>
    <t>GUDIEL CHAVEZ</t>
  </si>
  <si>
    <t>yndiragch@gmail.com</t>
  </si>
  <si>
    <t xml:space="preserve">JIRON LEON FEDERICO MORE 146 </t>
  </si>
  <si>
    <t xml:space="preserve">LUISA DEL CARMEN </t>
  </si>
  <si>
    <t xml:space="preserve">PALERMO MENDOZA </t>
  </si>
  <si>
    <t>lpalermo33@gmail.com</t>
  </si>
  <si>
    <t>CALLE FANNING # 649-AB</t>
  </si>
  <si>
    <t xml:space="preserve">IQUITOS </t>
  </si>
  <si>
    <t xml:space="preserve">MAYNAS </t>
  </si>
  <si>
    <t>ANGEL ISRAEL</t>
  </si>
  <si>
    <t>CERVANTES INGA</t>
  </si>
  <si>
    <t>acervantes.emp@gmail.com</t>
  </si>
  <si>
    <t>JIRON MAR PERUANO 271</t>
  </si>
  <si>
    <t xml:space="preserve">GEYMER LUIS </t>
  </si>
  <si>
    <t>HUARIPATA LLANOS</t>
  </si>
  <si>
    <t>llanos26_@hotmail.com</t>
  </si>
  <si>
    <t>MIGUEL IGLESIAS</t>
  </si>
  <si>
    <t>DIPLOMA DE ESPECIALIZACIÓN TOPOGRAFÍA Y FOTOGRAMETRÍA CON DRONES</t>
  </si>
  <si>
    <t>RENE</t>
  </si>
  <si>
    <t>OROCOLLO LLANQUE</t>
  </si>
  <si>
    <t>orocompatriota@hotmail.com</t>
  </si>
  <si>
    <t>OROCOMPATRIOTA@HOTMAIL.COM</t>
  </si>
  <si>
    <t>MEGANTONI</t>
  </si>
  <si>
    <t>FRANCIS JOEL</t>
  </si>
  <si>
    <t>CARLOS QUISPE</t>
  </si>
  <si>
    <t>fcarlosq07@gmail.com</t>
  </si>
  <si>
    <t>Av. Mariscal Castilla N 2050</t>
  </si>
  <si>
    <t xml:space="preserve">LUDANIMER </t>
  </si>
  <si>
    <t xml:space="preserve">NÚÑEZ MONTALVO </t>
  </si>
  <si>
    <t>Montalvoluda14@gmail.com</t>
  </si>
  <si>
    <t xml:space="preserve">CALLE MIGUEL GRAU S/N  BARRIO CRISTO REY </t>
  </si>
  <si>
    <t xml:space="preserve">HUARMACA </t>
  </si>
  <si>
    <t xml:space="preserve">HUANCABAMBA </t>
  </si>
  <si>
    <t xml:space="preserve">YANETH ANAMERY </t>
  </si>
  <si>
    <t>FLORES VIZCARRA</t>
  </si>
  <si>
    <t>anameryfv20@gmail.com</t>
  </si>
  <si>
    <t>ANEXO DE YOJO S/N</t>
  </si>
  <si>
    <t xml:space="preserve">CUCHUMBAYA </t>
  </si>
  <si>
    <t xml:space="preserve">LIC. EN CONTABILIDAD </t>
  </si>
  <si>
    <t xml:space="preserve">JUVENAL </t>
  </si>
  <si>
    <t>CONDE GONZALES</t>
  </si>
  <si>
    <t>Juvenalconde@gmail.com</t>
  </si>
  <si>
    <t>CERCADO DE LIMA</t>
  </si>
  <si>
    <t>CONFECCIONISTA</t>
  </si>
  <si>
    <t xml:space="preserve">DAVID JOSÉ </t>
  </si>
  <si>
    <t xml:space="preserve">PUMA ALCCAHUA </t>
  </si>
  <si>
    <t>jrdmantenimiento@gmail.com</t>
  </si>
  <si>
    <t xml:space="preserve">APURÍMAC-CHALLHUAHUACHO </t>
  </si>
  <si>
    <t xml:space="preserve">CHALLHUAHUACHO </t>
  </si>
  <si>
    <t xml:space="preserve">COTABAMBAS </t>
  </si>
  <si>
    <t xml:space="preserve">APURIMAC </t>
  </si>
  <si>
    <t xml:space="preserve">TÉCNICO MINERO </t>
  </si>
  <si>
    <t xml:space="preserve">DANIEL ANGEL </t>
  </si>
  <si>
    <t>SALAS ROCA</t>
  </si>
  <si>
    <t>dsalasr@pucp.edu.pe</t>
  </si>
  <si>
    <t>NICOLAS DE PIEROLA MZ53 LT4 CMT24 - CHOSICA - LIMA</t>
  </si>
  <si>
    <t>CIENCIAS POLITICAS</t>
  </si>
  <si>
    <t>RUC: 20609731720 / La razon social: PUBLIC VALUE AND POLICYMAKERS E.I.R.L.</t>
  </si>
  <si>
    <t>KATY MARICRUZ</t>
  </si>
  <si>
    <t>CARRILLO BERLANGA</t>
  </si>
  <si>
    <t>kcarrillo@ofis.gob.pe</t>
  </si>
  <si>
    <t>SAN MATIN DE PORRES</t>
  </si>
  <si>
    <t>SOCIÓLOGA</t>
  </si>
  <si>
    <t>DIPLOMA DE ESPECIALIZACIÓN DESARROLLO ECONÓMICO TERRITORIAL</t>
  </si>
  <si>
    <t>BRAD LISBOA</t>
  </si>
  <si>
    <t xml:space="preserve">EDSON ROBERTO </t>
  </si>
  <si>
    <t xml:space="preserve">MARIN CHAMAN </t>
  </si>
  <si>
    <t>ermarin1908@gmail.com</t>
  </si>
  <si>
    <t>CALLE ARICA 504</t>
  </si>
  <si>
    <t xml:space="preserve">PUEBLO NUEVO </t>
  </si>
  <si>
    <t>FERREÑAFE</t>
  </si>
  <si>
    <t xml:space="preserve">LAMBAYEQUE </t>
  </si>
  <si>
    <t>INGENIERO DE SISTEMAS</t>
  </si>
  <si>
    <t xml:space="preserve">WALTER </t>
  </si>
  <si>
    <t xml:space="preserve">LEÓN GUERRA </t>
  </si>
  <si>
    <t xml:space="preserve">Construlegue2021@gmail.com </t>
  </si>
  <si>
    <t xml:space="preserve">URB MIRAFLORES </t>
  </si>
  <si>
    <t xml:space="preserve">BANDA DE SHILCAYO </t>
  </si>
  <si>
    <t xml:space="preserve">BRAULIO S’TEFANO </t>
  </si>
  <si>
    <t xml:space="preserve">CUZCANO RENTERIA </t>
  </si>
  <si>
    <t>bcuzcanoren@gmail.com</t>
  </si>
  <si>
    <t xml:space="preserve">PASAJE JOSÉ PLAYA #19 </t>
  </si>
  <si>
    <t>POMALCA</t>
  </si>
  <si>
    <t xml:space="preserve">CHICLAYO </t>
  </si>
  <si>
    <t xml:space="preserve">ARNOLD JONATHAN </t>
  </si>
  <si>
    <t xml:space="preserve">NEIRA RAMOS </t>
  </si>
  <si>
    <t>Jonathan.ajnr.dn@gmail.com</t>
  </si>
  <si>
    <t>CAL. PUENTE ARNAO 1815</t>
  </si>
  <si>
    <t xml:space="preserve">MIRAFLORES </t>
  </si>
  <si>
    <t>XIBELY LOPEZ</t>
  </si>
  <si>
    <t>RUSBELL JAVIER</t>
  </si>
  <si>
    <t>LLANCO CHINCHÓN</t>
  </si>
  <si>
    <t>rusbelllanco@gmail.com</t>
  </si>
  <si>
    <t>mz r17 lote  huertos de manchay</t>
  </si>
  <si>
    <t>MANCHAY</t>
  </si>
  <si>
    <t>PACHACAMAC</t>
  </si>
  <si>
    <t xml:space="preserve">HERBERTH IVAN </t>
  </si>
  <si>
    <t>UGARTE RAMOS</t>
  </si>
  <si>
    <t>ugarte3085@gmail.com</t>
  </si>
  <si>
    <t>JR. NACIONES UNIDAS N° 473 - SAN MIGUEL - JULIACA</t>
  </si>
  <si>
    <t>SAN MIGUEL</t>
  </si>
  <si>
    <t>SAN ROMÁN</t>
  </si>
  <si>
    <t xml:space="preserve">MAFER ADRIANA </t>
  </si>
  <si>
    <t xml:space="preserve">DELGADO POZO </t>
  </si>
  <si>
    <t>pozof406@gmail.com</t>
  </si>
  <si>
    <t>RICARDO PALMA CUADRA 1</t>
  </si>
  <si>
    <t xml:space="preserve">TOCACHE </t>
  </si>
  <si>
    <t>YENY ARALÍ</t>
  </si>
  <si>
    <t xml:space="preserve">SEQUEIROS CATALÁN </t>
  </si>
  <si>
    <t>ysequeirosc@gmail.com</t>
  </si>
  <si>
    <t>URB. AMPLIACIÓN SOCABAYA MZ I LOTE 10 -SOCABAYA</t>
  </si>
  <si>
    <t>SOCABAYA</t>
  </si>
  <si>
    <t xml:space="preserve">ING. CIVIL </t>
  </si>
  <si>
    <t xml:space="preserve">LUIS CARLOS </t>
  </si>
  <si>
    <t xml:space="preserve">TORRES ESPINOZA </t>
  </si>
  <si>
    <t>luiscarlostorresespinoza5@gmail.com</t>
  </si>
  <si>
    <t>AV. MICAELA BASTIDAS 449</t>
  </si>
  <si>
    <t xml:space="preserve">HUANUCO </t>
  </si>
  <si>
    <t>ARIANNA FRIAS</t>
  </si>
  <si>
    <t xml:space="preserve">GUILLERMO </t>
  </si>
  <si>
    <t xml:space="preserve">ITUSACA CALLATA </t>
  </si>
  <si>
    <t xml:space="preserve">guiyalu10@gmail.com </t>
  </si>
  <si>
    <t>JR. CANCHARANI 1075</t>
  </si>
  <si>
    <t xml:space="preserve">ING. GEOLÓGO </t>
  </si>
  <si>
    <t>MÓNICA ZORAIDA</t>
  </si>
  <si>
    <t>TURPO QUISPE</t>
  </si>
  <si>
    <t>Moni96catu@gmail.com</t>
  </si>
  <si>
    <t>JR.VALLECITO 248</t>
  </si>
  <si>
    <t>DEYBI ABEL</t>
  </si>
  <si>
    <t>RODRIGUEZ ORBEGOSO</t>
  </si>
  <si>
    <t>deybi0101@gmail.com</t>
  </si>
  <si>
    <t xml:space="preserve">CALL. JOSE OLAYA S/N DISTRITO DEL EL PORVENIR - TRUJILLO - LA LIBERTAD. </t>
  </si>
  <si>
    <t>ALEJANDRO</t>
  </si>
  <si>
    <t>LLALLA QQUECCAÑO</t>
  </si>
  <si>
    <t>021070@unsaac.edu.pe</t>
  </si>
  <si>
    <t>CALLE TRES CRUCES CHALLABAMBA</t>
  </si>
  <si>
    <t>CHALLABAMBA</t>
  </si>
  <si>
    <t>PAUCARTAMBO</t>
  </si>
  <si>
    <t xml:space="preserve">LIDIA MARLENE </t>
  </si>
  <si>
    <t xml:space="preserve">RUIZ ASUNCION </t>
  </si>
  <si>
    <t>Marleny_187@hotmail.com</t>
  </si>
  <si>
    <t xml:space="preserve">URB SAN LUIS MZ B LOTE 23 CALLE ESPINELA  TRUJILLO </t>
  </si>
  <si>
    <t>ISOLINA DEL ROCIO</t>
  </si>
  <si>
    <t>NEVADO CUEVA</t>
  </si>
  <si>
    <t>rocionevadoc@gmail.com</t>
  </si>
  <si>
    <t>MZ F1 LOTE 19 SANTA MARÍA DEL PINAR</t>
  </si>
  <si>
    <t>DERECHO</t>
  </si>
  <si>
    <t xml:space="preserve">RICHARD </t>
  </si>
  <si>
    <t>AREVALO SALAS</t>
  </si>
  <si>
    <t>05405837</t>
  </si>
  <si>
    <t>richiarevalo@hotmail.com</t>
  </si>
  <si>
    <t>JR TRUJILLO 956</t>
  </si>
  <si>
    <t xml:space="preserve">MAYNAS	</t>
  </si>
  <si>
    <t xml:space="preserve">LORETO </t>
  </si>
  <si>
    <t>.</t>
  </si>
  <si>
    <t>OLIVER</t>
  </si>
  <si>
    <t>SALVADOR ARDILES</t>
  </si>
  <si>
    <t>09987110</t>
  </si>
  <si>
    <t>oliversa30071975@gmail.com</t>
  </si>
  <si>
    <t>ASOCIACIÓN DE VIVIENDA Y HABITAT SAN ANDRES MZ M , LOTE 03</t>
  </si>
  <si>
    <t>JESÚS NAZARENO</t>
  </si>
  <si>
    <t>FERDINAND</t>
  </si>
  <si>
    <t>HUAMANI PEREZ</t>
  </si>
  <si>
    <t>ferdinandhuamaniperez@gmail.com</t>
  </si>
  <si>
    <t xml:space="preserve">AV. BELLA ABANQUINA URB. SAN LUIS ALTA </t>
  </si>
  <si>
    <t>ABANCAY</t>
  </si>
  <si>
    <t>BACH. ING CIVIL</t>
  </si>
  <si>
    <t>PRICILA</t>
  </si>
  <si>
    <t xml:space="preserve">AMAR VALDEZ </t>
  </si>
  <si>
    <t>pricilacarlaamar@gmail.com</t>
  </si>
  <si>
    <t xml:space="preserve">URB SANTA MARGARITA CC05 26 DE OCTUBRE </t>
  </si>
  <si>
    <t xml:space="preserve">26 DE OCTUBRE </t>
  </si>
  <si>
    <t xml:space="preserve">RUBITH MARISOL </t>
  </si>
  <si>
    <t xml:space="preserve">TUESTA FASABI </t>
  </si>
  <si>
    <t>rubmartf16@gmail.com</t>
  </si>
  <si>
    <t xml:space="preserve">AA.HH MALECÓN SHANUSI CALLE 08 DE JULIO MZ. A LT. 19 </t>
  </si>
  <si>
    <t xml:space="preserve">YURIMAGUAS </t>
  </si>
  <si>
    <t xml:space="preserve">ALTO AMAZONAS </t>
  </si>
  <si>
    <t xml:space="preserve">ESTUDIANTE DE CONTABILIDAD </t>
  </si>
  <si>
    <t>GRACIELA ESTHER</t>
  </si>
  <si>
    <t>REY URETA</t>
  </si>
  <si>
    <t>gracielacont1@hotmail.com</t>
  </si>
  <si>
    <t>JR. SAN MARTIN 1320 SANTA CLARA</t>
  </si>
  <si>
    <t>ATE</t>
  </si>
  <si>
    <t xml:space="preserve">EDITA ELIZABETH </t>
  </si>
  <si>
    <t xml:space="preserve">HUACHEZ AQUINO </t>
  </si>
  <si>
    <t>74875593</t>
  </si>
  <si>
    <t>aquinohedita@gmail.com</t>
  </si>
  <si>
    <t>JR. TOCACHE #865</t>
  </si>
  <si>
    <t>TOCACHE</t>
  </si>
  <si>
    <t>SAN MARTÍN</t>
  </si>
  <si>
    <t xml:space="preserve">JULY ERIKA </t>
  </si>
  <si>
    <t xml:space="preserve">PRADO ORELLANA </t>
  </si>
  <si>
    <t>erickaxx@hotmail.com</t>
  </si>
  <si>
    <t>MZ 6 LT 4 MUSA</t>
  </si>
  <si>
    <t>ADMINISTRADORA</t>
  </si>
  <si>
    <t xml:space="preserve">FROILAN </t>
  </si>
  <si>
    <t xml:space="preserve">AYCACHI PAYE </t>
  </si>
  <si>
    <t>froilanaycachi@gmail.com</t>
  </si>
  <si>
    <t xml:space="preserve">AV.FERNANDO BELAÚNDE TERRY </t>
  </si>
  <si>
    <t xml:space="preserve">CIUDAD CONSTITUCIÓN </t>
  </si>
  <si>
    <t xml:space="preserve">OXAPAMPA </t>
  </si>
  <si>
    <t xml:space="preserve">PASCO </t>
  </si>
  <si>
    <t>ISMAEL CHRIS SHALUAR</t>
  </si>
  <si>
    <t>BUENDIA VALDEZ</t>
  </si>
  <si>
    <t>Ibuendia@trazidea.com</t>
  </si>
  <si>
    <t xml:space="preserve">CALLE LAS FLORES 104 </t>
  </si>
  <si>
    <t>CARMEN DE LA LEGUA</t>
  </si>
  <si>
    <t>CALLAO</t>
  </si>
  <si>
    <t>DISEÑADOR GRAFICO</t>
  </si>
  <si>
    <t xml:space="preserve">AIDA LUZ </t>
  </si>
  <si>
    <t>CONTRERAS APONTE</t>
  </si>
  <si>
    <t>acontlegal@gmail.com</t>
  </si>
  <si>
    <t>JR. ANACSH N° 151 OF. 105</t>
  </si>
  <si>
    <t>JUNÍN</t>
  </si>
  <si>
    <t>ABOGADA</t>
  </si>
  <si>
    <t>Ya no desea el programa.</t>
  </si>
  <si>
    <t xml:space="preserve">EDGAR WILBER </t>
  </si>
  <si>
    <t>ALCARRAZ QUISPE</t>
  </si>
  <si>
    <t>alcarraz.e@hotmail.com</t>
  </si>
  <si>
    <t>JR. JULIO C TELLO 250</t>
  </si>
  <si>
    <t xml:space="preserve">ING. AGROINDUSTRIAL </t>
  </si>
  <si>
    <t>ETZON MARX</t>
  </si>
  <si>
    <t>RICO RIOS</t>
  </si>
  <si>
    <t>ricorios1986@gmail.com</t>
  </si>
  <si>
    <t>JR MANTARO S/N HUAYUCACHI</t>
  </si>
  <si>
    <t>HUAYUCACHI</t>
  </si>
  <si>
    <t xml:space="preserve">CESAR AUGUSTO </t>
  </si>
  <si>
    <t xml:space="preserve">VALLADARES SANDOVAL </t>
  </si>
  <si>
    <t>ccvalladaress@gmail.com</t>
  </si>
  <si>
    <t>PASAJE SAN ANDRES N 116</t>
  </si>
  <si>
    <t>DIPLOMA RESIDENCIA Y SUPERVICIÓN DE OBRAS PÚBLICAS Y PRIVADADAS</t>
  </si>
  <si>
    <t>LIMA MALLMA</t>
  </si>
  <si>
    <t>Raúl.limamallma@gmail.com</t>
  </si>
  <si>
    <t>CERRO COLORADO</t>
  </si>
  <si>
    <t>TECNICO</t>
  </si>
  <si>
    <t>YSABEL GUEVARA</t>
  </si>
  <si>
    <t xml:space="preserve">OSCAR ERNESTO </t>
  </si>
  <si>
    <t xml:space="preserve">RODRÍGUEZ ESPINOZA </t>
  </si>
  <si>
    <t>07672588</t>
  </si>
  <si>
    <t>oerodrigueze@hotmail.com</t>
  </si>
  <si>
    <t>COOPERATIVA DE VIVIENDA ALFONSO COBIÁN MZ. F LOTE 27-A</t>
  </si>
  <si>
    <t xml:space="preserve">CHACLACAYO </t>
  </si>
  <si>
    <t>MARÍA DOMINGA</t>
  </si>
  <si>
    <t xml:space="preserve">ZÁRATE LAZO </t>
  </si>
  <si>
    <t>malu040119792024@gmail.com</t>
  </si>
  <si>
    <t xml:space="preserve">JUNIN 713 </t>
  </si>
  <si>
    <t xml:space="preserve">SANTA ANITA </t>
  </si>
  <si>
    <t>RENATO TENORIO</t>
  </si>
  <si>
    <t>ERIK KENDAL</t>
  </si>
  <si>
    <t>CÁCERES FLORES</t>
  </si>
  <si>
    <t>kendaleconomia@gmail.com</t>
  </si>
  <si>
    <t>JR. PEDRO RUIZ GALLO S/N</t>
  </si>
  <si>
    <t>SANTA ROSA</t>
  </si>
  <si>
    <t>LA MAR</t>
  </si>
  <si>
    <t>GENESIS ARACELY</t>
  </si>
  <si>
    <t>SOCOLA HERRERA</t>
  </si>
  <si>
    <t>Socolaherrrag@gmail.com</t>
  </si>
  <si>
    <t>CALLE HORACIO PATIÑO</t>
  </si>
  <si>
    <t>SAN JACINTO</t>
  </si>
  <si>
    <t>TUMBES</t>
  </si>
  <si>
    <t>ECONOMIA</t>
  </si>
  <si>
    <t xml:space="preserve">JAIBERTH ARNOLD </t>
  </si>
  <si>
    <t xml:space="preserve">IGLESIAS GONZALES </t>
  </si>
  <si>
    <t>jaiberth.ig@gmail.com</t>
  </si>
  <si>
    <t>PSJE ALFONSO UGARTE MZ I LT 06</t>
  </si>
  <si>
    <t>CHIMBOTE</t>
  </si>
  <si>
    <t>SANTA</t>
  </si>
  <si>
    <t>LUIS ALFONSO</t>
  </si>
  <si>
    <t>VILCA GONZALES</t>
  </si>
  <si>
    <t>luisvilgon1976@gmail.com</t>
  </si>
  <si>
    <t>PJE MARÍA VALDIVIA MZA B LOTE 12</t>
  </si>
  <si>
    <t xml:space="preserve">TAMBOPATA </t>
  </si>
  <si>
    <t xml:space="preserve">NANCY ISABEL </t>
  </si>
  <si>
    <t xml:space="preserve">CHARCAPE BALTODANO </t>
  </si>
  <si>
    <t>charcape_ni9@hotmail.com</t>
  </si>
  <si>
    <t xml:space="preserve">AV. JOSÉ PARDO 984 CHIMBOTE </t>
  </si>
  <si>
    <t xml:space="preserve">ANCASH </t>
  </si>
  <si>
    <t xml:space="preserve">YURINA </t>
  </si>
  <si>
    <t>GAMEZ HUALLPA</t>
  </si>
  <si>
    <t>yurigam7@gmail.com</t>
  </si>
  <si>
    <t>URB. J.L.B.Y R. SECTOR III, LT 1 MZ 6</t>
  </si>
  <si>
    <t xml:space="preserve">CERRO COLORADO </t>
  </si>
  <si>
    <t xml:space="preserve">JAIDI </t>
  </si>
  <si>
    <t xml:space="preserve">QUISPE GÓMEZ </t>
  </si>
  <si>
    <t>jaidiquispegomez@gmail.com</t>
  </si>
  <si>
    <t>CALLE AYACUCHO SN</t>
  </si>
  <si>
    <t xml:space="preserve">RAMÓN CASTILLA </t>
  </si>
  <si>
    <t xml:space="preserve">MARISCAL RAMÓN CASTILLA </t>
  </si>
  <si>
    <t xml:space="preserve">TE. CONTABILIDAD </t>
  </si>
  <si>
    <t>FERMIN</t>
  </si>
  <si>
    <t>DOMINGUEZ MENDOZA</t>
  </si>
  <si>
    <t>dominguezmendozaf@yahoo.com</t>
  </si>
  <si>
    <t>COMUNIDAD CCOLLANA DISTRITO VELILLE CHUMBIVILCAS</t>
  </si>
  <si>
    <t>VELILLE</t>
  </si>
  <si>
    <t>CHUMBIVILCAS</t>
  </si>
  <si>
    <t>INGENIERO AGRONOMO</t>
  </si>
  <si>
    <t>ELIZABETH YERALDINE</t>
  </si>
  <si>
    <t xml:space="preserve">MENDOZA LUJAN </t>
  </si>
  <si>
    <t>elizaml0107@gmail.com</t>
  </si>
  <si>
    <t xml:space="preserve">JR. CARLOS MARIATEGUI MZQ LT 11 1 DE MAYO NVO CHIMBOTE </t>
  </si>
  <si>
    <t>NUEVO CHIMBOTE</t>
  </si>
  <si>
    <t>EDMUNDO EDINSON</t>
  </si>
  <si>
    <t>BALVIN MENDEZ</t>
  </si>
  <si>
    <t>ediarq_21@hotmail.com</t>
  </si>
  <si>
    <t>CALLE JUAN BACH 864 URB. PRIMAVERA</t>
  </si>
  <si>
    <t>ANDRES ALVARO</t>
  </si>
  <si>
    <t>FERNANDEZ ESTOFANERO</t>
  </si>
  <si>
    <t>02434720</t>
  </si>
  <si>
    <t>afernandez.f32@gmail.com</t>
  </si>
  <si>
    <t>RAMON CASTILLA 133</t>
  </si>
  <si>
    <t xml:space="preserve">JUAN CARLOS </t>
  </si>
  <si>
    <t xml:space="preserve">ESPINOZA VASQUEZ </t>
  </si>
  <si>
    <t>juan.espinoza.usil@gmail.com</t>
  </si>
  <si>
    <t xml:space="preserve">CALLE 55 MZ XX2 LT 27 PRO </t>
  </si>
  <si>
    <t xml:space="preserve">ADMINISTRADOR DE EMPRESAS </t>
  </si>
  <si>
    <t>CURSO ANÁLISIS DE SENSIBILIDAD Y RIESGO CON @RISK</t>
  </si>
  <si>
    <t>CALIXTO</t>
  </si>
  <si>
    <t>SEJEKAM ASANGKAY</t>
  </si>
  <si>
    <t>csejekam75@gmail.com</t>
  </si>
  <si>
    <t>LA POZA</t>
  </si>
  <si>
    <t>RIO SANTIAGO</t>
  </si>
  <si>
    <t>DOCENTE</t>
  </si>
  <si>
    <t>ROSARIO RAMON</t>
  </si>
  <si>
    <t>VENTURA VENEGAS</t>
  </si>
  <si>
    <t>06717047</t>
  </si>
  <si>
    <t>venturavr2015@gmail.com</t>
  </si>
  <si>
    <t>CALLE LAS ÁGUILAS MZ-C LTE.21 URB. CÓNDOR CALLAO</t>
  </si>
  <si>
    <t>JANDIR</t>
  </si>
  <si>
    <t xml:space="preserve">GARCÍA MENDOZA </t>
  </si>
  <si>
    <t>ingjan9116@gmail.com</t>
  </si>
  <si>
    <t>PISTA PRINCIPAL HUACARPAY S/N</t>
  </si>
  <si>
    <t xml:space="preserve">LUCRE </t>
  </si>
  <si>
    <t>QUISPICANCHI</t>
  </si>
  <si>
    <t xml:space="preserve">ANDRÉS LEONIDAS </t>
  </si>
  <si>
    <t xml:space="preserve">PAYÉ COLQUEHUANCA </t>
  </si>
  <si>
    <t>02141321</t>
  </si>
  <si>
    <t>andreus0457@gmail.com</t>
  </si>
  <si>
    <t>JR. YAVERO C9-18E URB. TAPARACHI</t>
  </si>
  <si>
    <t>JOSUE</t>
  </si>
  <si>
    <t>MENDEZ MORA</t>
  </si>
  <si>
    <t>josue0705.a@gmail.com</t>
  </si>
  <si>
    <t>MZ A LT 33 JR DIAMANTES</t>
  </si>
  <si>
    <t>CONTABILIDAD INCOMPLETA</t>
  </si>
  <si>
    <t xml:space="preserve">ELVIS ANTONIO </t>
  </si>
  <si>
    <t xml:space="preserve">MAYANGA BENITES </t>
  </si>
  <si>
    <t>benitesantoniomayanga@gmail.com</t>
  </si>
  <si>
    <t>URB. LA UNIÓN CALLÉ JOSÉ CARLOS MARIÁTEGUI S/N</t>
  </si>
  <si>
    <t xml:space="preserve">BEZALEEL FERNANDO </t>
  </si>
  <si>
    <t xml:space="preserve">MARCELINO  ALARCON </t>
  </si>
  <si>
    <t>marcelinoalarcon25@gmail.com</t>
  </si>
  <si>
    <t xml:space="preserve"> LIDA TERESA </t>
  </si>
  <si>
    <t>QUISPE SOLANO</t>
  </si>
  <si>
    <t>liquispe03@hotmail.com</t>
  </si>
  <si>
    <t>JIRÓN DOS DE MAYO 420</t>
  </si>
  <si>
    <t xml:space="preserve">HUARIPAMPA </t>
  </si>
  <si>
    <t>HERRERA TOMAYRO</t>
  </si>
  <si>
    <t xml:space="preserve">marjorijomar@gmail.com </t>
  </si>
  <si>
    <t>CALLE IRMA CONISLLA MZ L LOTE 8 - SECTOR EL PORVENIR</t>
  </si>
  <si>
    <t xml:space="preserve">SAN CLEMENTE </t>
  </si>
  <si>
    <t xml:space="preserve">PISCO </t>
  </si>
  <si>
    <t>ADMINISTRADOR</t>
  </si>
  <si>
    <t xml:space="preserve">PEZO SANCHEZ </t>
  </si>
  <si>
    <t>ppezosanchez@gmail.com</t>
  </si>
  <si>
    <t>RAFAEL ESCARDO 166</t>
  </si>
  <si>
    <t xml:space="preserve">SAN MIGUEL </t>
  </si>
  <si>
    <t xml:space="preserve">INGENIERO QUÍMICO </t>
  </si>
  <si>
    <t>CARLOS EDUARDO</t>
  </si>
  <si>
    <t>HIDALGO TORRES</t>
  </si>
  <si>
    <t>05342252</t>
  </si>
  <si>
    <t>Hidalgotorres1156@gmail.com</t>
  </si>
  <si>
    <t>NAVARRO KAUPER NRO. 458</t>
  </si>
  <si>
    <t>10/10, 15/10, 20/10 Y 25/10</t>
  </si>
  <si>
    <t xml:space="preserve">MABEL ELIZABET </t>
  </si>
  <si>
    <t>LLANOS DELGADO</t>
  </si>
  <si>
    <t>llanosdelgadomabelelizabet@gmail.com</t>
  </si>
  <si>
    <t>ZARUMILLA N° 1345</t>
  </si>
  <si>
    <t>INGENIERA AMBIENTAL</t>
  </si>
  <si>
    <t>YA NO DESEA LLEVAR NINGUN PROGRAMA</t>
  </si>
  <si>
    <t>NOEMI</t>
  </si>
  <si>
    <t>ROJAS MONTOYA</t>
  </si>
  <si>
    <t>Noemi18334@gmail.com</t>
  </si>
  <si>
    <t>ASOC DE VIVIENDA SANTA MARIA MZ D LT 16 PACHINGA - PISCO</t>
  </si>
  <si>
    <t>PISCO</t>
  </si>
  <si>
    <t xml:space="preserve">MARISOL </t>
  </si>
  <si>
    <t xml:space="preserve">LEON MARTÍNEZ </t>
  </si>
  <si>
    <t xml:space="preserve">marisolleonmartinez2@gmail.com </t>
  </si>
  <si>
    <t xml:space="preserve">AV. ANDRES AVELINO CACERES CON AA.HH MARACANA </t>
  </si>
  <si>
    <t xml:space="preserve">CONTADORA PUBLICA </t>
  </si>
  <si>
    <t>ESCRENYER GRADWFORD</t>
  </si>
  <si>
    <t xml:space="preserve">CRUZ ARMIJOS </t>
  </si>
  <si>
    <t>eskeny2011@hotmail.com</t>
  </si>
  <si>
    <t>CASERIO YUMBE S/N</t>
  </si>
  <si>
    <t xml:space="preserve">EL CARMEN DE LA FRONTERA </t>
  </si>
  <si>
    <t>POCCO VARGAS</t>
  </si>
  <si>
    <t>ypoccovargas@gmail.com</t>
  </si>
  <si>
    <t>CALLE SAN MARTIN S/N</t>
  </si>
  <si>
    <t xml:space="preserve">ANDAHUAYLILLAS </t>
  </si>
  <si>
    <t xml:space="preserve">TÉCNICO EN CONTABILIDAD </t>
  </si>
  <si>
    <t xml:space="preserve">DENNYS JORGE </t>
  </si>
  <si>
    <t xml:space="preserve">VELASQUEZ PÉREZ </t>
  </si>
  <si>
    <t>dennys_29_91@hotmail.com</t>
  </si>
  <si>
    <t xml:space="preserve">URB. NICOLÁS GARATEA MZ 3 LT 26 NUEVO CHIMBOTE </t>
  </si>
  <si>
    <t xml:space="preserve">NUEVO CHIMBOTE </t>
  </si>
  <si>
    <t>JUAN ALBERTO</t>
  </si>
  <si>
    <t>AMESQUITA MAQUERA</t>
  </si>
  <si>
    <t>00504117</t>
  </si>
  <si>
    <t>amesquita75@hotmail.com</t>
  </si>
  <si>
    <t>URBANIZACIÓN RETABLO -CONDOMINIO VISTA SOL- BLOCK G20-DPTO.405</t>
  </si>
  <si>
    <t>COMAS</t>
  </si>
  <si>
    <t>BERTHA CONSUELO</t>
  </si>
  <si>
    <t>SAAVEDRA MARIN</t>
  </si>
  <si>
    <t>saavedra.bc@gmail.com</t>
  </si>
  <si>
    <t>AV. PASEO PARODI 387</t>
  </si>
  <si>
    <t>SAN ISIDRO</t>
  </si>
  <si>
    <t xml:space="preserve">GERSON OMAR </t>
  </si>
  <si>
    <t xml:space="preserve">PISCONTE BECERRA </t>
  </si>
  <si>
    <t>gersonpisconte87@gmail.com</t>
  </si>
  <si>
    <t>AV BUENOS AIRES DE VILLA</t>
  </si>
  <si>
    <t xml:space="preserve">CHORRILLOS </t>
  </si>
  <si>
    <t>JEAN PIEERS</t>
  </si>
  <si>
    <t>JARICHE PACHAS</t>
  </si>
  <si>
    <t>JEAN18_07@HOTMAIL.COM</t>
  </si>
  <si>
    <t>ANEXO MIRAFLORES - QUILMANA - CAÑETE</t>
  </si>
  <si>
    <t>QUILMANA</t>
  </si>
  <si>
    <t>CAÑETE</t>
  </si>
  <si>
    <t>SANTOS MARQUIÑOS</t>
  </si>
  <si>
    <t xml:space="preserve">RIVEROS GERONIMO </t>
  </si>
  <si>
    <t>santosm.riverosg@gmail.com</t>
  </si>
  <si>
    <t xml:space="preserve">TRUJILLO, LA LIBERTAD </t>
  </si>
  <si>
    <t xml:space="preserve">HUANCHACO </t>
  </si>
  <si>
    <t xml:space="preserve">INGENIERO MECÁNICO ELECTRICISTA </t>
  </si>
  <si>
    <t xml:space="preserve">DIANA LUZ </t>
  </si>
  <si>
    <t xml:space="preserve">RUEDA SANTAMARIA </t>
  </si>
  <si>
    <t>dianaruedasantamaria@gmail.com</t>
  </si>
  <si>
    <t xml:space="preserve">PASAJE LAS MORAS 264 </t>
  </si>
  <si>
    <t>EDWIN WALDIR</t>
  </si>
  <si>
    <t>SALAS CHUYACAMA</t>
  </si>
  <si>
    <t>waldirsalasch1987@gmail.com</t>
  </si>
  <si>
    <t xml:space="preserve">CALLE ESPINAR S/N </t>
  </si>
  <si>
    <t>ANDAHAUYLILLAS</t>
  </si>
  <si>
    <t xml:space="preserve">CARLOS CÉSAR </t>
  </si>
  <si>
    <t xml:space="preserve">RAMÍREZ PANDURO </t>
  </si>
  <si>
    <t>cesar-ra8@outlook.com</t>
  </si>
  <si>
    <t>CALLE BOLOGNESI 611</t>
  </si>
  <si>
    <t>INGENIERIA AGRICOLA</t>
  </si>
  <si>
    <t>VALERIANA</t>
  </si>
  <si>
    <t xml:space="preserve">ENRÍQUEZ VALDERRAMA </t>
  </si>
  <si>
    <t>vvaleriam1@gmail.com</t>
  </si>
  <si>
    <t>AH LUIS VALLEJOS SANTONI F-5 SANTIAGO</t>
  </si>
  <si>
    <t>SANTIAGO</t>
  </si>
  <si>
    <t xml:space="preserve">TÉCNICA EN CONTABILIDAD </t>
  </si>
  <si>
    <t>EDDY</t>
  </si>
  <si>
    <t>TALAVERA CAMPOS</t>
  </si>
  <si>
    <t>eddytalaverac@gmail.com</t>
  </si>
  <si>
    <t>JR. MADRE TERESA DE CALCUTA 203, URB. SANTO DOMINGO CARABAYLLO LIMA</t>
  </si>
  <si>
    <t>CARABAYLLO</t>
  </si>
  <si>
    <t>Atendido con CRM invitación a sus clases, solo preguntó horarios y le atendimos</t>
  </si>
  <si>
    <t>ZAMALLOA CHOQUE</t>
  </si>
  <si>
    <t>wwwzam40@gmail.com</t>
  </si>
  <si>
    <t>JR. EUSEBIO DELGADO N 151</t>
  </si>
  <si>
    <t>SICUANI</t>
  </si>
  <si>
    <t>TECNICO CONSTRUCCION CIVIL</t>
  </si>
  <si>
    <t>No estaba en automatización, ya se le colocó. Angie le envío el enlace para la primera clase</t>
  </si>
  <si>
    <t>ANDERSON GUILLERMO</t>
  </si>
  <si>
    <t>PEÑA VILLANUEVA</t>
  </si>
  <si>
    <t>ing.anderp@gmail.com</t>
  </si>
  <si>
    <t>JR. ROSEMBERG 163</t>
  </si>
  <si>
    <t>CIVIL</t>
  </si>
  <si>
    <t>Atendido, automatizado con clases en vivo, no hizo consultas</t>
  </si>
  <si>
    <t>WALDYR ARTEMIO</t>
  </si>
  <si>
    <t xml:space="preserve">CIFUENTES DAVILA </t>
  </si>
  <si>
    <t>wallycif@gmail.com</t>
  </si>
  <si>
    <t>AV 28 DE JULIO 351</t>
  </si>
  <si>
    <t xml:space="preserve">CERRO AZUL </t>
  </si>
  <si>
    <t xml:space="preserve">TÉCNICO EN ARQUITECTURA </t>
  </si>
  <si>
    <t>JUAN JOSÉ</t>
  </si>
  <si>
    <t>AVELLANEDA VALERIANO</t>
  </si>
  <si>
    <t>jjavellaneda_v@hotmail.com</t>
  </si>
  <si>
    <t xml:space="preserve">RODRIGO DE TRIANA 261 </t>
  </si>
  <si>
    <t>LA VICTORIA</t>
  </si>
  <si>
    <t>INGENIERO MECÁNICO ELÉCTRICO</t>
  </si>
  <si>
    <t xml:space="preserve">JORGE WASHINGTON </t>
  </si>
  <si>
    <t xml:space="preserve">CHALLCO QUISPE </t>
  </si>
  <si>
    <t>02411516</t>
  </si>
  <si>
    <t>jwchallco57@gmail.com</t>
  </si>
  <si>
    <t>JR. LOS KOLLIS N 164</t>
  </si>
  <si>
    <t xml:space="preserve">RAÚL DIONISIO </t>
  </si>
  <si>
    <t xml:space="preserve">CASTILLO SALAS </t>
  </si>
  <si>
    <t>kkastillo94@gmail.com</t>
  </si>
  <si>
    <t xml:space="preserve">PSJ. MAMÁ OCLLU </t>
  </si>
  <si>
    <t xml:space="preserve">HUARAZ </t>
  </si>
  <si>
    <t xml:space="preserve">JUAN PABLO </t>
  </si>
  <si>
    <t xml:space="preserve">CÁRDENAS CHAMBI </t>
  </si>
  <si>
    <t xml:space="preserve">Juanpablocardenaschambi@gmail.com </t>
  </si>
  <si>
    <t>AV TRIUNFO S/N</t>
  </si>
  <si>
    <t xml:space="preserve">SAN ROMAN </t>
  </si>
  <si>
    <t>ESTUDIANTE</t>
  </si>
  <si>
    <t>VICTOR EDINSON</t>
  </si>
  <si>
    <t>SALINAS CRUZ</t>
  </si>
  <si>
    <t>viesac@hotmail.com</t>
  </si>
  <si>
    <t>CA. JOSE MARTI 1348</t>
  </si>
  <si>
    <t>LA ESPERANZA</t>
  </si>
  <si>
    <t>BABY FERNANDO</t>
  </si>
  <si>
    <t>MESTANZA ROJAS</t>
  </si>
  <si>
    <t>NANDOCARO_24@HOTMAIL.COM</t>
  </si>
  <si>
    <t>AV UNIVERSITARIA S/N PAMPAGRANDE</t>
  </si>
  <si>
    <t>BAMBAMARCA</t>
  </si>
  <si>
    <t>HUALGAYOC</t>
  </si>
  <si>
    <t xml:space="preserve">JOSE ENRIQUE </t>
  </si>
  <si>
    <t>SOSA PATIÑO</t>
  </si>
  <si>
    <t>03668473</t>
  </si>
  <si>
    <t xml:space="preserve"> pepesosa28@yahoo.es </t>
  </si>
  <si>
    <t>UBR JARDIN MZ C-1 LT 13 SULLANA PIURA</t>
  </si>
  <si>
    <t xml:space="preserve">SULLANA </t>
  </si>
  <si>
    <t xml:space="preserve">ING AGRONOMO </t>
  </si>
  <si>
    <t>BARTOLOME</t>
  </si>
  <si>
    <t>CUYA CONDE</t>
  </si>
  <si>
    <t>08275562</t>
  </si>
  <si>
    <t>Apoloares19@gmail.com</t>
  </si>
  <si>
    <t>AV. 27 DE NOVIEMBRE S/N, MZ "C", LOTE 27, TREBOL AZUL</t>
  </si>
  <si>
    <t>SAN JUAN DE MIRAFLORES</t>
  </si>
  <si>
    <t>ING. TRANSPORTES</t>
  </si>
  <si>
    <t xml:space="preserve">JIMMY JONATHAN </t>
  </si>
  <si>
    <t xml:space="preserve">AYLLON GUABLOCHE </t>
  </si>
  <si>
    <t>Ayllon65@gmail.com</t>
  </si>
  <si>
    <t>CAL. GANSO AZUL 526</t>
  </si>
  <si>
    <t>PUNCHANA</t>
  </si>
  <si>
    <t xml:space="preserve">EDGAR PELAYO </t>
  </si>
  <si>
    <t xml:space="preserve">SÁNCHEZ CRUZ </t>
  </si>
  <si>
    <t>edgarpelayo12@hotmail.com</t>
  </si>
  <si>
    <t xml:space="preserve">JR. SIMON E. SANCHEZ 375 HUANTA </t>
  </si>
  <si>
    <t>HUANTA</t>
  </si>
  <si>
    <t>CURSO COSTOS Y PRESUPUESTOS S10</t>
  </si>
  <si>
    <t xml:space="preserve">EDGAR </t>
  </si>
  <si>
    <t xml:space="preserve">HUILLCA PÉREZ </t>
  </si>
  <si>
    <t>edgarhuillca2018@gmail.com</t>
  </si>
  <si>
    <t xml:space="preserve">JR PRIMAVERA CAMINO A </t>
  </si>
  <si>
    <t>EDINSON JAIME</t>
  </si>
  <si>
    <t>LOPEZ CARLOS</t>
  </si>
  <si>
    <t>edinsonjlc1982@hotmail.com</t>
  </si>
  <si>
    <t>VICTOR DOIG LORA-LAMBAYEQUE</t>
  </si>
  <si>
    <t>INGENIRO</t>
  </si>
  <si>
    <t>CHRISTIAN</t>
  </si>
  <si>
    <t>CARBAJAL BARBARON</t>
  </si>
  <si>
    <t>51928460916</t>
  </si>
  <si>
    <t>Christian.Barbaron@gmail.com</t>
  </si>
  <si>
    <t xml:space="preserve">JR COCHARCAS </t>
  </si>
  <si>
    <t xml:space="preserve">ORCOTUNA </t>
  </si>
  <si>
    <t>CONCEPCION</t>
  </si>
  <si>
    <t xml:space="preserve">ESTUDIANTE DE A INGENIERÍA INDUSTRIAL,AGENTE INMOBILIARIO </t>
  </si>
  <si>
    <t>FERNANDO</t>
  </si>
  <si>
    <t>CORDERO LAGOS</t>
  </si>
  <si>
    <t>51999111290</t>
  </si>
  <si>
    <t>estudiocontablemafe@gmail.com</t>
  </si>
  <si>
    <t>JR POKRAS MZ D 4</t>
  </si>
  <si>
    <t>CARMEN ALTO</t>
  </si>
  <si>
    <t>HA APROBADO EL CURSO - COBRAR</t>
  </si>
  <si>
    <t>WILLI</t>
  </si>
  <si>
    <t xml:space="preserve">PAUCAR DAMIAN </t>
  </si>
  <si>
    <t>51994305377</t>
  </si>
  <si>
    <t>robelitopaucar@gmail.com</t>
  </si>
  <si>
    <t xml:space="preserve">IVAN ROLANDO </t>
  </si>
  <si>
    <t>HERRERA SOLIS</t>
  </si>
  <si>
    <t>51910133946</t>
  </si>
  <si>
    <t>ivann2088@gmail.com</t>
  </si>
  <si>
    <t>CASERIO DE MANYAMPAMPA CENTRO POBLADO DE CARHUAYOC</t>
  </si>
  <si>
    <t>SAN MARCOS</t>
  </si>
  <si>
    <t>🎁 @risk, 🎁 Curso de Elaboración de Propuesta Técnica - Económica para licitar con el estado.</t>
  </si>
  <si>
    <t>CHRISTIAN EDGAR</t>
  </si>
  <si>
    <t>LUZARDO VENEGAS</t>
  </si>
  <si>
    <t>51994773574</t>
  </si>
  <si>
    <t>eltransportadorsac@hotmail.com</t>
  </si>
  <si>
    <t>AV AMANCAES 181 AYACUCHO</t>
  </si>
  <si>
    <t>WALDIR</t>
  </si>
  <si>
    <t>INQUIL AYQUIPA</t>
  </si>
  <si>
    <t>51917111861</t>
  </si>
  <si>
    <t>Ia_waldir@hotmail.com</t>
  </si>
  <si>
    <t>LIMA-ATE</t>
  </si>
  <si>
    <t>ECONOMISTAB</t>
  </si>
  <si>
    <t xml:space="preserve">NORMA OLINDA </t>
  </si>
  <si>
    <t>TTIMPO TICONA</t>
  </si>
  <si>
    <t>51999902301</t>
  </si>
  <si>
    <t>normattimpo@gmail.com</t>
  </si>
  <si>
    <t>AV. ALFONSO UGARTE NRO 435 - PUNO</t>
  </si>
  <si>
    <t>MILTON CIRO</t>
  </si>
  <si>
    <t>ARCE SANCHEZ</t>
  </si>
  <si>
    <t>51983977088</t>
  </si>
  <si>
    <t>ciarsan26@gmail.com</t>
  </si>
  <si>
    <t>JR. LA MERCED 122</t>
  </si>
  <si>
    <t>CHACHAPOYAS</t>
  </si>
  <si>
    <t>WALTER REMIGIO</t>
  </si>
  <si>
    <t xml:space="preserve">MORALES HUAMANÍ </t>
  </si>
  <si>
    <t>51944907573</t>
  </si>
  <si>
    <t xml:space="preserve">morales123walter@gmail.com </t>
  </si>
  <si>
    <t xml:space="preserve">CALLE GUADALUPE 555 CONDOMINIO ARTECO </t>
  </si>
  <si>
    <t xml:space="preserve"> 2 CURSOS EXTRAS </t>
  </si>
  <si>
    <t xml:space="preserve">JHON FERNER </t>
  </si>
  <si>
    <t xml:space="preserve">HURTADO LÓPEZ </t>
  </si>
  <si>
    <t>51996503744</t>
  </si>
  <si>
    <t>ferner761@hotmail.com</t>
  </si>
  <si>
    <t>JR.PAMPA DE NAZCA MAZ-A LOT-24 URBAZACION</t>
  </si>
  <si>
    <t xml:space="preserve">SANTIAGO DE SURCO </t>
  </si>
  <si>
    <t xml:space="preserve">INGENIERO BIOMÉDICO </t>
  </si>
  <si>
    <t>KEVIN BRAYAN</t>
  </si>
  <si>
    <t>ESPINOZA DIAZ</t>
  </si>
  <si>
    <t>51907854638</t>
  </si>
  <si>
    <t>kespi0002@gmail.com</t>
  </si>
  <si>
    <t>SAENZ PEÑA Y LIBERTADORES S/N</t>
  </si>
  <si>
    <t>JOSÉ LEONARDO ORTIZ</t>
  </si>
  <si>
    <t xml:space="preserve">ESTUDIANTE DE INGENIERÍA AMBIENTAL </t>
  </si>
  <si>
    <t>TTITO PUMA</t>
  </si>
  <si>
    <t>51974446519</t>
  </si>
  <si>
    <t>Tito.guido4629@gmail.com</t>
  </si>
  <si>
    <t>JOSE GALVES SN</t>
  </si>
  <si>
    <t>CALCA</t>
  </si>
  <si>
    <t>COMERCIANTE</t>
  </si>
  <si>
    <t>DINO MARCIAL</t>
  </si>
  <si>
    <t>FLORES MAMANI</t>
  </si>
  <si>
    <t>51983356752</t>
  </si>
  <si>
    <t>dinomarcialflores@gmail.com</t>
  </si>
  <si>
    <t>JR. SIMON BOLIVAR S/N</t>
  </si>
  <si>
    <t>PEDRO VILCA APAZA</t>
  </si>
  <si>
    <t>SAN ANTONIO DE PUTINA</t>
  </si>
  <si>
    <t>AMMERLING CRISTHOFER</t>
  </si>
  <si>
    <t>NUÑEZ ZAVALA</t>
  </si>
  <si>
    <t>51946075030</t>
  </si>
  <si>
    <t>crisnuz198316@icloud.com</t>
  </si>
  <si>
    <t xml:space="preserve">SAN MARTIN DE PORRAS  </t>
  </si>
  <si>
    <t xml:space="preserve">@risk y propuestas tecnicas </t>
  </si>
  <si>
    <t>NEYRA MONTES</t>
  </si>
  <si>
    <t>51966554053</t>
  </si>
  <si>
    <t>jjneyram3812@gmail.com</t>
  </si>
  <si>
    <t>CALLE COMPRENSIÓN 7886 URB PRO</t>
  </si>
  <si>
    <t>BACH ARQUITECTO</t>
  </si>
  <si>
    <t xml:space="preserve">MANUEL WILFREDO </t>
  </si>
  <si>
    <t xml:space="preserve">HERRERA MAGUIÑA </t>
  </si>
  <si>
    <t>51915471117</t>
  </si>
  <si>
    <t>mwhm1972@hotmail.com</t>
  </si>
  <si>
    <t>AV. AREQUIPA N° 2267</t>
  </si>
  <si>
    <t xml:space="preserve">EGRESADO DE ING. CIVIL </t>
  </si>
  <si>
    <t>MARIO</t>
  </si>
  <si>
    <t>AGUIRRE OLAYUNCA</t>
  </si>
  <si>
    <t>51978285245</t>
  </si>
  <si>
    <t>marios.02@hotmail.com</t>
  </si>
  <si>
    <t>JR. LA UNION A-2</t>
  </si>
  <si>
    <t>LA CONVENCIÓN</t>
  </si>
  <si>
    <t>ING. AGRÓNOMO TROPICAL</t>
  </si>
  <si>
    <t>YAQUELIN LAURA</t>
  </si>
  <si>
    <t xml:space="preserve">MAMANI FLORES </t>
  </si>
  <si>
    <t>51929191138</t>
  </si>
  <si>
    <t>lauritamamani9@gmail.com</t>
  </si>
  <si>
    <t>AV. UNIVERSITARIA S/N</t>
  </si>
  <si>
    <t xml:space="preserve">JOSÉ DENIS </t>
  </si>
  <si>
    <t xml:space="preserve">ROSALES RAMÍREZ </t>
  </si>
  <si>
    <t>51931182947</t>
  </si>
  <si>
    <t xml:space="preserve">Jd327396@gmail.com </t>
  </si>
  <si>
    <t>JR. TACAYCHIN MZ 22 LT 7</t>
  </si>
  <si>
    <t>LUIS ANTONY</t>
  </si>
  <si>
    <t>BRICEÑO RODRIGUEZ</t>
  </si>
  <si>
    <t>rodribric04@gmail.com</t>
  </si>
  <si>
    <t>BELLAVISTA</t>
  </si>
  <si>
    <t xml:space="preserve">BELLAVISTA </t>
  </si>
  <si>
    <t>JUAN CARLOS</t>
  </si>
  <si>
    <t>HUARINGA RAYMUNDO</t>
  </si>
  <si>
    <t>51993362772</t>
  </si>
  <si>
    <t>carloshuaringa2003@yahoo.es</t>
  </si>
  <si>
    <t>RICARDO PALMA</t>
  </si>
  <si>
    <t>HUAROCHIRI</t>
  </si>
  <si>
    <t xml:space="preserve">MARIELA DANISSA </t>
  </si>
  <si>
    <t xml:space="preserve">VEGA SÁNCHEZ </t>
  </si>
  <si>
    <t>51943966919</t>
  </si>
  <si>
    <t xml:space="preserve">Taz127jaen@gmail.com </t>
  </si>
  <si>
    <t xml:space="preserve">CA. AVE LIRA 185 - SANTA ANITA </t>
  </si>
  <si>
    <t xml:space="preserve">ENFERMERA </t>
  </si>
  <si>
    <t xml:space="preserve">WILLIAM </t>
  </si>
  <si>
    <t xml:space="preserve">RONDINEL MENDOZA </t>
  </si>
  <si>
    <t>51969059261</t>
  </si>
  <si>
    <t>wilyrondinelmendoza@gmail.com</t>
  </si>
  <si>
    <t>ASOC. MADRE COVADONGA MZ G LTE 08</t>
  </si>
  <si>
    <t>LUZ MELINA</t>
  </si>
  <si>
    <t>CENTENO ORE</t>
  </si>
  <si>
    <t>51906126805</t>
  </si>
  <si>
    <t>luz Melina.c.o89@gmail.com</t>
  </si>
  <si>
    <t>JR. ABRAHAM VALDELOMAR 841</t>
  </si>
  <si>
    <t>LENIN MANUEL</t>
  </si>
  <si>
    <t xml:space="preserve">URBANO CHAVEZ </t>
  </si>
  <si>
    <t>51942752907</t>
  </si>
  <si>
    <t>leninurbano89@gmail.com</t>
  </si>
  <si>
    <t>URB. LOS HEROES MZ F2 LT 44</t>
  </si>
  <si>
    <t>ALDO ANTONIO</t>
  </si>
  <si>
    <t>CAPCHA PARRAGA</t>
  </si>
  <si>
    <t>51983303297</t>
  </si>
  <si>
    <t xml:space="preserve">aldocp2020@gmail.com </t>
  </si>
  <si>
    <t>TAMBO</t>
  </si>
  <si>
    <t xml:space="preserve">TAMBO </t>
  </si>
  <si>
    <t>INGENERO ZOOTECNISTA</t>
  </si>
  <si>
    <t>RISK Y PROPUESTAS</t>
  </si>
  <si>
    <t>GANDHI ABEL</t>
  </si>
  <si>
    <t>CONTRERAS BACA</t>
  </si>
  <si>
    <t>51943315605</t>
  </si>
  <si>
    <t>gandhi.lu.ga@gmail.com</t>
  </si>
  <si>
    <t>Jr. JULIO C. TELLO B-19 MAGISTERIAL - ABANCAY</t>
  </si>
  <si>
    <t>RISK Y PROPUESTAS TECNICAS</t>
  </si>
  <si>
    <t xml:space="preserve">VICTOR ALEXANDER </t>
  </si>
  <si>
    <t xml:space="preserve">ALVAREZ RAMIREZ </t>
  </si>
  <si>
    <t>51915191974</t>
  </si>
  <si>
    <t>aleksketch@gmail.com</t>
  </si>
  <si>
    <t>AVENIDA ANGÉLICA GAMARRA 296</t>
  </si>
  <si>
    <t xml:space="preserve">DISEÑADOR SOLIDWORKS </t>
  </si>
  <si>
    <t>JAIR MANUEL</t>
  </si>
  <si>
    <t>VILLOSLADA AZANG</t>
  </si>
  <si>
    <t>jairmanuelviaza@gmail.com</t>
  </si>
  <si>
    <t>JIRON HUALGAYOC 361</t>
  </si>
  <si>
    <t>RIMAC</t>
  </si>
  <si>
    <t>VILCANQUI CHURA</t>
  </si>
  <si>
    <t>51990222243</t>
  </si>
  <si>
    <t>jose.vilcanqui@gmail.com</t>
  </si>
  <si>
    <t>A.H. SIMON BOLIVAR E-04</t>
  </si>
  <si>
    <t xml:space="preserve">JOHANS ALEXANDER </t>
  </si>
  <si>
    <t xml:space="preserve">TOLENTINO SOLIS </t>
  </si>
  <si>
    <t>51945974682</t>
  </si>
  <si>
    <t>76506017</t>
  </si>
  <si>
    <t>johansts@hotmail.com</t>
  </si>
  <si>
    <t>JR. LOS HINOJOS MZ S LT46 A IR. LOS JARDINES DE SAN JUAN</t>
  </si>
  <si>
    <t xml:space="preserve">SAN JUAN DE LURIGANCHO </t>
  </si>
  <si>
    <t>MARILÚ IZQUIERDO</t>
  </si>
  <si>
    <t>MIGUEL ANGEL</t>
  </si>
  <si>
    <t>ALBERCA SILVA</t>
  </si>
  <si>
    <t>51935430759</t>
  </si>
  <si>
    <t>45624512</t>
  </si>
  <si>
    <t>malbercas@hotmail.com</t>
  </si>
  <si>
    <t>URB. 15 DE SETIEMBRE MZ I LOTE 22</t>
  </si>
  <si>
    <t>INGENIERO DE MINAS</t>
  </si>
  <si>
    <t>MARY ESTHER</t>
  </si>
  <si>
    <t>ALIPAZAGA GALINDO</t>
  </si>
  <si>
    <t>51954602869</t>
  </si>
  <si>
    <t>ingalipazaga1985@gmail.com</t>
  </si>
  <si>
    <t>A.H 25 DE MARZO MZ. K7 LT. 19</t>
  </si>
  <si>
    <t>MANANTAY</t>
  </si>
  <si>
    <t>PIERO RAFAEL</t>
  </si>
  <si>
    <t>CABRERA TORRES</t>
  </si>
  <si>
    <t>51956181313</t>
  </si>
  <si>
    <t>piero.cabrera.torres@outlook.com</t>
  </si>
  <si>
    <t>URBANIZACION PUENTE BLANCO 2DA ETAPA E-6</t>
  </si>
  <si>
    <t>MANUEL ANTONIO</t>
  </si>
  <si>
    <t xml:space="preserve">ALCANTARA BERNAL </t>
  </si>
  <si>
    <t>51985022656</t>
  </si>
  <si>
    <t>manuab0492@gmail.com</t>
  </si>
  <si>
    <t xml:space="preserve">URB CIPRESES MZ H LOTE 4 </t>
  </si>
  <si>
    <t xml:space="preserve">WILSON ANTONIO </t>
  </si>
  <si>
    <t xml:space="preserve">JABO ABAD </t>
  </si>
  <si>
    <t>51973924823</t>
  </si>
  <si>
    <t>Jaboabad1995@gmail.com</t>
  </si>
  <si>
    <t>CALLE LOS COMBATIENTES 1210</t>
  </si>
  <si>
    <t>PALACIOS CHUQUIRUNA</t>
  </si>
  <si>
    <t>51934679681</t>
  </si>
  <si>
    <t>44214062</t>
  </si>
  <si>
    <t>ruben2015_palacios@hotmail.com</t>
  </si>
  <si>
    <t>AV. ARGENTINA 316</t>
  </si>
  <si>
    <t>Diploma terminó, solo hizo activiades hasta el modulo 3 de un total de 9 
TRASLADO - NUEVO INICIO</t>
  </si>
  <si>
    <t>SAUL ENRIQUE</t>
  </si>
  <si>
    <t>SULCA TIPE</t>
  </si>
  <si>
    <t>saul.sulca@gmail.com</t>
  </si>
  <si>
    <t>COOP. DE VIV. QUIJANO MENDIVIL MZ. D LT. 13</t>
  </si>
  <si>
    <t>INGENIERO ELECTRÓNICO</t>
  </si>
  <si>
    <t>Diploma terminó, solo hizo activiades hasta el modulo 2 de un total de 9 
TRASLADO - NUEVO INICIO</t>
  </si>
  <si>
    <t>REATEGUI OLORTEGUI</t>
  </si>
  <si>
    <t>25715035</t>
  </si>
  <si>
    <t>luisreol@hotmail.com</t>
  </si>
  <si>
    <t xml:space="preserve">CALLE RUFINO ECHENIQUE </t>
  </si>
  <si>
    <t xml:space="preserve">SURICHAQUI VILCAPOMA </t>
  </si>
  <si>
    <t>51931247083</t>
  </si>
  <si>
    <t>72393012</t>
  </si>
  <si>
    <t>w.estuuniver.1995@gmail.com</t>
  </si>
  <si>
    <t xml:space="preserve">C.P. ESMERALDA - PANGOA </t>
  </si>
  <si>
    <t xml:space="preserve">SAN MARTIN DE PANGOA </t>
  </si>
  <si>
    <t>Diploma terminó, solo hizo activiades hasta el modulo 6 de un total de 9 
TRASLADO - NUEVO INICIO</t>
  </si>
  <si>
    <t xml:space="preserve">DENIS DOMINGO </t>
  </si>
  <si>
    <t xml:space="preserve">FIERRO MINAYA </t>
  </si>
  <si>
    <t>*06922267</t>
  </si>
  <si>
    <t>dfnikk@gmail.com</t>
  </si>
  <si>
    <t>JR. SUCRE # 658</t>
  </si>
  <si>
    <t xml:space="preserve">DANITZA </t>
  </si>
  <si>
    <t xml:space="preserve">JIMENEZ RODRIGUEZ </t>
  </si>
  <si>
    <t>43714444</t>
  </si>
  <si>
    <t xml:space="preserve">danitzajiro@gmail.com </t>
  </si>
  <si>
    <t>JR CAJAMARCA 258</t>
  </si>
  <si>
    <t>BAGUA</t>
  </si>
  <si>
    <t xml:space="preserve">ARQUITECTA </t>
  </si>
  <si>
    <t>Diploma terminó, no avanzó módulos 
TRASLADO - NUEVO INICIO</t>
  </si>
  <si>
    <t xml:space="preserve">ABEL HENRRY </t>
  </si>
  <si>
    <t xml:space="preserve">MUÑOZ VALVERDE </t>
  </si>
  <si>
    <t>46562581</t>
  </si>
  <si>
    <t>m.vabel22@gmail.com</t>
  </si>
  <si>
    <t>ASOC. DE VIV.LOS PORTALES DE SANTA ROSA MZ. K LT. 24</t>
  </si>
  <si>
    <t xml:space="preserve">SANTA ROSA </t>
  </si>
  <si>
    <t xml:space="preserve">QUETZALI </t>
  </si>
  <si>
    <t xml:space="preserve">GALVEZ VARGAS </t>
  </si>
  <si>
    <t>72855360</t>
  </si>
  <si>
    <t xml:space="preserve">quetzi.gv10@gmail.com </t>
  </si>
  <si>
    <t xml:space="preserve">CALLE PERENE SN - PANGOA </t>
  </si>
  <si>
    <t xml:space="preserve">PANGOA </t>
  </si>
  <si>
    <t xml:space="preserve">INGENIERA AGRONOMA </t>
  </si>
  <si>
    <t>Diploma terminó, solo hizo activiades hasta el modulo 1 de un total de 9 
TRASLADO - NUEVO INICIO</t>
  </si>
  <si>
    <t>ROEL EDISON</t>
  </si>
  <si>
    <t>MAMANI CONDORI</t>
  </si>
  <si>
    <t>roeledison@gmail.com</t>
  </si>
  <si>
    <t>CALLE NUEVA MZ M LOTE 16</t>
  </si>
  <si>
    <t>JHOEL</t>
  </si>
  <si>
    <t>ALLEENDE VEGA</t>
  </si>
  <si>
    <t>51944224944</t>
  </si>
  <si>
    <t>46974688</t>
  </si>
  <si>
    <t>JHOELALLENDEVEGA1990@GMAIL.COM</t>
  </si>
  <si>
    <t>COMUNIDAD DE CURAMBA- TUMIBAMBA</t>
  </si>
  <si>
    <t>ZURITE</t>
  </si>
  <si>
    <t xml:space="preserve">EMILIO </t>
  </si>
  <si>
    <t xml:space="preserve">CORRALES PORTAL </t>
  </si>
  <si>
    <t>51942633249</t>
  </si>
  <si>
    <t>76751762</t>
  </si>
  <si>
    <t>CORRALES_014@OUTLOOK.COM</t>
  </si>
  <si>
    <t xml:space="preserve">ANDREZ RAZURI 226 - LAMBAYEQUE </t>
  </si>
  <si>
    <t xml:space="preserve">ING. AGRÍCOLA </t>
  </si>
  <si>
    <t xml:space="preserve">ALVARO RODRIGO </t>
  </si>
  <si>
    <t xml:space="preserve">FERNANDEZ DOMINGUEZ </t>
  </si>
  <si>
    <t>51989343339</t>
  </si>
  <si>
    <t>therodrigomancora@gmail.com</t>
  </si>
  <si>
    <t>AA.HH. SAN FELIPE MZ M LOTE 20</t>
  </si>
  <si>
    <t xml:space="preserve">BACHILLER E INGENIERÍA CIVIL </t>
  </si>
  <si>
    <t>FRANK JOEL</t>
  </si>
  <si>
    <t>HINOSTROZA  CALDERON</t>
  </si>
  <si>
    <t>51968776319</t>
  </si>
  <si>
    <t>45838299</t>
  </si>
  <si>
    <t>Frankterry1999@gmail.com</t>
  </si>
  <si>
    <t>ASC. CUIDAD DE CUMANA MZ F1 LOTE 3</t>
  </si>
  <si>
    <t>TOPOGRAFIA</t>
  </si>
  <si>
    <t>PONCE MANZANO JUAN PABLO</t>
  </si>
  <si>
    <t>LUZARDO VENEGAS CHRISTIAN EDGAR</t>
  </si>
  <si>
    <t>CUYA CONDE BARTOLOME</t>
  </si>
  <si>
    <t>SOSA PATIÑO JOSE ENRIQUE</t>
  </si>
  <si>
    <t>LEON MEDINA KELVING CARLOS</t>
  </si>
  <si>
    <t>CIFUENTES DAVILA WALDYR ARTEMIO</t>
  </si>
  <si>
    <t>AMESQUITA MAQUERA JUAN ALBERTO</t>
  </si>
  <si>
    <t>CONDORI MEZA JOSÉ ABDÍAS</t>
  </si>
  <si>
    <t>DAMIAN GAMARRA ADAN ALBERTO</t>
  </si>
  <si>
    <t>FLORES MEDINA JUAN JOSE</t>
  </si>
  <si>
    <t>REQUIS CARBAJAL GONZALO</t>
  </si>
  <si>
    <t>ANDRÉS LUJÁN SERAFÍN</t>
  </si>
  <si>
    <t>LATORRACA RIOS RAUL ALFONSO</t>
  </si>
  <si>
    <t>MACEDO BARRETO ROBERT WILIAM</t>
  </si>
  <si>
    <t>MENDOZA ALANOCCA DAVID</t>
  </si>
  <si>
    <t>TELLERÍA PAREDES SALOMÓN ENRIQUE</t>
  </si>
  <si>
    <t>ZORRILLA RIOS ABEL ALEX</t>
  </si>
  <si>
    <t>CABANILLAS GARCIA RAUL</t>
  </si>
  <si>
    <t>CABEZAS SULLCA HUGO WILFREDO</t>
  </si>
  <si>
    <t>ESCOBAR CCANTO CRISTHIAN DIEGO</t>
  </si>
  <si>
    <t>ESPINOZA ANDIA JUAN HIMMEL</t>
  </si>
  <si>
    <t>MURGUIA HUAHUISO HERNÁN CÉSAR</t>
  </si>
  <si>
    <t>RAMIREZ CUESTAS PEDRO MARDEN</t>
  </si>
  <si>
    <t>MANSILLA RETAMOZO JUAN</t>
  </si>
  <si>
    <t>OCHOA DIPAZ RUDY</t>
  </si>
  <si>
    <t>PUENTES SÁNCHEZ LALESHKA CAROLAY</t>
  </si>
  <si>
    <t>REYNA FLORES CARLOS NICOLAS</t>
  </si>
  <si>
    <t>SALÍS OLORTEGUI JUAN ENOC</t>
  </si>
  <si>
    <t>SÁNCHEZ CONDE LUIS ALBERTO</t>
  </si>
  <si>
    <t>CHIRINOS PERALES ENRIQUE ALEXANDER</t>
  </si>
  <si>
    <t>CUARESMA TITO YESSI MAYDA</t>
  </si>
  <si>
    <t>ALVARADO MENDOZA CARLOS</t>
  </si>
  <si>
    <t>PEÑA LOAIZA EDISON</t>
  </si>
  <si>
    <t>PONCIANO POMA PLENIN</t>
  </si>
  <si>
    <t>QUISPE CANAZA FREDY</t>
  </si>
  <si>
    <t>VASQUEZ FARFAN YESENIA BARQUIDIA</t>
  </si>
  <si>
    <t>CONTRATACIONES</t>
  </si>
  <si>
    <t>CHOQUE TICONA CESAR AUGUSTO</t>
  </si>
  <si>
    <t>DESAPROBADO</t>
  </si>
  <si>
    <t>GIRALDO DIESTRA JULIAN ALEXIS</t>
  </si>
  <si>
    <t>GUERRA PINEDO JULIO OMAR</t>
  </si>
  <si>
    <t>YAMPARA TICONA RINA LUZMERI</t>
  </si>
  <si>
    <t>VEGA SÁNCHEZ MARIELA DANISSA</t>
  </si>
  <si>
    <t>DEUDOR</t>
  </si>
  <si>
    <t>TTITO PUMA GUIDO</t>
  </si>
  <si>
    <t>ENRÍQUEZ VALDERRAMA VALERIANA</t>
  </si>
  <si>
    <t>RUEDA SANTAMARIA DIANA LUZ</t>
  </si>
  <si>
    <t>MARCELINO ALARCON BEZALEEL FERNANDO</t>
  </si>
  <si>
    <t>SAAVEDRA MARIN BERTHA CONSUELO</t>
  </si>
  <si>
    <t>LIMA MALLMA RAUL</t>
  </si>
  <si>
    <t>MENDEZ MORA JOSUE</t>
  </si>
  <si>
    <t>CASTAÑEDA TELLO SANTOS ESTHER</t>
  </si>
  <si>
    <t>ARMIJO ENCALADA PETRONILA YULIANA</t>
  </si>
  <si>
    <t>ALLCCA ISASI LUIS ALBERTO</t>
  </si>
  <si>
    <t>COCHACHIN TIZA ROCCIO EMILIA</t>
  </si>
  <si>
    <t>CORTEZ GONZALO HERBETH YOEL</t>
  </si>
  <si>
    <t>EPQUIN ALVARADO ELVIS MAYER</t>
  </si>
  <si>
    <t>FERNÁNDEZ ALFARO EDWAR</t>
  </si>
  <si>
    <t>GAMARRA GIRALDEZ ALVARO</t>
  </si>
  <si>
    <t>MARCA AÑASCO SILVIA ELIZABETH</t>
  </si>
  <si>
    <t>MOLLEAPAZA HUARACCA FLORINDA</t>
  </si>
  <si>
    <t>OSCCO HUAMAN RODRIGO</t>
  </si>
  <si>
    <t>RIVERA MEDINA LUIS</t>
  </si>
  <si>
    <t>SABINO NORABUENA OLIVER PAOLO</t>
  </si>
  <si>
    <t>SANTOS FERNANDEZ ELIZABETH</t>
  </si>
  <si>
    <t>ARQQUE MALDONADO WENDY YASMIN</t>
  </si>
  <si>
    <t>CABANILLAS MORENO HECTOR WILFREDO</t>
  </si>
  <si>
    <t>CABANILLAS MORENO MERCEDES CARLOS</t>
  </si>
  <si>
    <t>CARRILLO FABIAN LUIS ANGEL</t>
  </si>
  <si>
    <t>GARCÍA CAJO JOE ANTHONY</t>
  </si>
  <si>
    <t>HUANCA ALVAREZ MARIA PIERINA ALEXSANDRA</t>
  </si>
  <si>
    <t>JARA CABRERA FIDEL</t>
  </si>
  <si>
    <t>MURILLO MAURICIO EDWIN RAUL</t>
  </si>
  <si>
    <t>PARIONA TARQUI JOSE CARLOS</t>
  </si>
  <si>
    <t>QUEQUEJANA VILCA YOBANA</t>
  </si>
  <si>
    <t>SILVA VELASQUEZ LUIS ALBERTO</t>
  </si>
  <si>
    <t>SOTO CABREDO ANTONIO EFRAIN</t>
  </si>
  <si>
    <t>VARGAS RAMIREZ MANUEL OSCAR</t>
  </si>
  <si>
    <t>VASQUEZ SILVANO RAMIRO</t>
  </si>
  <si>
    <t>51919 058 371</t>
  </si>
  <si>
    <t>VELASQUE OROSCO ELEAZAR HUGO</t>
  </si>
  <si>
    <t>ZAVALETA CHACCA LINO</t>
  </si>
  <si>
    <t>ABANTO MOYA MIGUEL ANGE</t>
  </si>
  <si>
    <t>BRICEÑO AGUILAR DENIS MAGNO</t>
  </si>
  <si>
    <t>COAQUIRA AQUISE ERIK FERNANDO</t>
  </si>
  <si>
    <t>GOMERO UGARTE RICHARD JHON</t>
  </si>
  <si>
    <t>GRANDEZ CHUQUIPUL EDGAR ASUNCIÓN</t>
  </si>
  <si>
    <t>LOAYZA OSCCO BRYAN ISAÍAS</t>
  </si>
  <si>
    <t>LÓPEZ ROJAS KATY</t>
  </si>
  <si>
    <t>LUQUE CHUQUIJA PLATÓN EULER</t>
  </si>
  <si>
    <t>PACO ORTIGOZO RICARDO</t>
  </si>
  <si>
    <t>PIMENTEL BUSTOS JOSEPH JONATHAN</t>
  </si>
  <si>
    <t>QUIROZ MEDINA MARILIA FERNANDA</t>
  </si>
  <si>
    <t>ROMERO FLORES CLEBER JESUS</t>
  </si>
  <si>
    <t>SUCNIER VALDIVIA RUTH JOSEFINA</t>
  </si>
  <si>
    <t>VALLE CÉSPEDES JIMMY</t>
  </si>
  <si>
    <t>YAURI CERNA SHEIDER FRANK</t>
  </si>
  <si>
    <t>APOLINARIO CASTILLO EFECIA</t>
  </si>
  <si>
    <t>GIL REAÑO ROMAN ARTURO</t>
  </si>
  <si>
    <t>GÓMEZ VALLE GINA GERALDINE</t>
  </si>
  <si>
    <t>INGA VALQUI WILMA ESPERANZA</t>
  </si>
  <si>
    <t>MAICELO LLAJA ROXANA</t>
  </si>
  <si>
    <t>OJEDA PRADO RODRIGO ANDRE</t>
  </si>
  <si>
    <t>ROMERO TABOADA DIEGO SEGUNDO</t>
  </si>
  <si>
    <t>SEOANE LINARES MARIO</t>
  </si>
  <si>
    <t>ALIAGA ULLOA RUTH NOEMÍ</t>
  </si>
  <si>
    <t>CHARCA QUISPE JUAN</t>
  </si>
  <si>
    <t>HUAMAN OMONTE HÉCTOR</t>
  </si>
  <si>
    <t>MARINA GARCIA DANNY</t>
  </si>
  <si>
    <t>MELO JINCHO JUAN ANTONIO</t>
  </si>
  <si>
    <t>MENACHO CASTILLO RAMIRO EDUARDO</t>
  </si>
  <si>
    <t>PAREDES ALQUIZAR YOSELINE LLAJAYRA</t>
  </si>
  <si>
    <t>RAZURI VELIZ OMAR ANDRES</t>
  </si>
  <si>
    <t>VEGA HUAMAN TITO</t>
  </si>
  <si>
    <t>ZAPANA TARQUI CÉSAR LEONEL</t>
  </si>
  <si>
    <t>CASTRO RUIZ ROSY MALENA</t>
  </si>
  <si>
    <t>CHAMA JIMENEZ PAOLO RENZO</t>
  </si>
  <si>
    <t>CJUNO PEÑAFIEL RUTH MERY</t>
  </si>
  <si>
    <t>CORONEL CORREA DAVID</t>
  </si>
  <si>
    <t>FERREYRA CASTILLO WILLIANS GENARO</t>
  </si>
  <si>
    <t>FLORES TORRES MARCO ANTONIO</t>
  </si>
  <si>
    <t>HERRERA JARA ISRAEL</t>
  </si>
  <si>
    <t>LAURENCIO BEJARANO YOHN FEDER</t>
  </si>
  <si>
    <t>LLIMPE CALDERON ALAN LÁZARO</t>
  </si>
  <si>
    <t>MARTINEZ ALCA EDEN MAO</t>
  </si>
  <si>
    <t>PACA RODRÍGUEZ NOELY AMPARO</t>
  </si>
  <si>
    <t>Set-24</t>
  </si>
  <si>
    <t>ROJAS SALAZAR ISIS JANETH</t>
  </si>
  <si>
    <t>TORRES DIONICIO JUAN CARLOS</t>
  </si>
  <si>
    <t>YRENE CUBAS BERNABE</t>
  </si>
  <si>
    <t>HUAMAN VILLAR DANIEL</t>
  </si>
  <si>
    <t>ALIAGA JIMÉNEZ RIGOBERTO POOL</t>
  </si>
  <si>
    <t>ARGANDOÑA DELGADO EDWING ARMANDO</t>
  </si>
  <si>
    <t>BARZOLA ÑUFLO DAYSY ENITH</t>
  </si>
  <si>
    <t>CERDA AYALA FUICER</t>
  </si>
  <si>
    <t>CONDORI ENRÍQUEZ JUAN CARLOS</t>
  </si>
  <si>
    <t>GALLARDO SOUZA NELSON DAVID</t>
  </si>
  <si>
    <t>HUAMANÍ FARFÁN ETLER</t>
  </si>
  <si>
    <t>INCACUTIPA CRUZ JUAN</t>
  </si>
  <si>
    <t>ÑAÑA LUJAN ROY</t>
  </si>
  <si>
    <t>PEREYRA ALVA ALEXANDER JAVIER</t>
  </si>
  <si>
    <t>TOCTO CAMIZAN MARLENY</t>
  </si>
  <si>
    <t>VASQUEZ ROJAS EDWAR MILTON</t>
  </si>
  <si>
    <t>BENAVIDEZ RUBIO DIANA YULEYSI</t>
  </si>
  <si>
    <t>BUSTAMANTE MENDEZ TALITHA ROCIO</t>
  </si>
  <si>
    <t>CRUZ MENDOZA JAVIER RAUL</t>
  </si>
  <si>
    <t>HUAMANI NIETO JUAN LUIS</t>
  </si>
  <si>
    <t>LEON PADILLA ZOILA ESMILA</t>
  </si>
  <si>
    <t>MEDINA CORTEGANA ULISES ELI</t>
  </si>
  <si>
    <t>ORTIZ ESPINOZA REY DAVID</t>
  </si>
  <si>
    <t>ORTIZ PALOMINO EDMAR JUAN</t>
  </si>
  <si>
    <t>PERCCA INOCENTE NESTOR MAURICIO</t>
  </si>
  <si>
    <t>RAMOS MELENDRES DEYSI YULID</t>
  </si>
  <si>
    <t>RODRIGUEZ HUAMANI JOSÉ RANDOLPH</t>
  </si>
  <si>
    <t>SANDY DUEÑAS LUIS DANIEL</t>
  </si>
  <si>
    <t>TORRES BRAN JUNIOR PABEL</t>
  </si>
  <si>
    <t>VIERA MORENO OLMEDO</t>
  </si>
  <si>
    <t>ZEA QUENTA EDWARD GABRIEL</t>
  </si>
  <si>
    <t>ABAN MELGAREJO ALFREDO TEODORO</t>
  </si>
  <si>
    <t>BURGA RIVAS PLATA CARLOS ALBERTO</t>
  </si>
  <si>
    <t>CHALLCO LOPINTA LUIS ALBERTO</t>
  </si>
  <si>
    <t>CHUMBES MONTANO MARIA CRISTINA</t>
  </si>
  <si>
    <t>DIAZ BOCANEGRA PAMELA DEL CARMEN</t>
  </si>
  <si>
    <t>GARAY CAMILOAGA DENIS HERDER</t>
  </si>
  <si>
    <t>HUAMAN CANTURIN MARIA MARIVEL</t>
  </si>
  <si>
    <t>HUAMAN QUINTANILLA LUZMELANIA</t>
  </si>
  <si>
    <t>INFANTE NUÑEZ JACQUELINE ELOISA</t>
  </si>
  <si>
    <t>LINARES CUBILLAS CIRO DANILO</t>
  </si>
  <si>
    <t>LUNA VICTORIA VANESSA</t>
  </si>
  <si>
    <t>MARTINEZ MEJIA JACOB</t>
  </si>
  <si>
    <t>OLIVA LOZANO ELMER WALTER</t>
  </si>
  <si>
    <t>ORÉ ALGUIAR WILMAN EDWIN</t>
  </si>
  <si>
    <t>PABLO VÁSQUEZ SAÚL ARTURO</t>
  </si>
  <si>
    <t>QUISPE ZELADA MARILÚ</t>
  </si>
  <si>
    <t>RECALDE TINEO SAMUEL</t>
  </si>
  <si>
    <t>RICAPA MEZA ROBERTO CARLOS</t>
  </si>
  <si>
    <t>SALAS CABALLERO GINA FANNY</t>
  </si>
  <si>
    <t>SANTOS GIL JAMES ANDERSON</t>
  </si>
  <si>
    <t>SIALER DÍAZ CÉSAR DANY</t>
  </si>
  <si>
    <t>SOTELO JIMÉNEZ MANUEL LEONCIO</t>
  </si>
  <si>
    <t>SOTO MESTANZA MARCO ANTONIO</t>
  </si>
  <si>
    <t>TERRONES ROLANDO</t>
  </si>
  <si>
    <t>VALDEZ TRUJILLANO KEVIN WILLIAMS</t>
  </si>
  <si>
    <t>VARGAS BECERRA YARINE ADELY</t>
  </si>
  <si>
    <t>VELARDE AMANCAY LINDER</t>
  </si>
  <si>
    <t>VILLAVICENCIO ALVILDO YVAN ALEXIS</t>
  </si>
  <si>
    <t>fichas</t>
  </si>
  <si>
    <t>AYLLON GUABLOCHE JIMMY JONATHAN</t>
  </si>
  <si>
    <t>BALVIN MENDEZ EDMUNDO EDINSON</t>
  </si>
  <si>
    <t>DOMINGUEZ MENDOZA FERMIN</t>
  </si>
  <si>
    <t>IGLESIAS GONZALES JAIBERTH ARNOLD</t>
  </si>
  <si>
    <t>BUENDIA VALDEZ ISMAEL CHRIS SHALUAR</t>
  </si>
  <si>
    <t>ALCARRAZ QUISPE EDGAR WILBER</t>
  </si>
  <si>
    <t>MONTALVAN CALDERON JULIANA VERONICA</t>
  </si>
  <si>
    <t>CASTILLO JAIMES FRANCISCO</t>
  </si>
  <si>
    <t>CERVAN ORTIZ DE ORUE LIA PATRICIA</t>
  </si>
  <si>
    <t>FACUNDO MEZA ESBEIDA</t>
  </si>
  <si>
    <t>GAMBOA LLALLIRE RENE</t>
  </si>
  <si>
    <t>GONZALES MEJIA THALIA CAROLINA</t>
  </si>
  <si>
    <t>LANDEO PANDURO JAIRO KEVIN</t>
  </si>
  <si>
    <t>LEÓN FIGUEROA GLEISER</t>
  </si>
  <si>
    <t>LOPEZ YEPEZ FRANCISCO ANDRE</t>
  </si>
  <si>
    <t>MEDINA VARGAS CRISTINA ARIELA</t>
  </si>
  <si>
    <t>MELGAR ORIHUELA RUBÉN EDGAR</t>
  </si>
  <si>
    <t>MENDOZA ORTIZ JUAN CARLOS</t>
  </si>
  <si>
    <t>MEZA QUINTANA LUIS ALBERTO</t>
  </si>
  <si>
    <t>MILÓN CHÁVEZ SILVER SÓCRATES</t>
  </si>
  <si>
    <t>OLAZA SALAZAR YODY LUCAS</t>
  </si>
  <si>
    <t>PALACIOS GUTIERREZ VICTOR DANIEL</t>
  </si>
  <si>
    <t>PEÑALOZA TRISTAN NIDIA LUZ</t>
  </si>
  <si>
    <t>RIOFRIO GUERRERO CARLOS DANIEL</t>
  </si>
  <si>
    <t>RODRIGUEZ VILCHEZ MELVIN</t>
  </si>
  <si>
    <t>SALAZAR LEÓN ALNIBAR MÁXIMO</t>
  </si>
  <si>
    <t>SANDOVAL OLIVEIRA TOMMY SANDRO</t>
  </si>
  <si>
    <t>SUMARIA ROJAS LUIS JUAN</t>
  </si>
  <si>
    <t>VELASQUEZ ALVARADO DORIS DEL PILAR</t>
  </si>
  <si>
    <t>AGUILAR MEDINA LIZBETH YANELA</t>
  </si>
  <si>
    <t>ANGEL FITZGERALD DAVID LOPEZ VELASQUEZ</t>
  </si>
  <si>
    <t>BRUNO DIAZ HENRY RAUL</t>
  </si>
  <si>
    <t>CARBAJAL YATACO FÉLIX EDILBERTO</t>
  </si>
  <si>
    <t>CERVANTES URDAY CHRISTIAN EDDIE</t>
  </si>
  <si>
    <t>CORONADO RIVERA ROSANGELA YANETH</t>
  </si>
  <si>
    <t>DE LA CRUZ FERNANDEZ EDUARDO</t>
  </si>
  <si>
    <t>HUACANI MIRANDA JEAN MARCO</t>
  </si>
  <si>
    <t>HUAYLLASCO PEREZ KELLY</t>
  </si>
  <si>
    <t>JURADO MANCHA CESAR</t>
  </si>
  <si>
    <t>LA ROSA URIBE WILLIAM JESÚS</t>
  </si>
  <si>
    <t>LAUPA ROMAN EDITH</t>
  </si>
  <si>
    <t>MAGALLANES MATEO CARMEN ROSA</t>
  </si>
  <si>
    <t>MANRIQUE FAJARDO HILTHON YAIR</t>
  </si>
  <si>
    <t>MEJÍA GUERRERO JAIR</t>
  </si>
  <si>
    <t>MÉNDEZ ZAGA PERCY</t>
  </si>
  <si>
    <t>MONTALVO CRUZ NESTOR</t>
  </si>
  <si>
    <t>QUISPE RODRIGUEZ RUTH LILIAM</t>
  </si>
  <si>
    <t>RAMÍREZ PUMA DEYSI MÓNICA</t>
  </si>
  <si>
    <t>RAMOS ARROYO DANIEL</t>
  </si>
  <si>
    <t>RIVERA ROJAS WILLIAM</t>
  </si>
  <si>
    <t>RODRÍGUEZ FLORES LENNY YEISON</t>
  </si>
  <si>
    <t>SAGUA TITO GUSTAVO</t>
  </si>
  <si>
    <t>SANCHEZ CERVANTES SONIA</t>
  </si>
  <si>
    <t>SOTO MÁRQUEZ JOSÉ LUIS</t>
  </si>
  <si>
    <t>SOUZA SANCHEZ JULIO SEGUNDO</t>
  </si>
  <si>
    <t>TICONA RODRIGUEZ PIERO JESUS</t>
  </si>
  <si>
    <t>VILCA CHUMPI ROGER ERNESTO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</si>
</sst>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[$S/.]#,##0.00"/>
    <numFmt numFmtId="165" formatCode="dd/mm/yyyy"/>
    <numFmt numFmtId="166" formatCode="dd/mm/yy"/>
    <numFmt numFmtId="167" formatCode="d/m/yyyy"/>
    <numFmt numFmtId="168" formatCode="dd/mm"/>
    <numFmt numFmtId="169" formatCode="d/m/yy"/>
    <numFmt numFmtId="170" formatCode="#,##0.00\ [$€-1]"/>
    <numFmt numFmtId="171" formatCode="d/MM/yyyy"/>
    <numFmt numFmtId="172" formatCode="[$S/]#,##0.00"/>
    <numFmt numFmtId="173" formatCode="mmmm d"/>
  </numFmts>
  <fonts count="12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b/>
      <color rgb="FF222222"/>
      <name val="Arial"/>
    </font>
    <font>
      <color theme="1"/>
      <name val="Arial"/>
      <scheme val="minor"/>
    </font>
    <font>
      <color theme="1"/>
      <name val="Arial"/>
    </font>
    <font>
      <color rgb="FF222222"/>
      <name val="Arial"/>
    </font>
    <font>
      <color rgb="FFFF0000"/>
      <name val="Arial"/>
      <scheme val="minor"/>
    </font>
    <font>
      <color rgb="FFFF0000"/>
      <name val="Arial"/>
    </font>
    <font>
      <b/>
      <sz val="15.0"/>
      <color rgb="FFFFFFFF"/>
      <name val="Arial"/>
      <scheme val="minor"/>
    </font>
    <font>
      <b/>
      <color rgb="FFFFFFFF"/>
      <name val="Arial"/>
    </font>
    <font>
      <sz val="11.0"/>
      <color theme="1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CFDFD"/>
        <bgColor rgb="FFFCFDFD"/>
      </patternFill>
    </fill>
    <fill>
      <patternFill patternType="solid">
        <fgColor rgb="FF000000"/>
        <bgColor rgb="FF00000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FF9900"/>
        <bgColor rgb="FFFF9900"/>
      </patternFill>
    </fill>
    <fill>
      <patternFill patternType="solid">
        <fgColor rgb="FF0000FF"/>
        <bgColor rgb="FF0000FF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6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horizontal="right" readingOrder="0"/>
    </xf>
    <xf borderId="0" fillId="0" fontId="2" numFmtId="0" xfId="0" applyAlignment="1" applyFont="1">
      <alignment horizontal="center" readingOrder="0" vertical="bottom"/>
    </xf>
    <xf borderId="0" fillId="3" fontId="2" numFmtId="0" xfId="0" applyAlignment="1" applyFill="1" applyFont="1">
      <alignment horizontal="left" readingOrder="0" shrinkToFit="0" vertical="bottom" wrapText="0"/>
    </xf>
    <xf borderId="0" fillId="3" fontId="1" numFmtId="164" xfId="0" applyAlignment="1" applyFont="1" applyNumberFormat="1">
      <alignment horizontal="center" readingOrder="0" shrinkToFit="0" wrapText="0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horizontal="left" readingOrder="0" shrinkToFit="0" vertical="center" wrapText="0"/>
    </xf>
    <xf borderId="0" fillId="4" fontId="3" numFmtId="0" xfId="0" applyAlignment="1" applyFill="1" applyFont="1">
      <alignment readingOrder="0" vertical="bottom"/>
    </xf>
    <xf borderId="0" fillId="0" fontId="1" numFmtId="0" xfId="0" applyFont="1"/>
    <xf borderId="0" fillId="2" fontId="4" numFmtId="0" xfId="0" applyAlignment="1" applyFont="1">
      <alignment readingOrder="0"/>
    </xf>
    <xf borderId="0" fillId="2" fontId="4" numFmtId="0" xfId="0" applyAlignment="1" applyFont="1">
      <alignment horizontal="right" readingOrder="0"/>
    </xf>
    <xf borderId="0" fillId="0" fontId="5" numFmtId="0" xfId="0" applyAlignment="1" applyFont="1">
      <alignment readingOrder="0" vertical="bottom"/>
    </xf>
    <xf borderId="0" fillId="3" fontId="5" numFmtId="165" xfId="0" applyAlignment="1" applyFont="1" applyNumberFormat="1">
      <alignment horizontal="center" readingOrder="0" shrinkToFit="0" vertical="bottom" wrapText="0"/>
    </xf>
    <xf borderId="0" fillId="3" fontId="4" numFmtId="164" xfId="0" applyAlignment="1" applyFont="1" applyNumberFormat="1">
      <alignment readingOrder="0" shrinkToFit="0" wrapText="0"/>
    </xf>
    <xf borderId="0" fillId="0" fontId="4" numFmtId="0" xfId="0" applyAlignment="1" applyFont="1">
      <alignment readingOrder="0"/>
    </xf>
    <xf borderId="0" fillId="4" fontId="6" numFmtId="0" xfId="0" applyAlignment="1" applyFont="1">
      <alignment readingOrder="0" vertical="bottom"/>
    </xf>
    <xf borderId="0" fillId="4" fontId="5" numFmtId="0" xfId="0" applyAlignment="1" applyFont="1">
      <alignment readingOrder="0" vertical="bottom"/>
    </xf>
    <xf borderId="0" fillId="0" fontId="4" numFmtId="0" xfId="0" applyAlignment="1" applyFont="1">
      <alignment horizontal="right" readingOrder="0"/>
    </xf>
    <xf borderId="0" fillId="3" fontId="5" numFmtId="166" xfId="0" applyAlignment="1" applyFont="1" applyNumberFormat="1">
      <alignment horizontal="center" readingOrder="0" shrinkToFit="0" vertical="bottom" wrapText="0"/>
    </xf>
    <xf borderId="0" fillId="3" fontId="5" numFmtId="0" xfId="0" applyAlignment="1" applyFont="1">
      <alignment horizontal="center" readingOrder="0" shrinkToFit="0" vertical="bottom" wrapText="0"/>
    </xf>
    <xf borderId="0" fillId="3" fontId="5" numFmtId="167" xfId="0" applyAlignment="1" applyFont="1" applyNumberFormat="1">
      <alignment horizontal="center" readingOrder="0" shrinkToFit="0" vertical="bottom" wrapText="0"/>
    </xf>
    <xf borderId="0" fillId="0" fontId="7" numFmtId="0" xfId="0" applyAlignment="1" applyFont="1">
      <alignment readingOrder="0"/>
    </xf>
    <xf borderId="0" fillId="0" fontId="7" numFmtId="0" xfId="0" applyAlignment="1" applyFont="1">
      <alignment horizontal="right" readingOrder="0"/>
    </xf>
    <xf borderId="0" fillId="0" fontId="8" numFmtId="0" xfId="0" applyAlignment="1" applyFont="1">
      <alignment readingOrder="0" vertical="bottom"/>
    </xf>
    <xf borderId="0" fillId="3" fontId="8" numFmtId="165" xfId="0" applyAlignment="1" applyFont="1" applyNumberFormat="1">
      <alignment horizontal="center" readingOrder="0" shrinkToFit="0" vertical="bottom" wrapText="0"/>
    </xf>
    <xf borderId="0" fillId="3" fontId="7" numFmtId="164" xfId="0" applyAlignment="1" applyFont="1" applyNumberFormat="1">
      <alignment readingOrder="0" shrinkToFit="0" wrapText="0"/>
    </xf>
    <xf borderId="0" fillId="0" fontId="7" numFmtId="0" xfId="0" applyFont="1"/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right" readingOrder="0" shrinkToFit="0" vertical="center" wrapText="0"/>
    </xf>
    <xf borderId="0" fillId="0" fontId="5" numFmtId="0" xfId="0" applyAlignment="1" applyFont="1">
      <alignment horizontal="left" readingOrder="0" shrinkToFit="0" vertical="bottom" wrapText="0"/>
    </xf>
    <xf borderId="0" fillId="0" fontId="5" numFmtId="165" xfId="0" applyAlignment="1" applyFont="1" applyNumberFormat="1">
      <alignment horizontal="center" readingOrder="0" shrinkToFit="0" vertical="bottom" wrapText="0"/>
    </xf>
    <xf borderId="0" fillId="0" fontId="4" numFmtId="164" xfId="0" applyAlignment="1" applyFont="1" applyNumberFormat="1">
      <alignment horizontal="left"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bottom" wrapText="0"/>
    </xf>
    <xf borderId="0" fillId="3" fontId="5" numFmtId="165" xfId="0" applyAlignment="1" applyFont="1" applyNumberFormat="1">
      <alignment horizontal="center" readingOrder="0" shrinkToFit="0" vertical="bottom" wrapText="0"/>
    </xf>
    <xf borderId="0" fillId="3" fontId="4" numFmtId="164" xfId="0" applyAlignment="1" applyFont="1" applyNumberFormat="1">
      <alignment readingOrder="0" shrinkToFit="0" vertical="center" wrapText="0"/>
    </xf>
    <xf borderId="0" fillId="0" fontId="4" numFmtId="168" xfId="0" applyAlignment="1" applyFont="1" applyNumberFormat="1">
      <alignment readingOrder="0"/>
    </xf>
    <xf borderId="0" fillId="3" fontId="5" numFmtId="167" xfId="0" applyAlignment="1" applyFont="1" applyNumberFormat="1">
      <alignment horizontal="center"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2" fontId="4" numFmtId="0" xfId="0" applyAlignment="1" applyFont="1">
      <alignment readingOrder="0" shrinkToFit="0" vertical="center" wrapText="0"/>
    </xf>
    <xf borderId="0" fillId="2" fontId="4" numFmtId="0" xfId="0" applyAlignment="1" applyFont="1">
      <alignment horizontal="right" readingOrder="0" shrinkToFit="0" vertical="center" wrapText="0"/>
    </xf>
    <xf borderId="0" fillId="2" fontId="5" numFmtId="0" xfId="0" applyAlignment="1" applyFont="1">
      <alignment readingOrder="0" shrinkToFit="0" vertical="bottom" wrapText="0"/>
    </xf>
    <xf borderId="0" fillId="2" fontId="4" numFmtId="0" xfId="0" applyFont="1"/>
    <xf borderId="0" fillId="2" fontId="5" numFmtId="165" xfId="0" applyAlignment="1" applyFont="1" applyNumberFormat="1">
      <alignment horizontal="center" readingOrder="0" shrinkToFit="0" vertical="bottom" wrapText="0"/>
    </xf>
    <xf borderId="0" fillId="2" fontId="4" numFmtId="164" xfId="0" applyAlignment="1" applyFont="1" applyNumberFormat="1">
      <alignment readingOrder="0" shrinkToFit="0" vertical="center" wrapText="0"/>
    </xf>
    <xf borderId="0" fillId="2" fontId="5" numFmtId="0" xfId="0" applyAlignment="1" applyFont="1">
      <alignment readingOrder="0" shrinkToFit="0" vertical="bottom" wrapText="0"/>
    </xf>
    <xf borderId="0" fillId="3" fontId="5" numFmtId="169" xfId="0" applyAlignment="1" applyFont="1" applyNumberFormat="1">
      <alignment horizontal="center" readingOrder="0" shrinkToFit="0" vertical="bottom" wrapText="0"/>
    </xf>
    <xf borderId="0" fillId="0" fontId="4" numFmtId="0" xfId="0" applyAlignment="1" applyFont="1">
      <alignment horizontal="left" readingOrder="0" shrinkToFit="0" vertical="bottom" wrapText="0"/>
    </xf>
    <xf borderId="0" fillId="3" fontId="4" numFmtId="164" xfId="0" applyAlignment="1" applyFont="1" applyNumberFormat="1">
      <alignment horizontal="right" readingOrder="0" shrinkToFit="0" vertical="center" wrapText="0"/>
    </xf>
    <xf borderId="0" fillId="0" fontId="4" numFmtId="0" xfId="0" applyAlignment="1" applyFont="1">
      <alignment horizontal="left"/>
    </xf>
    <xf borderId="0" fillId="0" fontId="4" numFmtId="0" xfId="0" applyAlignment="1" applyFont="1">
      <alignment readingOrder="0" shrinkToFit="0" vertical="center" wrapText="0"/>
    </xf>
    <xf borderId="0" fillId="3" fontId="5" numFmtId="0" xfId="0" applyAlignment="1" applyFont="1">
      <alignment readingOrder="0" shrinkToFit="0" vertical="bottom" wrapText="0"/>
    </xf>
    <xf borderId="0" fillId="3" fontId="4" numFmtId="169" xfId="0" applyAlignment="1" applyFont="1" applyNumberFormat="1">
      <alignment horizontal="center" readingOrder="0" shrinkToFit="0" vertical="center" wrapText="0"/>
    </xf>
    <xf borderId="0" fillId="3" fontId="4" numFmtId="166" xfId="0" applyAlignment="1" applyFont="1" applyNumberFormat="1">
      <alignment horizontal="center" readingOrder="0" shrinkToFit="0" vertical="center" wrapText="0"/>
    </xf>
    <xf borderId="0" fillId="3" fontId="4" numFmtId="165" xfId="0" applyAlignment="1" applyFont="1" applyNumberFormat="1">
      <alignment horizontal="center" readingOrder="0" shrinkToFit="0" vertical="center" wrapText="0"/>
    </xf>
    <xf borderId="0" fillId="3" fontId="4" numFmtId="167" xfId="0" applyAlignment="1" applyFont="1" applyNumberFormat="1">
      <alignment horizontal="center" readingOrder="0" shrinkToFit="0" vertical="center" wrapText="0"/>
    </xf>
    <xf borderId="0" fillId="0" fontId="4" numFmtId="0" xfId="0" applyAlignment="1" applyFont="1">
      <alignment horizontal="right"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3" fontId="4" numFmtId="170" xfId="0" applyAlignment="1" applyFont="1" applyNumberFormat="1">
      <alignment horizontal="right" readingOrder="0" shrinkToFit="0" vertical="bottom" wrapText="0"/>
    </xf>
    <xf borderId="0" fillId="5" fontId="9" numFmtId="0" xfId="0" applyAlignment="1" applyFill="1" applyFont="1">
      <alignment readingOrder="0" shrinkToFit="0" vertical="center" wrapText="0"/>
    </xf>
    <xf borderId="0" fillId="5" fontId="4" numFmtId="0" xfId="0" applyAlignment="1" applyFont="1">
      <alignment readingOrder="0" shrinkToFit="0" vertical="center" wrapText="0"/>
    </xf>
    <xf borderId="0" fillId="5" fontId="4" numFmtId="0" xfId="0" applyAlignment="1" applyFont="1">
      <alignment horizontal="right" shrinkToFit="0" vertical="center" wrapText="0"/>
    </xf>
    <xf borderId="0" fillId="5" fontId="5" numFmtId="0" xfId="0" applyAlignment="1" applyFont="1">
      <alignment readingOrder="0" shrinkToFit="0" vertical="bottom" wrapText="0"/>
    </xf>
    <xf borderId="0" fillId="5" fontId="5" numFmtId="0" xfId="0" applyAlignment="1" applyFont="1">
      <alignment readingOrder="0" shrinkToFit="0" vertical="bottom" wrapText="0"/>
    </xf>
    <xf borderId="0" fillId="5" fontId="4" numFmtId="167" xfId="0" applyAlignment="1" applyFont="1" applyNumberFormat="1">
      <alignment horizontal="center" readingOrder="0" shrinkToFit="0" vertical="center" wrapText="0"/>
    </xf>
    <xf borderId="0" fillId="5" fontId="4" numFmtId="164" xfId="0" applyAlignment="1" applyFont="1" applyNumberFormat="1">
      <alignment readingOrder="0" shrinkToFit="0" vertical="center" wrapText="0"/>
    </xf>
    <xf borderId="0" fillId="5" fontId="4" numFmtId="0" xfId="0" applyAlignment="1" applyFont="1">
      <alignment readingOrder="0" shrinkToFit="0" vertical="center" wrapText="0"/>
    </xf>
    <xf borderId="0" fillId="3" fontId="5" numFmtId="0" xfId="0" applyAlignment="1" applyFont="1">
      <alignment readingOrder="0" shrinkToFit="0" vertical="bottom" wrapText="0"/>
    </xf>
    <xf borderId="0" fillId="3" fontId="4" numFmtId="0" xfId="0" applyAlignment="1" applyFont="1">
      <alignment horizontal="center" shrinkToFit="0" vertical="center" wrapText="0"/>
    </xf>
    <xf borderId="0" fillId="3" fontId="4" numFmtId="0" xfId="0" applyAlignment="1" applyFont="1">
      <alignment shrinkToFit="0" vertical="center" wrapText="0"/>
    </xf>
    <xf borderId="0" fillId="0" fontId="4" numFmtId="0" xfId="0" applyAlignment="1" applyFont="1">
      <alignment horizontal="right"/>
    </xf>
    <xf borderId="0" fillId="3" fontId="4" numFmtId="0" xfId="0" applyAlignment="1" applyFont="1">
      <alignment horizontal="center"/>
    </xf>
    <xf borderId="0" fillId="3" fontId="4" numFmtId="164" xfId="0" applyAlignment="1" applyFont="1" applyNumberFormat="1">
      <alignment horizontal="center" readingOrder="0" shrinkToFit="0" wrapText="0"/>
    </xf>
    <xf borderId="0" fillId="3" fontId="4" numFmtId="0" xfId="0" applyFont="1"/>
    <xf borderId="0" fillId="0" fontId="4" numFmtId="0" xfId="0" applyFont="1"/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2" numFmtId="171" xfId="0" applyAlignment="1" applyFont="1" applyNumberFormat="1">
      <alignment horizontal="center" vertical="bottom"/>
    </xf>
    <xf borderId="0" fillId="0" fontId="2" numFmtId="0" xfId="0" applyAlignment="1" applyFont="1">
      <alignment horizontal="right" vertical="bottom"/>
    </xf>
    <xf borderId="0" fillId="0" fontId="2" numFmtId="49" xfId="0" applyAlignment="1" applyFont="1" applyNumberFormat="1">
      <alignment horizontal="center" vertical="bottom"/>
    </xf>
    <xf borderId="0" fillId="0" fontId="5" numFmtId="0" xfId="0" applyAlignment="1" applyFont="1">
      <alignment vertical="bottom"/>
    </xf>
    <xf borderId="0" fillId="0" fontId="4" numFmtId="171" xfId="0" applyAlignment="1" applyFont="1" applyNumberFormat="1">
      <alignment readingOrder="0"/>
    </xf>
    <xf quotePrefix="1" borderId="0" fillId="0" fontId="4" numFmtId="0" xfId="0" applyAlignment="1" applyFont="1">
      <alignment readingOrder="0"/>
    </xf>
    <xf borderId="0" fillId="6" fontId="5" numFmtId="164" xfId="0" applyAlignment="1" applyFill="1" applyFont="1" applyNumberFormat="1">
      <alignment horizontal="right" shrinkToFit="0" vertical="bottom" wrapText="0"/>
    </xf>
    <xf borderId="0" fillId="0" fontId="5" numFmtId="164" xfId="0" applyAlignment="1" applyFont="1" applyNumberFormat="1">
      <alignment horizontal="center" readingOrder="0" vertical="bottom"/>
    </xf>
    <xf borderId="0" fillId="0" fontId="5" numFmtId="171" xfId="0" applyAlignment="1" applyFont="1" applyNumberFormat="1">
      <alignment vertical="bottom"/>
    </xf>
    <xf borderId="0" fillId="0" fontId="5" numFmtId="164" xfId="0" applyAlignment="1" applyFont="1" applyNumberFormat="1">
      <alignment vertical="bottom"/>
    </xf>
    <xf borderId="0" fillId="6" fontId="5" numFmtId="164" xfId="0" applyAlignment="1" applyFont="1" applyNumberFormat="1">
      <alignment horizontal="right" readingOrder="0" shrinkToFit="0" vertical="bottom" wrapText="0"/>
    </xf>
    <xf borderId="0" fillId="0" fontId="5" numFmtId="165" xfId="0" applyAlignment="1" applyFont="1" applyNumberFormat="1">
      <alignment horizontal="center" readingOrder="0" vertical="bottom"/>
    </xf>
    <xf borderId="0" fillId="0" fontId="5" numFmtId="164" xfId="0" applyAlignment="1" applyFont="1" applyNumberFormat="1">
      <alignment vertical="bottom"/>
    </xf>
    <xf borderId="0" fillId="0" fontId="5" numFmtId="164" xfId="0" applyAlignment="1" applyFont="1" applyNumberFormat="1">
      <alignment horizontal="center" vertical="bottom"/>
    </xf>
    <xf borderId="0" fillId="3" fontId="4" numFmtId="0" xfId="0" applyAlignment="1" applyFont="1">
      <alignment readingOrder="0"/>
    </xf>
    <xf borderId="0" fillId="3" fontId="4" numFmtId="0" xfId="0" applyAlignment="1" applyFont="1">
      <alignment horizontal="right" readingOrder="0"/>
    </xf>
    <xf borderId="0" fillId="6" fontId="4" numFmtId="164" xfId="0" applyAlignment="1" applyFont="1" applyNumberFormat="1">
      <alignment readingOrder="0" shrinkToFit="0" wrapText="0"/>
    </xf>
    <xf borderId="0" fillId="7" fontId="4" numFmtId="0" xfId="0" applyAlignment="1" applyFill="1" applyFont="1">
      <alignment readingOrder="0"/>
    </xf>
    <xf borderId="0" fillId="7" fontId="4" numFmtId="0" xfId="0" applyFont="1"/>
    <xf borderId="0" fillId="8" fontId="4" numFmtId="0" xfId="0" applyFill="1" applyFont="1"/>
    <xf borderId="0" fillId="8" fontId="4" numFmtId="0" xfId="0" applyAlignment="1" applyFont="1">
      <alignment readingOrder="0"/>
    </xf>
    <xf quotePrefix="1" borderId="0" fillId="3" fontId="4" numFmtId="0" xfId="0" applyAlignment="1" applyFont="1">
      <alignment horizontal="right" readingOrder="0"/>
    </xf>
    <xf borderId="0" fillId="9" fontId="5" numFmtId="164" xfId="0" applyAlignment="1" applyFill="1" applyFont="1" applyNumberFormat="1">
      <alignment horizontal="right" readingOrder="0" shrinkToFit="0" vertical="bottom" wrapText="0"/>
    </xf>
    <xf quotePrefix="1" borderId="0" fillId="7" fontId="4" numFmtId="0" xfId="0" applyAlignment="1" applyFont="1">
      <alignment readingOrder="0"/>
    </xf>
    <xf borderId="0" fillId="0" fontId="5" numFmtId="0" xfId="0" applyAlignment="1" applyFont="1">
      <alignment horizontal="right" vertical="bottom"/>
    </xf>
    <xf quotePrefix="1" borderId="0" fillId="3" fontId="4" numFmtId="0" xfId="0" applyAlignment="1" applyFont="1">
      <alignment readingOrder="0"/>
    </xf>
    <xf borderId="0" fillId="0" fontId="5" numFmtId="171" xfId="0" applyAlignment="1" applyFont="1" applyNumberFormat="1">
      <alignment horizontal="right" vertical="bottom"/>
    </xf>
    <xf borderId="0" fillId="3" fontId="5" numFmtId="0" xfId="0" applyAlignment="1" applyFont="1">
      <alignment vertical="bottom"/>
    </xf>
    <xf borderId="0" fillId="3" fontId="5" numFmtId="165" xfId="0" applyAlignment="1" applyFont="1" applyNumberFormat="1">
      <alignment horizontal="center" shrinkToFit="0" vertical="bottom" wrapText="0"/>
    </xf>
    <xf quotePrefix="1" borderId="0" fillId="0" fontId="5" numFmtId="0" xfId="0" applyAlignment="1" applyFont="1">
      <alignment vertical="bottom"/>
    </xf>
    <xf borderId="0" fillId="3" fontId="5" numFmtId="0" xfId="0" applyAlignment="1" applyFont="1">
      <alignment horizontal="right" vertical="bottom"/>
    </xf>
    <xf borderId="0" fillId="9" fontId="4" numFmtId="164" xfId="0" applyAlignment="1" applyFont="1" applyNumberFormat="1">
      <alignment readingOrder="0" shrinkToFit="0" wrapText="0"/>
    </xf>
    <xf borderId="0" fillId="0" fontId="5" numFmtId="171" xfId="0" applyAlignment="1" applyFont="1" applyNumberFormat="1">
      <alignment horizontal="center" vertical="bottom"/>
    </xf>
    <xf borderId="0" fillId="0" fontId="5" numFmtId="165" xfId="0" applyAlignment="1" applyFont="1" applyNumberFormat="1">
      <alignment horizontal="center" vertical="bottom"/>
    </xf>
    <xf borderId="0" fillId="0" fontId="5" numFmtId="164" xfId="0" applyAlignment="1" applyFont="1" applyNumberFormat="1">
      <alignment horizontal="center" vertical="bottom"/>
    </xf>
    <xf borderId="0" fillId="9" fontId="5" numFmtId="164" xfId="0" applyAlignment="1" applyFont="1" applyNumberFormat="1">
      <alignment horizontal="right" shrinkToFit="0" vertical="bottom" wrapText="0"/>
    </xf>
    <xf borderId="0" fillId="7" fontId="5" numFmtId="0" xfId="0" applyAlignment="1" applyFont="1">
      <alignment vertical="bottom"/>
    </xf>
    <xf borderId="0" fillId="7" fontId="5" numFmtId="0" xfId="0" applyAlignment="1" applyFont="1">
      <alignment horizontal="right" vertical="bottom"/>
    </xf>
    <xf quotePrefix="1" borderId="0" fillId="0" fontId="5" numFmtId="0" xfId="0" applyAlignment="1" applyFont="1">
      <alignment horizontal="right" vertical="bottom"/>
    </xf>
    <xf quotePrefix="1" borderId="0" fillId="3" fontId="5" numFmtId="0" xfId="0" applyAlignment="1" applyFont="1">
      <alignment vertical="bottom"/>
    </xf>
    <xf borderId="0" fillId="8" fontId="5" numFmtId="0" xfId="0" applyAlignment="1" applyFont="1">
      <alignment vertical="bottom"/>
    </xf>
    <xf borderId="0" fillId="8" fontId="5" numFmtId="0" xfId="0" applyAlignment="1" applyFont="1">
      <alignment horizontal="right" vertical="bottom"/>
    </xf>
    <xf borderId="0" fillId="0" fontId="5" numFmtId="165" xfId="0" applyAlignment="1" applyFont="1" applyNumberFormat="1">
      <alignment vertical="bottom"/>
    </xf>
    <xf borderId="0" fillId="10" fontId="5" numFmtId="171" xfId="0" applyAlignment="1" applyFill="1" applyFont="1" applyNumberFormat="1">
      <alignment horizontal="center" vertical="bottom"/>
    </xf>
    <xf borderId="0" fillId="10" fontId="5" numFmtId="171" xfId="0" applyAlignment="1" applyFont="1" applyNumberFormat="1">
      <alignment vertical="bottom"/>
    </xf>
    <xf borderId="0" fillId="7" fontId="5" numFmtId="0" xfId="0" applyAlignment="1" applyFont="1">
      <alignment horizontal="center" vertical="bottom"/>
    </xf>
    <xf quotePrefix="1" borderId="0" fillId="0" fontId="5" numFmtId="0" xfId="0" applyAlignment="1" applyFont="1">
      <alignment horizontal="center" vertical="bottom"/>
    </xf>
    <xf borderId="0" fillId="11" fontId="5" numFmtId="0" xfId="0" applyAlignment="1" applyFill="1" applyFont="1">
      <alignment vertical="bottom"/>
    </xf>
    <xf borderId="0" fillId="10" fontId="5" numFmtId="0" xfId="0" applyAlignment="1" applyFont="1">
      <alignment vertical="bottom"/>
    </xf>
    <xf borderId="0" fillId="12" fontId="5" numFmtId="0" xfId="0" applyAlignment="1" applyFill="1" applyFont="1">
      <alignment vertical="bottom"/>
    </xf>
    <xf borderId="0" fillId="0" fontId="5" numFmtId="165" xfId="0" applyAlignment="1" applyFont="1" applyNumberFormat="1">
      <alignment horizontal="right" vertical="bottom"/>
    </xf>
    <xf borderId="0" fillId="13" fontId="5" numFmtId="171" xfId="0" applyAlignment="1" applyFill="1" applyFont="1" applyNumberFormat="1">
      <alignment horizontal="center" vertical="bottom"/>
    </xf>
    <xf borderId="0" fillId="0" fontId="5" numFmtId="165" xfId="0" applyAlignment="1" applyFont="1" applyNumberFormat="1">
      <alignment horizontal="right" readingOrder="0" vertical="bottom"/>
    </xf>
    <xf borderId="0" fillId="13" fontId="5" numFmtId="0" xfId="0" applyAlignment="1" applyFont="1">
      <alignment vertical="bottom"/>
    </xf>
    <xf borderId="0" fillId="2" fontId="5" numFmtId="171" xfId="0" applyAlignment="1" applyFont="1" applyNumberFormat="1">
      <alignment vertical="bottom"/>
    </xf>
    <xf borderId="0" fillId="2" fontId="5" numFmtId="171" xfId="0" applyAlignment="1" applyFont="1" applyNumberFormat="1">
      <alignment horizontal="right" vertical="bottom"/>
    </xf>
    <xf borderId="0" fillId="2" fontId="5" numFmtId="0" xfId="0" applyAlignment="1" applyFont="1">
      <alignment vertical="bottom"/>
    </xf>
    <xf borderId="0" fillId="9" fontId="5" numFmtId="0" xfId="0" applyAlignment="1" applyFont="1">
      <alignment horizontal="center" vertical="bottom"/>
    </xf>
    <xf borderId="0" fillId="0" fontId="5" numFmtId="164" xfId="0" applyAlignment="1" applyFont="1" applyNumberFormat="1">
      <alignment readingOrder="0" vertical="bottom"/>
    </xf>
    <xf borderId="0" fillId="0" fontId="5" numFmtId="165" xfId="0" applyAlignment="1" applyFont="1" applyNumberFormat="1">
      <alignment readingOrder="0" vertical="bottom"/>
    </xf>
    <xf borderId="0" fillId="9" fontId="5" numFmtId="164" xfId="0" applyAlignment="1" applyFont="1" applyNumberFormat="1">
      <alignment horizontal="right" vertical="bottom"/>
    </xf>
    <xf borderId="0" fillId="6" fontId="5" numFmtId="164" xfId="0" applyAlignment="1" applyFont="1" applyNumberFormat="1">
      <alignment horizontal="right" vertical="bottom"/>
    </xf>
    <xf borderId="0" fillId="3" fontId="5" numFmtId="165" xfId="0" applyAlignment="1" applyFont="1" applyNumberFormat="1">
      <alignment horizontal="center" vertical="bottom"/>
    </xf>
    <xf borderId="0" fillId="10" fontId="5" numFmtId="171" xfId="0" applyAlignment="1" applyFont="1" applyNumberFormat="1">
      <alignment horizontal="center"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5" numFmtId="0" xfId="0" applyAlignment="1" applyFont="1">
      <alignment shrinkToFit="0" vertical="bottom" wrapText="0"/>
    </xf>
    <xf borderId="0" fillId="7" fontId="5" numFmtId="165" xfId="0" applyAlignment="1" applyFont="1" applyNumberFormat="1">
      <alignment horizontal="center" vertical="bottom"/>
    </xf>
    <xf borderId="0" fillId="6" fontId="5" numFmtId="164" xfId="0" applyAlignment="1" applyFont="1" applyNumberFormat="1">
      <alignment horizontal="right" readingOrder="0" vertical="bottom"/>
    </xf>
    <xf borderId="0" fillId="9" fontId="5" numFmtId="164" xfId="0" applyAlignment="1" applyFont="1" applyNumberFormat="1">
      <alignment horizontal="right" readingOrder="0" vertical="bottom"/>
    </xf>
    <xf borderId="0" fillId="3" fontId="5" numFmtId="171" xfId="0" applyAlignment="1" applyFont="1" applyNumberFormat="1">
      <alignment horizontal="center" vertical="bottom"/>
    </xf>
    <xf borderId="0" fillId="6" fontId="5" numFmtId="172" xfId="0" applyAlignment="1" applyFont="1" applyNumberFormat="1">
      <alignment horizontal="right" vertical="bottom"/>
    </xf>
    <xf borderId="0" fillId="0" fontId="5" numFmtId="172" xfId="0" applyAlignment="1" applyFont="1" applyNumberFormat="1">
      <alignment horizontal="center" vertical="bottom"/>
    </xf>
    <xf borderId="1" fillId="0" fontId="5" numFmtId="0" xfId="0" applyAlignment="1" applyBorder="1" applyFont="1">
      <alignment vertical="bottom"/>
    </xf>
    <xf borderId="0" fillId="9" fontId="5" numFmtId="164" xfId="0" applyAlignment="1" applyFont="1" applyNumberFormat="1">
      <alignment horizontal="center" vertical="bottom"/>
    </xf>
    <xf borderId="0" fillId="9" fontId="5" numFmtId="0" xfId="0" applyAlignment="1" applyFont="1">
      <alignment horizontal="right" vertical="bottom"/>
    </xf>
    <xf borderId="0" fillId="9" fontId="5" numFmtId="0" xfId="0" applyAlignment="1" applyFont="1">
      <alignment vertical="bottom"/>
    </xf>
    <xf borderId="0" fillId="14" fontId="5" numFmtId="0" xfId="0" applyAlignment="1" applyFill="1" applyFont="1">
      <alignment vertical="bottom"/>
    </xf>
    <xf borderId="0" fillId="14" fontId="10" numFmtId="0" xfId="0" applyAlignment="1" applyFont="1">
      <alignment vertical="bottom"/>
    </xf>
    <xf borderId="0" fillId="14" fontId="5" numFmtId="171" xfId="0" applyAlignment="1" applyFont="1" applyNumberFormat="1">
      <alignment vertical="bottom"/>
    </xf>
    <xf borderId="0" fillId="6" fontId="5" numFmtId="164" xfId="0" applyAlignment="1" applyFont="1" applyNumberFormat="1">
      <alignment horizontal="center" vertical="bottom"/>
    </xf>
    <xf borderId="0" fillId="9" fontId="5" numFmtId="172" xfId="0" applyAlignment="1" applyFont="1" applyNumberFormat="1">
      <alignment horizontal="right" vertical="bottom"/>
    </xf>
    <xf borderId="0" fillId="0" fontId="5" numFmtId="173" xfId="0" applyAlignment="1" applyFont="1" applyNumberFormat="1">
      <alignment horizontal="center" vertical="bottom"/>
    </xf>
    <xf borderId="0" fillId="0" fontId="11" numFmtId="0" xfId="0" applyAlignment="1" applyFont="1">
      <alignment vertical="bottom"/>
    </xf>
    <xf borderId="0" fillId="0" fontId="11" numFmtId="0" xfId="0" applyAlignment="1" applyFont="1">
      <alignment horizontal="center" vertical="bottom"/>
    </xf>
    <xf borderId="0" fillId="9" fontId="11" numFmtId="0" xfId="0" applyAlignment="1" applyFont="1">
      <alignment horizontal="center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EGISTRO DE VENTA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Relationship Id="rId4" Type="http://schemas.openxmlformats.org/officeDocument/2006/relationships/image" Target="../media/Chart4.png"/><Relationship Id="rId5" Type="http://schemas.openxmlformats.org/officeDocument/2006/relationships/image" Target="../media/Chart5.png"/><Relationship Id="rId6" Type="http://schemas.openxmlformats.org/officeDocument/2006/relationships/image" Target="../media/Chart6.png"/><Relationship Id="rId7" Type="http://schemas.openxmlformats.org/officeDocument/2006/relationships/image" Target="../media/Chart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1085850</xdr:colOff>
      <xdr:row>705</xdr:row>
      <xdr:rowOff>76200</xdr:rowOff>
    </xdr:from>
    <xdr:ext cx="5715000" cy="3533775"/>
    <xdr:pic>
      <xdr:nvPicPr>
        <xdr:cNvPr id="1641818421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1304925</xdr:colOff>
      <xdr:row>705</xdr:row>
      <xdr:rowOff>76200</xdr:rowOff>
    </xdr:from>
    <xdr:ext cx="5715000" cy="3533775"/>
    <xdr:pic>
      <xdr:nvPicPr>
        <xdr:cNvPr id="1261454236" name="Chart2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419100</xdr:colOff>
      <xdr:row>204</xdr:row>
      <xdr:rowOff>114300</xdr:rowOff>
    </xdr:from>
    <xdr:ext cx="6562725" cy="4076700"/>
    <xdr:pic>
      <xdr:nvPicPr>
        <xdr:cNvPr id="1999775432" name="Chart3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1085850</xdr:colOff>
      <xdr:row>411</xdr:row>
      <xdr:rowOff>228600</xdr:rowOff>
    </xdr:from>
    <xdr:ext cx="5715000" cy="3533775"/>
    <xdr:pic>
      <xdr:nvPicPr>
        <xdr:cNvPr id="92269635" name="Chart4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95250</xdr:colOff>
      <xdr:row>411</xdr:row>
      <xdr:rowOff>228600</xdr:rowOff>
    </xdr:from>
    <xdr:ext cx="5715000" cy="3533775"/>
    <xdr:pic>
      <xdr:nvPicPr>
        <xdr:cNvPr id="146459956" name="Chart5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1085850</xdr:colOff>
      <xdr:row>424</xdr:row>
      <xdr:rowOff>247650</xdr:rowOff>
    </xdr:from>
    <xdr:ext cx="5715000" cy="3533775"/>
    <xdr:pic>
      <xdr:nvPicPr>
        <xdr:cNvPr id="1946513013" name="Chart6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95250</xdr:colOff>
      <xdr:row>424</xdr:row>
      <xdr:rowOff>247650</xdr:rowOff>
    </xdr:from>
    <xdr:ext cx="5715000" cy="3533775"/>
    <xdr:pic>
      <xdr:nvPicPr>
        <xdr:cNvPr id="1267028093" name="Chart7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2:M569" displayName="Tabla_1" name="Tabla_1" id="1">
  <tableColumns count="13">
    <tableColumn name="VAYOLET" id="1"/>
    <tableColumn name="PACHAS" id="2"/>
    <tableColumn name="906 126 433" id="3"/>
    <tableColumn name="CHINCHA" id="4"/>
    <tableColumn name="RINOMODELACIÓN" id="5"/>
    <tableColumn name="FACIAL" id="6"/>
    <tableColumn name="21/10/2025" id="7"/>
    <tableColumn name="S/.50,00" id="8"/>
    <tableColumn name="FACEBOOK" id="9"/>
    <tableColumn name="KYHARA" id="10"/>
    <tableColumn name="SI ACEPTO" id="11"/>
    <tableColumn name="S/.500,00" id="12"/>
    <tableColumn name="YAPE" id="13"/>
  </tableColumns>
  <tableStyleInfo name="REGISTRO DE VENT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11.88"/>
    <col customWidth="1" min="3" max="3" width="13.0"/>
    <col customWidth="1" min="4" max="4" width="10.13"/>
    <col customWidth="1" min="5" max="5" width="21.25"/>
    <col customWidth="1" min="6" max="6" width="19.25"/>
    <col customWidth="1" min="7" max="7" width="17.25"/>
    <col customWidth="1" min="8" max="8" width="10.63"/>
    <col customWidth="1" min="9" max="9" width="32.88"/>
    <col customWidth="1" min="10" max="10" width="15.63"/>
    <col customWidth="1" min="11" max="11" width="9.75"/>
    <col customWidth="1" min="12" max="12" width="12.13"/>
    <col customWidth="1" min="13" max="13" width="15.13"/>
    <col customWidth="1" min="14" max="15" width="18.88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3" t="s">
        <v>9</v>
      </c>
      <c r="K1" s="7" t="s">
        <v>10</v>
      </c>
      <c r="L1" s="5" t="s">
        <v>11</v>
      </c>
      <c r="M1" s="3" t="s">
        <v>12</v>
      </c>
      <c r="N1" s="8"/>
      <c r="O1" s="9"/>
    </row>
    <row r="2">
      <c r="A2" s="10" t="s">
        <v>13</v>
      </c>
      <c r="B2" s="10" t="s">
        <v>14</v>
      </c>
      <c r="C2" s="11">
        <v>9.3224489E8</v>
      </c>
      <c r="D2" s="10" t="s">
        <v>15</v>
      </c>
      <c r="E2" s="12" t="s">
        <v>16</v>
      </c>
      <c r="F2" s="12" t="s">
        <v>17</v>
      </c>
      <c r="G2" s="13">
        <v>45931.0</v>
      </c>
      <c r="H2" s="14">
        <v>0.0</v>
      </c>
      <c r="I2" s="12" t="s">
        <v>18</v>
      </c>
      <c r="J2" s="12" t="s">
        <v>19</v>
      </c>
      <c r="K2" s="15" t="s">
        <v>20</v>
      </c>
      <c r="L2" s="14">
        <v>269.0</v>
      </c>
      <c r="M2" s="12" t="s">
        <v>21</v>
      </c>
      <c r="N2" s="16"/>
    </row>
    <row r="3">
      <c r="A3" s="15" t="s">
        <v>22</v>
      </c>
      <c r="B3" s="15" t="s">
        <v>14</v>
      </c>
      <c r="C3" s="11">
        <v>9.3224489E8</v>
      </c>
      <c r="D3" s="10" t="s">
        <v>15</v>
      </c>
      <c r="E3" s="12" t="s">
        <v>16</v>
      </c>
      <c r="F3" s="12" t="s">
        <v>17</v>
      </c>
      <c r="G3" s="13">
        <v>45931.0</v>
      </c>
      <c r="H3" s="14">
        <v>0.0</v>
      </c>
      <c r="I3" s="12" t="s">
        <v>18</v>
      </c>
      <c r="J3" s="12" t="s">
        <v>19</v>
      </c>
      <c r="K3" s="15" t="s">
        <v>20</v>
      </c>
      <c r="L3" s="14">
        <v>169.0</v>
      </c>
      <c r="M3" s="12" t="s">
        <v>21</v>
      </c>
      <c r="N3" s="17"/>
    </row>
    <row r="4">
      <c r="A4" s="15" t="s">
        <v>23</v>
      </c>
      <c r="B4" s="15" t="s">
        <v>24</v>
      </c>
      <c r="C4" s="18">
        <v>9.93672038E8</v>
      </c>
      <c r="D4" s="15" t="s">
        <v>25</v>
      </c>
      <c r="E4" s="12" t="s">
        <v>26</v>
      </c>
      <c r="F4" s="12" t="s">
        <v>17</v>
      </c>
      <c r="G4" s="13">
        <v>45934.0</v>
      </c>
      <c r="H4" s="14">
        <v>50.0</v>
      </c>
      <c r="I4" s="12" t="s">
        <v>18</v>
      </c>
      <c r="J4" s="12" t="s">
        <v>19</v>
      </c>
      <c r="K4" s="15" t="s">
        <v>20</v>
      </c>
      <c r="L4" s="14">
        <v>500.0</v>
      </c>
      <c r="M4" s="12" t="s">
        <v>27</v>
      </c>
    </row>
    <row r="5">
      <c r="A5" s="15" t="s">
        <v>28</v>
      </c>
      <c r="B5" s="15" t="s">
        <v>29</v>
      </c>
      <c r="C5" s="18">
        <v>9.5792138E8</v>
      </c>
      <c r="D5" s="15" t="s">
        <v>30</v>
      </c>
      <c r="E5" s="12" t="s">
        <v>31</v>
      </c>
      <c r="F5" s="12" t="s">
        <v>32</v>
      </c>
      <c r="G5" s="13">
        <v>45933.0</v>
      </c>
      <c r="H5" s="14">
        <v>150.0</v>
      </c>
      <c r="I5" s="12" t="s">
        <v>18</v>
      </c>
      <c r="J5" s="12" t="s">
        <v>19</v>
      </c>
      <c r="K5" s="15" t="s">
        <v>20</v>
      </c>
      <c r="L5" s="14"/>
      <c r="M5" s="12" t="s">
        <v>27</v>
      </c>
    </row>
    <row r="6">
      <c r="A6" s="15" t="s">
        <v>33</v>
      </c>
      <c r="B6" s="15" t="s">
        <v>34</v>
      </c>
      <c r="C6" s="18">
        <v>9.3347929E8</v>
      </c>
      <c r="D6" s="15" t="s">
        <v>15</v>
      </c>
      <c r="E6" s="12" t="s">
        <v>35</v>
      </c>
      <c r="F6" s="12" t="s">
        <v>36</v>
      </c>
      <c r="G6" s="13">
        <v>45931.0</v>
      </c>
      <c r="H6" s="14">
        <v>0.0</v>
      </c>
      <c r="I6" s="12" t="s">
        <v>18</v>
      </c>
      <c r="J6" s="12" t="s">
        <v>19</v>
      </c>
      <c r="K6" s="15" t="s">
        <v>20</v>
      </c>
      <c r="L6" s="14">
        <v>500.0</v>
      </c>
      <c r="M6" s="12" t="s">
        <v>27</v>
      </c>
    </row>
    <row r="7">
      <c r="A7" s="15" t="s">
        <v>37</v>
      </c>
      <c r="B7" s="15" t="s">
        <v>38</v>
      </c>
      <c r="C7" s="18">
        <v>9.55024229E8</v>
      </c>
      <c r="D7" s="15" t="s">
        <v>15</v>
      </c>
      <c r="E7" s="12" t="s">
        <v>39</v>
      </c>
      <c r="F7" s="12" t="s">
        <v>40</v>
      </c>
      <c r="G7" s="13">
        <v>45933.0</v>
      </c>
      <c r="H7" s="14">
        <v>0.0</v>
      </c>
      <c r="I7" s="12" t="s">
        <v>18</v>
      </c>
      <c r="J7" s="12" t="s">
        <v>19</v>
      </c>
      <c r="K7" s="15" t="s">
        <v>20</v>
      </c>
      <c r="L7" s="14">
        <v>579.0</v>
      </c>
      <c r="M7" s="12" t="s">
        <v>41</v>
      </c>
    </row>
    <row r="8">
      <c r="A8" s="15" t="s">
        <v>42</v>
      </c>
      <c r="B8" s="15" t="s">
        <v>43</v>
      </c>
      <c r="C8" s="18">
        <v>9.07711444E8</v>
      </c>
      <c r="D8" s="15" t="s">
        <v>30</v>
      </c>
      <c r="E8" s="12" t="s">
        <v>16</v>
      </c>
      <c r="F8" s="12" t="s">
        <v>17</v>
      </c>
      <c r="G8" s="13">
        <v>45933.0</v>
      </c>
      <c r="H8" s="14">
        <v>50.0</v>
      </c>
      <c r="I8" s="12" t="s">
        <v>44</v>
      </c>
      <c r="J8" s="12" t="s">
        <v>19</v>
      </c>
      <c r="K8" s="15" t="s">
        <v>20</v>
      </c>
      <c r="L8" s="14">
        <v>119.0</v>
      </c>
      <c r="M8" s="12" t="s">
        <v>27</v>
      </c>
    </row>
    <row r="9">
      <c r="A9" s="15" t="s">
        <v>45</v>
      </c>
      <c r="B9" s="15" t="s">
        <v>46</v>
      </c>
      <c r="C9" s="18">
        <v>9.6020773E8</v>
      </c>
      <c r="D9" s="15" t="s">
        <v>15</v>
      </c>
      <c r="E9" s="12" t="s">
        <v>16</v>
      </c>
      <c r="F9" s="12" t="s">
        <v>17</v>
      </c>
      <c r="G9" s="13">
        <v>45933.0</v>
      </c>
      <c r="H9" s="14">
        <v>50.0</v>
      </c>
      <c r="I9" s="12" t="s">
        <v>47</v>
      </c>
      <c r="J9" s="12" t="s">
        <v>19</v>
      </c>
      <c r="K9" s="15" t="s">
        <v>20</v>
      </c>
      <c r="L9" s="14">
        <v>159.0</v>
      </c>
      <c r="M9" s="12" t="s">
        <v>21</v>
      </c>
    </row>
    <row r="10">
      <c r="A10" s="15" t="s">
        <v>48</v>
      </c>
      <c r="B10" s="15" t="s">
        <v>49</v>
      </c>
      <c r="C10" s="18">
        <v>9.45397924E8</v>
      </c>
      <c r="D10" s="15" t="s">
        <v>15</v>
      </c>
      <c r="E10" s="12" t="s">
        <v>39</v>
      </c>
      <c r="F10" s="12" t="s">
        <v>40</v>
      </c>
      <c r="G10" s="13">
        <v>45934.0</v>
      </c>
      <c r="H10" s="14">
        <v>50.0</v>
      </c>
      <c r="I10" s="12" t="s">
        <v>18</v>
      </c>
      <c r="J10" s="12" t="s">
        <v>19</v>
      </c>
      <c r="K10" s="15" t="s">
        <v>20</v>
      </c>
      <c r="L10" s="14">
        <v>529.0</v>
      </c>
      <c r="M10" s="12" t="s">
        <v>27</v>
      </c>
    </row>
    <row r="11">
      <c r="A11" s="15" t="s">
        <v>50</v>
      </c>
      <c r="B11" s="15" t="s">
        <v>51</v>
      </c>
      <c r="C11" s="18">
        <v>9.45430115E8</v>
      </c>
      <c r="D11" s="15" t="s">
        <v>15</v>
      </c>
      <c r="E11" s="12" t="s">
        <v>52</v>
      </c>
      <c r="F11" s="12" t="s">
        <v>40</v>
      </c>
      <c r="G11" s="13">
        <v>45934.0</v>
      </c>
      <c r="H11" s="14">
        <v>50.0</v>
      </c>
      <c r="I11" s="12" t="s">
        <v>18</v>
      </c>
      <c r="J11" s="12" t="s">
        <v>19</v>
      </c>
      <c r="K11" s="15" t="s">
        <v>20</v>
      </c>
      <c r="L11" s="14">
        <v>35.0</v>
      </c>
      <c r="M11" s="12" t="s">
        <v>27</v>
      </c>
    </row>
    <row r="12">
      <c r="A12" s="15" t="s">
        <v>53</v>
      </c>
      <c r="B12" s="15" t="s">
        <v>54</v>
      </c>
      <c r="C12" s="18">
        <v>9.38728893E8</v>
      </c>
      <c r="D12" s="15" t="s">
        <v>15</v>
      </c>
      <c r="E12" s="12" t="s">
        <v>55</v>
      </c>
      <c r="F12" s="12" t="s">
        <v>40</v>
      </c>
      <c r="G12" s="13">
        <v>45934.0</v>
      </c>
      <c r="H12" s="14">
        <v>50.0</v>
      </c>
      <c r="I12" s="12" t="s">
        <v>18</v>
      </c>
      <c r="J12" s="12" t="s">
        <v>19</v>
      </c>
      <c r="K12" s="15" t="s">
        <v>20</v>
      </c>
      <c r="L12" s="14">
        <v>50.0</v>
      </c>
      <c r="M12" s="12" t="s">
        <v>21</v>
      </c>
    </row>
    <row r="13">
      <c r="A13" s="15" t="s">
        <v>56</v>
      </c>
      <c r="B13" s="15" t="s">
        <v>57</v>
      </c>
      <c r="C13" s="18">
        <v>9.26609327E8</v>
      </c>
      <c r="D13" s="15" t="s">
        <v>30</v>
      </c>
      <c r="E13" s="12" t="s">
        <v>16</v>
      </c>
      <c r="F13" s="12" t="s">
        <v>40</v>
      </c>
      <c r="G13" s="19">
        <v>45934.0</v>
      </c>
      <c r="H13" s="14">
        <v>0.0</v>
      </c>
      <c r="I13" s="12" t="s">
        <v>18</v>
      </c>
      <c r="J13" s="12" t="s">
        <v>19</v>
      </c>
      <c r="K13" s="15" t="s">
        <v>20</v>
      </c>
      <c r="L13" s="14">
        <v>0.0</v>
      </c>
      <c r="M13" s="12" t="s">
        <v>21</v>
      </c>
    </row>
    <row r="14">
      <c r="A14" s="15" t="s">
        <v>58</v>
      </c>
      <c r="B14" s="15" t="s">
        <v>59</v>
      </c>
      <c r="C14" s="18">
        <v>9.12791607E8</v>
      </c>
      <c r="D14" s="15" t="s">
        <v>15</v>
      </c>
      <c r="E14" s="12" t="s">
        <v>60</v>
      </c>
      <c r="F14" s="12" t="s">
        <v>36</v>
      </c>
      <c r="G14" s="13">
        <v>45936.0</v>
      </c>
      <c r="H14" s="14">
        <v>155.0</v>
      </c>
      <c r="I14" s="12" t="s">
        <v>61</v>
      </c>
      <c r="J14" s="12" t="s">
        <v>19</v>
      </c>
      <c r="K14" s="15" t="s">
        <v>20</v>
      </c>
      <c r="L14" s="14">
        <v>0.0</v>
      </c>
      <c r="M14" s="12" t="s">
        <v>27</v>
      </c>
    </row>
    <row r="15">
      <c r="A15" s="15" t="s">
        <v>62</v>
      </c>
      <c r="B15" s="15" t="s">
        <v>63</v>
      </c>
      <c r="C15" s="18">
        <v>9.60485306E8</v>
      </c>
      <c r="D15" s="15" t="s">
        <v>25</v>
      </c>
      <c r="E15" s="12" t="s">
        <v>52</v>
      </c>
      <c r="F15" s="12" t="s">
        <v>40</v>
      </c>
      <c r="G15" s="13">
        <v>45934.0</v>
      </c>
      <c r="H15" s="14">
        <v>50.0</v>
      </c>
      <c r="I15" s="12" t="s">
        <v>18</v>
      </c>
      <c r="J15" s="12" t="s">
        <v>19</v>
      </c>
      <c r="K15" s="15" t="s">
        <v>20</v>
      </c>
      <c r="L15" s="14">
        <v>35.0</v>
      </c>
      <c r="M15" s="12" t="s">
        <v>27</v>
      </c>
    </row>
    <row r="16">
      <c r="A16" s="15" t="s">
        <v>62</v>
      </c>
      <c r="B16" s="15" t="s">
        <v>63</v>
      </c>
      <c r="C16" s="18">
        <v>9.60485306E8</v>
      </c>
      <c r="D16" s="15" t="s">
        <v>25</v>
      </c>
      <c r="E16" s="12" t="s">
        <v>64</v>
      </c>
      <c r="F16" s="12" t="s">
        <v>40</v>
      </c>
      <c r="G16" s="13">
        <v>45934.0</v>
      </c>
      <c r="H16" s="14">
        <v>70.0</v>
      </c>
      <c r="I16" s="12" t="s">
        <v>65</v>
      </c>
      <c r="J16" s="12" t="s">
        <v>19</v>
      </c>
      <c r="K16" s="15" t="s">
        <v>20</v>
      </c>
      <c r="L16" s="14">
        <v>70.0</v>
      </c>
      <c r="M16" s="12" t="s">
        <v>27</v>
      </c>
    </row>
    <row r="17">
      <c r="A17" s="15" t="s">
        <v>66</v>
      </c>
      <c r="B17" s="15" t="s">
        <v>67</v>
      </c>
      <c r="C17" s="18">
        <v>9.47176589E8</v>
      </c>
      <c r="D17" s="15" t="s">
        <v>15</v>
      </c>
      <c r="E17" s="12" t="s">
        <v>68</v>
      </c>
      <c r="F17" s="12" t="s">
        <v>36</v>
      </c>
      <c r="G17" s="13">
        <v>45937.0</v>
      </c>
      <c r="H17" s="14">
        <v>65.0</v>
      </c>
      <c r="I17" s="12" t="s">
        <v>18</v>
      </c>
      <c r="J17" s="12" t="s">
        <v>19</v>
      </c>
      <c r="K17" s="15" t="s">
        <v>20</v>
      </c>
      <c r="L17" s="14">
        <v>65.0</v>
      </c>
      <c r="M17" s="12" t="s">
        <v>27</v>
      </c>
    </row>
    <row r="18">
      <c r="A18" s="15" t="s">
        <v>69</v>
      </c>
      <c r="B18" s="15" t="s">
        <v>38</v>
      </c>
      <c r="C18" s="18">
        <v>9.16464259E8</v>
      </c>
      <c r="D18" s="15" t="s">
        <v>15</v>
      </c>
      <c r="E18" s="12" t="s">
        <v>70</v>
      </c>
      <c r="F18" s="12" t="s">
        <v>36</v>
      </c>
      <c r="G18" s="13">
        <v>45937.0</v>
      </c>
      <c r="H18" s="14">
        <v>50.0</v>
      </c>
      <c r="I18" s="12" t="s">
        <v>18</v>
      </c>
      <c r="J18" s="12" t="s">
        <v>19</v>
      </c>
      <c r="K18" s="15" t="s">
        <v>20</v>
      </c>
      <c r="L18" s="14">
        <v>0.0</v>
      </c>
      <c r="M18" s="12" t="s">
        <v>27</v>
      </c>
    </row>
    <row r="19">
      <c r="A19" s="15" t="s">
        <v>71</v>
      </c>
      <c r="B19" s="15" t="s">
        <v>72</v>
      </c>
      <c r="C19" s="18">
        <v>9.85206093E8</v>
      </c>
      <c r="D19" s="15" t="s">
        <v>30</v>
      </c>
      <c r="E19" s="12" t="s">
        <v>73</v>
      </c>
      <c r="F19" s="12" t="s">
        <v>74</v>
      </c>
      <c r="G19" s="13">
        <v>45936.0</v>
      </c>
      <c r="H19" s="14">
        <v>0.0</v>
      </c>
      <c r="I19" s="12" t="s">
        <v>75</v>
      </c>
      <c r="J19" s="12" t="s">
        <v>19</v>
      </c>
      <c r="K19" s="15" t="s">
        <v>20</v>
      </c>
      <c r="L19" s="14">
        <v>272.0</v>
      </c>
      <c r="M19" s="12" t="s">
        <v>76</v>
      </c>
    </row>
    <row r="20">
      <c r="A20" s="15" t="s">
        <v>77</v>
      </c>
      <c r="B20" s="15" t="s">
        <v>78</v>
      </c>
      <c r="C20" s="18">
        <v>9.52260343E8</v>
      </c>
      <c r="D20" s="15" t="s">
        <v>30</v>
      </c>
      <c r="E20" s="12" t="s">
        <v>39</v>
      </c>
      <c r="F20" s="12" t="s">
        <v>40</v>
      </c>
      <c r="G20" s="13">
        <v>45941.0</v>
      </c>
      <c r="H20" s="14">
        <v>0.0</v>
      </c>
      <c r="I20" s="12" t="s">
        <v>61</v>
      </c>
      <c r="J20" s="12" t="s">
        <v>19</v>
      </c>
      <c r="K20" s="15" t="s">
        <v>20</v>
      </c>
      <c r="L20" s="14">
        <v>3222.5</v>
      </c>
      <c r="M20" s="12" t="s">
        <v>41</v>
      </c>
    </row>
    <row r="21">
      <c r="A21" s="15" t="s">
        <v>79</v>
      </c>
      <c r="B21" s="15" t="s">
        <v>80</v>
      </c>
      <c r="C21" s="18">
        <v>9.34082853E8</v>
      </c>
      <c r="D21" s="15" t="s">
        <v>30</v>
      </c>
      <c r="E21" s="12" t="s">
        <v>73</v>
      </c>
      <c r="F21" s="12" t="s">
        <v>81</v>
      </c>
      <c r="G21" s="13">
        <v>45936.0</v>
      </c>
      <c r="H21" s="14">
        <v>0.0</v>
      </c>
      <c r="I21" s="12"/>
      <c r="J21" s="12" t="s">
        <v>19</v>
      </c>
      <c r="K21" s="15" t="s">
        <v>20</v>
      </c>
      <c r="L21" s="14">
        <v>1260.0</v>
      </c>
      <c r="M21" s="12" t="s">
        <v>82</v>
      </c>
    </row>
    <row r="22">
      <c r="A22" s="15" t="s">
        <v>83</v>
      </c>
      <c r="B22" s="15" t="s">
        <v>84</v>
      </c>
      <c r="C22" s="18">
        <v>9.36068816E8</v>
      </c>
      <c r="D22" s="15" t="s">
        <v>15</v>
      </c>
      <c r="E22" s="12" t="s">
        <v>55</v>
      </c>
      <c r="F22" s="12" t="s">
        <v>40</v>
      </c>
      <c r="G22" s="20" t="s">
        <v>85</v>
      </c>
      <c r="H22" s="14">
        <v>0.0</v>
      </c>
      <c r="I22" s="12" t="s">
        <v>65</v>
      </c>
      <c r="J22" s="12" t="s">
        <v>19</v>
      </c>
      <c r="K22" s="15" t="s">
        <v>20</v>
      </c>
      <c r="L22" s="14">
        <v>200.0</v>
      </c>
      <c r="M22" s="12" t="s">
        <v>27</v>
      </c>
    </row>
    <row r="23">
      <c r="A23" s="15" t="s">
        <v>86</v>
      </c>
      <c r="B23" s="15" t="s">
        <v>87</v>
      </c>
      <c r="C23" s="18">
        <v>9.61895206E8</v>
      </c>
      <c r="D23" s="15" t="s">
        <v>15</v>
      </c>
      <c r="E23" s="12" t="s">
        <v>16</v>
      </c>
      <c r="F23" s="12" t="s">
        <v>17</v>
      </c>
      <c r="G23" s="13">
        <v>45939.0</v>
      </c>
      <c r="H23" s="14">
        <v>0.0</v>
      </c>
      <c r="I23" s="12" t="s">
        <v>18</v>
      </c>
      <c r="J23" s="12" t="s">
        <v>19</v>
      </c>
      <c r="K23" s="15" t="s">
        <v>20</v>
      </c>
      <c r="L23" s="14">
        <v>169.0</v>
      </c>
      <c r="M23" s="12" t="s">
        <v>27</v>
      </c>
    </row>
    <row r="24">
      <c r="A24" s="15" t="s">
        <v>88</v>
      </c>
      <c r="B24" s="15" t="s">
        <v>89</v>
      </c>
      <c r="C24" s="18">
        <v>9.77403048E8</v>
      </c>
      <c r="D24" s="15" t="s">
        <v>30</v>
      </c>
      <c r="E24" s="12" t="s">
        <v>39</v>
      </c>
      <c r="F24" s="12" t="s">
        <v>40</v>
      </c>
      <c r="G24" s="13">
        <v>45939.0</v>
      </c>
      <c r="H24" s="14">
        <v>50.0</v>
      </c>
      <c r="I24" s="12" t="s">
        <v>18</v>
      </c>
      <c r="J24" s="12" t="s">
        <v>19</v>
      </c>
      <c r="K24" s="15" t="s">
        <v>20</v>
      </c>
      <c r="L24" s="14">
        <v>529.0</v>
      </c>
      <c r="M24" s="12" t="s">
        <v>21</v>
      </c>
    </row>
    <row r="25">
      <c r="A25" s="15" t="s">
        <v>90</v>
      </c>
      <c r="B25" s="15" t="s">
        <v>80</v>
      </c>
      <c r="C25" s="18">
        <v>9.61895206E8</v>
      </c>
      <c r="D25" s="15" t="s">
        <v>30</v>
      </c>
      <c r="E25" s="12" t="s">
        <v>73</v>
      </c>
      <c r="F25" s="12" t="s">
        <v>40</v>
      </c>
      <c r="G25" s="13">
        <v>45937.0</v>
      </c>
      <c r="H25" s="14">
        <v>0.0</v>
      </c>
      <c r="I25" s="12" t="s">
        <v>18</v>
      </c>
      <c r="J25" s="12" t="s">
        <v>19</v>
      </c>
      <c r="K25" s="15" t="s">
        <v>20</v>
      </c>
      <c r="L25" s="14">
        <v>30.0</v>
      </c>
      <c r="M25" s="12" t="s">
        <v>91</v>
      </c>
    </row>
    <row r="26">
      <c r="A26" s="15" t="s">
        <v>92</v>
      </c>
      <c r="B26" s="15" t="s">
        <v>93</v>
      </c>
      <c r="C26" s="18">
        <v>9.54693205E8</v>
      </c>
      <c r="D26" s="15" t="s">
        <v>30</v>
      </c>
      <c r="E26" s="12" t="s">
        <v>73</v>
      </c>
      <c r="F26" s="12" t="s">
        <v>81</v>
      </c>
      <c r="G26" s="13">
        <v>45939.0</v>
      </c>
      <c r="H26" s="14">
        <v>0.0</v>
      </c>
      <c r="I26" s="12" t="s">
        <v>18</v>
      </c>
      <c r="J26" s="12" t="s">
        <v>19</v>
      </c>
      <c r="K26" s="15" t="s">
        <v>20</v>
      </c>
      <c r="L26" s="14">
        <v>272.0</v>
      </c>
      <c r="M26" s="12" t="s">
        <v>82</v>
      </c>
    </row>
    <row r="27">
      <c r="A27" s="15" t="s">
        <v>94</v>
      </c>
      <c r="B27" s="15" t="s">
        <v>95</v>
      </c>
      <c r="C27" s="18">
        <v>9.24962384E8</v>
      </c>
      <c r="D27" s="15" t="s">
        <v>15</v>
      </c>
      <c r="E27" s="12" t="s">
        <v>16</v>
      </c>
      <c r="F27" s="12" t="s">
        <v>36</v>
      </c>
      <c r="G27" s="13">
        <v>45941.0</v>
      </c>
      <c r="H27" s="14">
        <v>50.0</v>
      </c>
      <c r="I27" s="12" t="s">
        <v>47</v>
      </c>
      <c r="J27" s="12" t="s">
        <v>19</v>
      </c>
      <c r="K27" s="15" t="s">
        <v>20</v>
      </c>
      <c r="L27" s="14">
        <v>208.0</v>
      </c>
      <c r="M27" s="12" t="s">
        <v>27</v>
      </c>
    </row>
    <row r="28">
      <c r="A28" s="15" t="s">
        <v>96</v>
      </c>
      <c r="B28" s="15" t="s">
        <v>97</v>
      </c>
      <c r="C28" s="18">
        <v>9.34641289E8</v>
      </c>
      <c r="D28" s="15" t="s">
        <v>30</v>
      </c>
      <c r="E28" s="12" t="s">
        <v>73</v>
      </c>
      <c r="F28" s="12" t="s">
        <v>74</v>
      </c>
      <c r="G28" s="13">
        <v>45940.0</v>
      </c>
      <c r="H28" s="14">
        <v>0.0</v>
      </c>
      <c r="I28" s="12" t="s">
        <v>18</v>
      </c>
      <c r="J28" s="12" t="s">
        <v>19</v>
      </c>
      <c r="K28" s="15" t="s">
        <v>20</v>
      </c>
      <c r="L28" s="14">
        <v>272.0</v>
      </c>
      <c r="M28" s="12" t="s">
        <v>82</v>
      </c>
    </row>
    <row r="29">
      <c r="A29" s="15" t="s">
        <v>98</v>
      </c>
      <c r="B29" s="15" t="s">
        <v>99</v>
      </c>
      <c r="C29" s="18">
        <v>9.86011839E8</v>
      </c>
      <c r="D29" s="15" t="s">
        <v>30</v>
      </c>
      <c r="E29" s="12" t="s">
        <v>73</v>
      </c>
      <c r="F29" s="12" t="s">
        <v>74</v>
      </c>
      <c r="G29" s="21">
        <v>45941.0</v>
      </c>
      <c r="H29" s="14">
        <v>0.0</v>
      </c>
      <c r="I29" s="12" t="s">
        <v>18</v>
      </c>
      <c r="J29" s="12" t="s">
        <v>19</v>
      </c>
      <c r="K29" s="15" t="s">
        <v>20</v>
      </c>
      <c r="L29" s="14">
        <v>272.0</v>
      </c>
      <c r="M29" s="12" t="s">
        <v>27</v>
      </c>
    </row>
    <row r="30">
      <c r="A30" s="15" t="s">
        <v>100</v>
      </c>
      <c r="B30" s="15" t="s">
        <v>101</v>
      </c>
      <c r="C30" s="18" t="s">
        <v>102</v>
      </c>
      <c r="D30" s="15" t="s">
        <v>15</v>
      </c>
      <c r="E30" s="12" t="s">
        <v>55</v>
      </c>
      <c r="F30" s="12" t="s">
        <v>40</v>
      </c>
      <c r="G30" s="13">
        <v>45943.0</v>
      </c>
      <c r="H30" s="14">
        <v>70.0</v>
      </c>
      <c r="I30" s="12" t="s">
        <v>65</v>
      </c>
      <c r="J30" s="12" t="s">
        <v>19</v>
      </c>
      <c r="K30" s="15" t="s">
        <v>20</v>
      </c>
      <c r="L30" s="14">
        <v>73.5</v>
      </c>
      <c r="M30" s="12" t="s">
        <v>82</v>
      </c>
    </row>
    <row r="31">
      <c r="A31" s="22"/>
      <c r="B31" s="22"/>
      <c r="C31" s="23"/>
      <c r="D31" s="22"/>
      <c r="E31" s="24"/>
      <c r="F31" s="24"/>
      <c r="G31" s="25"/>
      <c r="H31" s="26"/>
      <c r="I31" s="24"/>
      <c r="J31" s="12"/>
      <c r="K31" s="22"/>
      <c r="L31" s="26"/>
      <c r="M31" s="24"/>
      <c r="N31" s="27"/>
      <c r="O31" s="27"/>
    </row>
    <row r="32" ht="22.5" customHeight="1">
      <c r="A32" s="28" t="s">
        <v>103</v>
      </c>
      <c r="B32" s="28" t="s">
        <v>104</v>
      </c>
      <c r="C32" s="29" t="s">
        <v>105</v>
      </c>
      <c r="D32" s="28" t="s">
        <v>15</v>
      </c>
      <c r="E32" s="30" t="s">
        <v>106</v>
      </c>
      <c r="F32" s="30" t="s">
        <v>36</v>
      </c>
      <c r="G32" s="31" t="s">
        <v>107</v>
      </c>
      <c r="H32" s="32" t="s">
        <v>108</v>
      </c>
      <c r="I32" s="30" t="s">
        <v>18</v>
      </c>
      <c r="J32" s="30" t="s">
        <v>19</v>
      </c>
      <c r="K32" s="28" t="s">
        <v>20</v>
      </c>
      <c r="L32" s="32" t="s">
        <v>109</v>
      </c>
      <c r="M32" s="30" t="s">
        <v>27</v>
      </c>
      <c r="N32" s="27"/>
      <c r="O32" s="27"/>
    </row>
    <row r="33" ht="22.5" customHeight="1">
      <c r="A33" s="33" t="s">
        <v>110</v>
      </c>
      <c r="B33" s="33" t="s">
        <v>111</v>
      </c>
      <c r="C33" s="29" t="s">
        <v>112</v>
      </c>
      <c r="D33" s="33" t="s">
        <v>15</v>
      </c>
      <c r="E33" s="34" t="s">
        <v>35</v>
      </c>
      <c r="F33" s="34" t="s">
        <v>36</v>
      </c>
      <c r="G33" s="35">
        <v>45954.0</v>
      </c>
      <c r="H33" s="36">
        <v>50.0</v>
      </c>
      <c r="I33" s="34" t="s">
        <v>65</v>
      </c>
      <c r="J33" s="34" t="s">
        <v>19</v>
      </c>
      <c r="K33" s="33" t="s">
        <v>20</v>
      </c>
      <c r="L33" s="36">
        <v>500.0</v>
      </c>
      <c r="M33" s="34" t="s">
        <v>27</v>
      </c>
    </row>
    <row r="34" ht="22.5" customHeight="1">
      <c r="A34" s="33" t="s">
        <v>113</v>
      </c>
      <c r="B34" s="33" t="s">
        <v>46</v>
      </c>
      <c r="C34" s="29" t="s">
        <v>114</v>
      </c>
      <c r="D34" s="33" t="s">
        <v>15</v>
      </c>
      <c r="E34" s="34" t="s">
        <v>115</v>
      </c>
      <c r="F34" s="34" t="s">
        <v>40</v>
      </c>
      <c r="G34" s="35">
        <v>45950.0</v>
      </c>
      <c r="H34" s="36">
        <v>120.0</v>
      </c>
      <c r="I34" s="34" t="s">
        <v>18</v>
      </c>
      <c r="J34" s="34" t="s">
        <v>19</v>
      </c>
      <c r="K34" s="33" t="s">
        <v>20</v>
      </c>
      <c r="L34" s="36">
        <v>0.0</v>
      </c>
      <c r="M34" s="34" t="s">
        <v>27</v>
      </c>
      <c r="N34" s="37"/>
      <c r="O34" s="37"/>
    </row>
    <row r="35" ht="22.5" customHeight="1">
      <c r="A35" s="33" t="s">
        <v>37</v>
      </c>
      <c r="B35" s="33" t="s">
        <v>116</v>
      </c>
      <c r="C35" s="29" t="s">
        <v>117</v>
      </c>
      <c r="D35" s="33" t="s">
        <v>15</v>
      </c>
      <c r="E35" s="34" t="s">
        <v>118</v>
      </c>
      <c r="F35" s="34" t="s">
        <v>40</v>
      </c>
      <c r="G35" s="35">
        <v>45897.0</v>
      </c>
      <c r="H35" s="36">
        <v>50.0</v>
      </c>
      <c r="I35" s="34" t="s">
        <v>65</v>
      </c>
      <c r="J35" s="34" t="s">
        <v>19</v>
      </c>
      <c r="K35" s="33" t="s">
        <v>20</v>
      </c>
      <c r="L35" s="36">
        <v>0.0</v>
      </c>
      <c r="M35" s="34" t="s">
        <v>27</v>
      </c>
    </row>
    <row r="36" ht="22.5" customHeight="1">
      <c r="A36" s="33" t="s">
        <v>119</v>
      </c>
      <c r="B36" s="33" t="s">
        <v>120</v>
      </c>
      <c r="C36" s="29" t="s">
        <v>121</v>
      </c>
      <c r="D36" s="33" t="s">
        <v>15</v>
      </c>
      <c r="E36" s="34" t="s">
        <v>55</v>
      </c>
      <c r="F36" s="34" t="s">
        <v>40</v>
      </c>
      <c r="G36" s="35">
        <v>45953.0</v>
      </c>
      <c r="H36" s="36">
        <v>650.0</v>
      </c>
      <c r="I36" s="34" t="s">
        <v>65</v>
      </c>
      <c r="J36" s="34" t="s">
        <v>19</v>
      </c>
      <c r="K36" s="33" t="s">
        <v>20</v>
      </c>
      <c r="L36" s="36">
        <v>0.0</v>
      </c>
      <c r="M36" s="34" t="s">
        <v>27</v>
      </c>
    </row>
    <row r="37" ht="22.5" customHeight="1">
      <c r="A37" s="33" t="s">
        <v>122</v>
      </c>
      <c r="B37" s="33" t="s">
        <v>123</v>
      </c>
      <c r="C37" s="29" t="s">
        <v>124</v>
      </c>
      <c r="D37" s="33" t="s">
        <v>15</v>
      </c>
      <c r="E37" s="34" t="s">
        <v>16</v>
      </c>
      <c r="F37" s="34" t="s">
        <v>17</v>
      </c>
      <c r="G37" s="35">
        <v>45951.0</v>
      </c>
      <c r="H37" s="36">
        <v>169.0</v>
      </c>
      <c r="I37" s="34" t="s">
        <v>65</v>
      </c>
      <c r="J37" s="34" t="s">
        <v>19</v>
      </c>
      <c r="K37" s="33" t="s">
        <v>20</v>
      </c>
      <c r="L37" s="36">
        <v>0.0</v>
      </c>
      <c r="M37" s="34" t="s">
        <v>27</v>
      </c>
    </row>
    <row r="38" ht="22.5" customHeight="1">
      <c r="A38" s="33" t="s">
        <v>77</v>
      </c>
      <c r="B38" s="33" t="s">
        <v>125</v>
      </c>
      <c r="C38" s="29" t="s">
        <v>126</v>
      </c>
      <c r="D38" s="33" t="s">
        <v>30</v>
      </c>
      <c r="E38" s="34" t="s">
        <v>39</v>
      </c>
      <c r="F38" s="34" t="s">
        <v>40</v>
      </c>
      <c r="G38" s="35">
        <v>45941.0</v>
      </c>
      <c r="H38" s="36">
        <v>3222.0</v>
      </c>
      <c r="I38" s="34" t="s">
        <v>61</v>
      </c>
      <c r="J38" s="34" t="s">
        <v>19</v>
      </c>
      <c r="K38" s="33" t="s">
        <v>20</v>
      </c>
      <c r="L38" s="36">
        <v>0.0</v>
      </c>
      <c r="M38" s="34" t="s">
        <v>127</v>
      </c>
    </row>
    <row r="39" ht="22.5" customHeight="1">
      <c r="A39" s="33" t="s">
        <v>128</v>
      </c>
      <c r="B39" s="33" t="s">
        <v>129</v>
      </c>
      <c r="C39" s="29" t="s">
        <v>130</v>
      </c>
      <c r="D39" s="33" t="s">
        <v>30</v>
      </c>
      <c r="E39" s="34" t="s">
        <v>39</v>
      </c>
      <c r="F39" s="34" t="s">
        <v>40</v>
      </c>
      <c r="G39" s="35">
        <v>45951.0</v>
      </c>
      <c r="H39" s="36">
        <v>579.0</v>
      </c>
      <c r="I39" s="34" t="s">
        <v>47</v>
      </c>
      <c r="J39" s="34" t="s">
        <v>19</v>
      </c>
      <c r="K39" s="33" t="s">
        <v>20</v>
      </c>
      <c r="L39" s="36">
        <v>0.0</v>
      </c>
      <c r="M39" s="34" t="s">
        <v>27</v>
      </c>
    </row>
    <row r="40" ht="22.5" customHeight="1">
      <c r="A40" s="33" t="s">
        <v>131</v>
      </c>
      <c r="B40" s="33" t="s">
        <v>132</v>
      </c>
      <c r="C40" s="29">
        <v>9.06454423E8</v>
      </c>
      <c r="D40" s="33" t="s">
        <v>15</v>
      </c>
      <c r="E40" s="34" t="s">
        <v>106</v>
      </c>
      <c r="F40" s="34" t="s">
        <v>133</v>
      </c>
      <c r="G40" s="35">
        <v>45951.0</v>
      </c>
      <c r="H40" s="36">
        <v>50.0</v>
      </c>
      <c r="I40" s="34" t="s">
        <v>47</v>
      </c>
      <c r="J40" s="34" t="s">
        <v>19</v>
      </c>
      <c r="K40" s="33" t="s">
        <v>20</v>
      </c>
      <c r="L40" s="36">
        <v>500.0</v>
      </c>
      <c r="M40" s="34" t="s">
        <v>27</v>
      </c>
    </row>
    <row r="41" ht="22.5" customHeight="1">
      <c r="A41" s="33" t="s">
        <v>134</v>
      </c>
      <c r="B41" s="33" t="s">
        <v>135</v>
      </c>
      <c r="C41" s="29" t="s">
        <v>136</v>
      </c>
      <c r="D41" s="33" t="s">
        <v>15</v>
      </c>
      <c r="E41" s="34" t="s">
        <v>35</v>
      </c>
      <c r="F41" s="34" t="s">
        <v>133</v>
      </c>
      <c r="G41" s="38">
        <v>45951.0</v>
      </c>
      <c r="H41" s="36">
        <v>50.0</v>
      </c>
      <c r="I41" s="34" t="s">
        <v>47</v>
      </c>
      <c r="J41" s="34" t="s">
        <v>19</v>
      </c>
      <c r="K41" s="33" t="s">
        <v>20</v>
      </c>
      <c r="L41" s="36">
        <v>500.0</v>
      </c>
      <c r="M41" s="34" t="s">
        <v>27</v>
      </c>
    </row>
    <row r="42" ht="22.5" customHeight="1">
      <c r="A42" s="33" t="s">
        <v>103</v>
      </c>
      <c r="B42" s="33" t="s">
        <v>104</v>
      </c>
      <c r="C42" s="29" t="s">
        <v>105</v>
      </c>
      <c r="D42" s="33" t="s">
        <v>15</v>
      </c>
      <c r="E42" s="34" t="s">
        <v>106</v>
      </c>
      <c r="F42" s="34" t="s">
        <v>133</v>
      </c>
      <c r="G42" s="35">
        <v>45951.0</v>
      </c>
      <c r="H42" s="36">
        <v>50.0</v>
      </c>
      <c r="I42" s="34" t="s">
        <v>65</v>
      </c>
      <c r="J42" s="34" t="s">
        <v>19</v>
      </c>
      <c r="K42" s="33" t="s">
        <v>20</v>
      </c>
      <c r="L42" s="36">
        <v>500.0</v>
      </c>
      <c r="M42" s="34" t="s">
        <v>27</v>
      </c>
    </row>
    <row r="43" ht="22.5" customHeight="1">
      <c r="A43" s="33" t="s">
        <v>137</v>
      </c>
      <c r="B43" s="33" t="s">
        <v>138</v>
      </c>
      <c r="C43" s="29">
        <v>9.9546233E8</v>
      </c>
      <c r="D43" s="33" t="s">
        <v>15</v>
      </c>
      <c r="E43" s="34" t="s">
        <v>35</v>
      </c>
      <c r="F43" s="34" t="s">
        <v>133</v>
      </c>
      <c r="G43" s="35">
        <v>45951.0</v>
      </c>
      <c r="H43" s="36">
        <v>450.0</v>
      </c>
      <c r="I43" s="34" t="s">
        <v>61</v>
      </c>
      <c r="J43" s="34" t="s">
        <v>19</v>
      </c>
      <c r="K43" s="33" t="s">
        <v>20</v>
      </c>
      <c r="L43" s="36">
        <v>100.0</v>
      </c>
      <c r="M43" s="39"/>
    </row>
    <row r="44" ht="22.5" customHeight="1">
      <c r="A44" s="33" t="s">
        <v>139</v>
      </c>
      <c r="B44" s="33" t="s">
        <v>140</v>
      </c>
      <c r="C44" s="29" t="s">
        <v>141</v>
      </c>
      <c r="D44" s="33" t="s">
        <v>15</v>
      </c>
      <c r="E44" s="34" t="s">
        <v>16</v>
      </c>
      <c r="F44" s="34" t="s">
        <v>17</v>
      </c>
      <c r="G44" s="35">
        <v>45952.0</v>
      </c>
      <c r="H44" s="36">
        <v>269.0</v>
      </c>
      <c r="I44" s="34" t="s">
        <v>65</v>
      </c>
      <c r="J44" s="34" t="s">
        <v>19</v>
      </c>
      <c r="K44" s="33" t="s">
        <v>20</v>
      </c>
      <c r="L44" s="36">
        <v>0.0</v>
      </c>
      <c r="M44" s="34" t="s">
        <v>27</v>
      </c>
    </row>
    <row r="45" ht="22.5" customHeight="1">
      <c r="A45" s="33" t="s">
        <v>142</v>
      </c>
      <c r="B45" s="33" t="s">
        <v>143</v>
      </c>
      <c r="C45" s="29" t="s">
        <v>144</v>
      </c>
      <c r="D45" s="33" t="s">
        <v>15</v>
      </c>
      <c r="E45" s="34" t="s">
        <v>145</v>
      </c>
      <c r="F45" s="34" t="s">
        <v>36</v>
      </c>
      <c r="G45" s="35">
        <v>45952.0</v>
      </c>
      <c r="H45" s="36">
        <v>155.0</v>
      </c>
      <c r="I45" s="34" t="s">
        <v>75</v>
      </c>
      <c r="J45" s="34" t="s">
        <v>19</v>
      </c>
      <c r="K45" s="33" t="s">
        <v>20</v>
      </c>
      <c r="L45" s="36">
        <v>0.0</v>
      </c>
      <c r="M45" s="34" t="s">
        <v>27</v>
      </c>
    </row>
    <row r="46" ht="22.5" customHeight="1">
      <c r="A46" s="33" t="s">
        <v>146</v>
      </c>
      <c r="B46" s="33" t="s">
        <v>147</v>
      </c>
      <c r="C46" s="29" t="s">
        <v>148</v>
      </c>
      <c r="D46" s="33" t="s">
        <v>15</v>
      </c>
      <c r="E46" s="34" t="s">
        <v>39</v>
      </c>
      <c r="F46" s="34" t="s">
        <v>40</v>
      </c>
      <c r="G46" s="35">
        <v>45946.0</v>
      </c>
      <c r="H46" s="36">
        <v>300.0</v>
      </c>
      <c r="I46" s="34" t="s">
        <v>47</v>
      </c>
      <c r="J46" s="34" t="s">
        <v>19</v>
      </c>
      <c r="K46" s="33" t="s">
        <v>20</v>
      </c>
      <c r="L46" s="36">
        <v>279.0</v>
      </c>
      <c r="M46" s="34" t="s">
        <v>27</v>
      </c>
    </row>
    <row r="47" ht="22.5" customHeight="1">
      <c r="A47" s="33" t="s">
        <v>149</v>
      </c>
      <c r="B47" s="33" t="s">
        <v>150</v>
      </c>
      <c r="C47" s="29" t="s">
        <v>151</v>
      </c>
      <c r="D47" s="33" t="s">
        <v>15</v>
      </c>
      <c r="E47" s="34" t="s">
        <v>55</v>
      </c>
      <c r="F47" s="34" t="s">
        <v>36</v>
      </c>
      <c r="G47" s="35">
        <v>45960.0</v>
      </c>
      <c r="H47" s="36">
        <v>140.0</v>
      </c>
      <c r="I47" s="34" t="s">
        <v>47</v>
      </c>
      <c r="J47" s="34" t="s">
        <v>19</v>
      </c>
      <c r="K47" s="33" t="s">
        <v>20</v>
      </c>
      <c r="L47" s="36">
        <v>140.0</v>
      </c>
      <c r="M47" s="34" t="s">
        <v>27</v>
      </c>
    </row>
    <row r="48" ht="22.5" customHeight="1">
      <c r="A48" s="33" t="s">
        <v>152</v>
      </c>
      <c r="B48" s="33" t="s">
        <v>153</v>
      </c>
      <c r="C48" s="29" t="s">
        <v>154</v>
      </c>
      <c r="D48" s="33" t="s">
        <v>15</v>
      </c>
      <c r="E48" s="34" t="s">
        <v>39</v>
      </c>
      <c r="F48" s="34" t="s">
        <v>40</v>
      </c>
      <c r="G48" s="35">
        <v>45952.0</v>
      </c>
      <c r="H48" s="36">
        <v>579.0</v>
      </c>
      <c r="I48" s="34" t="s">
        <v>18</v>
      </c>
      <c r="J48" s="34" t="s">
        <v>19</v>
      </c>
      <c r="K48" s="33" t="s">
        <v>20</v>
      </c>
      <c r="L48" s="36">
        <v>0.0</v>
      </c>
      <c r="M48" s="34" t="s">
        <v>27</v>
      </c>
    </row>
    <row r="49" ht="22.5" customHeight="1">
      <c r="A49" s="33" t="s">
        <v>155</v>
      </c>
      <c r="B49" s="33" t="s">
        <v>156</v>
      </c>
      <c r="C49" s="29" t="s">
        <v>154</v>
      </c>
      <c r="D49" s="33" t="s">
        <v>15</v>
      </c>
      <c r="E49" s="34" t="s">
        <v>39</v>
      </c>
      <c r="F49" s="34" t="s">
        <v>40</v>
      </c>
      <c r="G49" s="35">
        <v>45952.0</v>
      </c>
      <c r="H49" s="36">
        <v>50.0</v>
      </c>
      <c r="I49" s="34" t="s">
        <v>18</v>
      </c>
      <c r="J49" s="34" t="s">
        <v>19</v>
      </c>
      <c r="K49" s="33" t="s">
        <v>20</v>
      </c>
      <c r="L49" s="36">
        <v>0.0</v>
      </c>
      <c r="M49" s="34" t="s">
        <v>27</v>
      </c>
    </row>
    <row r="50" ht="22.5" customHeight="1">
      <c r="A50" s="33" t="s">
        <v>157</v>
      </c>
      <c r="B50" s="33" t="s">
        <v>158</v>
      </c>
      <c r="C50" s="29" t="s">
        <v>159</v>
      </c>
      <c r="D50" s="33" t="s">
        <v>15</v>
      </c>
      <c r="E50" s="34" t="s">
        <v>16</v>
      </c>
      <c r="F50" s="34" t="s">
        <v>17</v>
      </c>
      <c r="G50" s="35">
        <v>45953.0</v>
      </c>
      <c r="H50" s="36">
        <v>50.0</v>
      </c>
      <c r="I50" s="34" t="s">
        <v>47</v>
      </c>
      <c r="J50" s="34" t="s">
        <v>19</v>
      </c>
      <c r="K50" s="33" t="s">
        <v>20</v>
      </c>
      <c r="L50" s="36">
        <v>219.0</v>
      </c>
      <c r="M50" s="34" t="s">
        <v>27</v>
      </c>
    </row>
    <row r="51" ht="22.5" customHeight="1">
      <c r="A51" s="33" t="s">
        <v>160</v>
      </c>
      <c r="B51" s="33" t="s">
        <v>161</v>
      </c>
      <c r="C51" s="29" t="s">
        <v>162</v>
      </c>
      <c r="D51" s="33" t="s">
        <v>15</v>
      </c>
      <c r="E51" s="34" t="s">
        <v>55</v>
      </c>
      <c r="F51" s="34" t="s">
        <v>40</v>
      </c>
      <c r="G51" s="35">
        <v>45953.0</v>
      </c>
      <c r="H51" s="36">
        <v>50.0</v>
      </c>
      <c r="I51" s="34" t="s">
        <v>18</v>
      </c>
      <c r="J51" s="34" t="s">
        <v>19</v>
      </c>
      <c r="K51" s="33" t="s">
        <v>20</v>
      </c>
      <c r="L51" s="36">
        <v>0.0</v>
      </c>
      <c r="M51" s="34" t="s">
        <v>27</v>
      </c>
    </row>
    <row r="52" ht="22.5" customHeight="1">
      <c r="A52" s="33" t="s">
        <v>163</v>
      </c>
      <c r="B52" s="33" t="s">
        <v>164</v>
      </c>
      <c r="C52" s="29" t="s">
        <v>165</v>
      </c>
      <c r="D52" s="33" t="s">
        <v>15</v>
      </c>
      <c r="E52" s="34" t="s">
        <v>16</v>
      </c>
      <c r="F52" s="34" t="s">
        <v>17</v>
      </c>
      <c r="G52" s="35">
        <v>45953.0</v>
      </c>
      <c r="H52" s="36">
        <v>259.0</v>
      </c>
      <c r="I52" s="34" t="s">
        <v>47</v>
      </c>
      <c r="J52" s="34" t="s">
        <v>19</v>
      </c>
      <c r="K52" s="33" t="s">
        <v>20</v>
      </c>
      <c r="L52" s="36">
        <v>0.0</v>
      </c>
      <c r="M52" s="34" t="s">
        <v>27</v>
      </c>
    </row>
    <row r="53" ht="22.5" customHeight="1">
      <c r="A53" s="40" t="s">
        <v>166</v>
      </c>
      <c r="B53" s="40" t="s">
        <v>167</v>
      </c>
      <c r="C53" s="41">
        <v>9.22949507E8</v>
      </c>
      <c r="D53" s="40" t="s">
        <v>15</v>
      </c>
      <c r="E53" s="42" t="s">
        <v>35</v>
      </c>
      <c r="F53" s="34" t="s">
        <v>133</v>
      </c>
      <c r="G53" s="35">
        <v>45954.0</v>
      </c>
      <c r="H53" s="36">
        <v>550.0</v>
      </c>
      <c r="I53" s="42" t="s">
        <v>18</v>
      </c>
      <c r="J53" s="34" t="s">
        <v>19</v>
      </c>
      <c r="K53" s="33" t="s">
        <v>20</v>
      </c>
      <c r="L53" s="36">
        <v>0.0</v>
      </c>
      <c r="M53" s="42" t="s">
        <v>21</v>
      </c>
      <c r="N53" s="43"/>
      <c r="O53" s="43"/>
    </row>
    <row r="54" ht="22.5" customHeight="1">
      <c r="A54" s="40" t="s">
        <v>168</v>
      </c>
      <c r="B54" s="40" t="s">
        <v>169</v>
      </c>
      <c r="C54" s="41" t="s">
        <v>170</v>
      </c>
      <c r="D54" s="40" t="s">
        <v>15</v>
      </c>
      <c r="E54" s="42" t="s">
        <v>55</v>
      </c>
      <c r="F54" s="34" t="s">
        <v>40</v>
      </c>
      <c r="G54" s="44">
        <v>45952.0</v>
      </c>
      <c r="H54" s="45">
        <v>0.0</v>
      </c>
      <c r="I54" s="42" t="s">
        <v>18</v>
      </c>
      <c r="J54" s="34" t="s">
        <v>19</v>
      </c>
      <c r="K54" s="33" t="s">
        <v>20</v>
      </c>
      <c r="L54" s="36">
        <v>120.0</v>
      </c>
      <c r="M54" s="46"/>
      <c r="N54" s="43"/>
      <c r="O54" s="43"/>
    </row>
    <row r="55" ht="22.5" customHeight="1">
      <c r="A55" s="33" t="s">
        <v>171</v>
      </c>
      <c r="B55" s="33" t="s">
        <v>172</v>
      </c>
      <c r="C55" s="29" t="s">
        <v>173</v>
      </c>
      <c r="D55" s="33" t="s">
        <v>15</v>
      </c>
      <c r="E55" s="34" t="s">
        <v>64</v>
      </c>
      <c r="F55" s="34" t="s">
        <v>40</v>
      </c>
      <c r="G55" s="35">
        <v>45958.0</v>
      </c>
      <c r="H55" s="36">
        <v>70.0</v>
      </c>
      <c r="I55" s="34" t="s">
        <v>18</v>
      </c>
      <c r="J55" s="34" t="s">
        <v>19</v>
      </c>
      <c r="K55" s="33" t="s">
        <v>20</v>
      </c>
      <c r="L55" s="36">
        <v>70.0</v>
      </c>
      <c r="M55" s="34" t="s">
        <v>27</v>
      </c>
    </row>
    <row r="56" ht="22.5" customHeight="1">
      <c r="A56" s="33" t="s">
        <v>174</v>
      </c>
      <c r="B56" s="33" t="s">
        <v>175</v>
      </c>
      <c r="C56" s="29">
        <v>9.94307345E8</v>
      </c>
      <c r="D56" s="33" t="s">
        <v>15</v>
      </c>
      <c r="E56" s="34" t="s">
        <v>118</v>
      </c>
      <c r="F56" s="34" t="s">
        <v>40</v>
      </c>
      <c r="G56" s="35">
        <v>45955.0</v>
      </c>
      <c r="H56" s="36">
        <v>50.0</v>
      </c>
      <c r="I56" s="34" t="s">
        <v>47</v>
      </c>
      <c r="J56" s="34" t="s">
        <v>19</v>
      </c>
      <c r="K56" s="33" t="s">
        <v>20</v>
      </c>
      <c r="L56" s="36">
        <v>0.0</v>
      </c>
      <c r="M56" s="34" t="s">
        <v>27</v>
      </c>
    </row>
    <row r="57" ht="22.5" customHeight="1">
      <c r="A57" s="33" t="s">
        <v>176</v>
      </c>
      <c r="B57" s="33" t="s">
        <v>177</v>
      </c>
      <c r="C57" s="29">
        <v>9.19464218E8</v>
      </c>
      <c r="D57" s="33" t="s">
        <v>15</v>
      </c>
      <c r="E57" s="34" t="s">
        <v>39</v>
      </c>
      <c r="F57" s="34" t="s">
        <v>40</v>
      </c>
      <c r="G57" s="35">
        <v>45957.0</v>
      </c>
      <c r="H57" s="36">
        <v>50.0</v>
      </c>
      <c r="I57" s="34" t="s">
        <v>18</v>
      </c>
      <c r="J57" s="34" t="s">
        <v>19</v>
      </c>
      <c r="K57" s="33" t="s">
        <v>20</v>
      </c>
      <c r="L57" s="36">
        <v>529.0</v>
      </c>
      <c r="M57" s="34" t="s">
        <v>27</v>
      </c>
    </row>
    <row r="58" ht="22.5" customHeight="1">
      <c r="A58" s="33" t="s">
        <v>178</v>
      </c>
      <c r="B58" s="33" t="s">
        <v>179</v>
      </c>
      <c r="C58" s="29" t="s">
        <v>180</v>
      </c>
      <c r="D58" s="33" t="s">
        <v>15</v>
      </c>
      <c r="E58" s="34" t="s">
        <v>55</v>
      </c>
      <c r="F58" s="34" t="s">
        <v>40</v>
      </c>
      <c r="G58" s="47">
        <v>45958.0</v>
      </c>
      <c r="H58" s="36">
        <v>50.0</v>
      </c>
      <c r="I58" s="34" t="s">
        <v>65</v>
      </c>
      <c r="J58" s="34" t="s">
        <v>19</v>
      </c>
      <c r="K58" s="33" t="s">
        <v>20</v>
      </c>
      <c r="L58" s="36">
        <v>209.0</v>
      </c>
      <c r="M58" s="34" t="s">
        <v>76</v>
      </c>
    </row>
    <row r="59" ht="22.5" customHeight="1">
      <c r="A59" s="33" t="s">
        <v>181</v>
      </c>
      <c r="B59" s="33" t="s">
        <v>182</v>
      </c>
      <c r="C59" s="29" t="s">
        <v>180</v>
      </c>
      <c r="D59" s="33" t="s">
        <v>15</v>
      </c>
      <c r="E59" s="34" t="s">
        <v>16</v>
      </c>
      <c r="F59" s="34" t="s">
        <v>17</v>
      </c>
      <c r="G59" s="35">
        <v>45958.0</v>
      </c>
      <c r="H59" s="36">
        <v>50.0</v>
      </c>
      <c r="I59" s="34" t="s">
        <v>183</v>
      </c>
      <c r="J59" s="39"/>
      <c r="K59" s="33" t="s">
        <v>20</v>
      </c>
      <c r="L59" s="36">
        <v>159.0</v>
      </c>
      <c r="M59" s="34" t="s">
        <v>27</v>
      </c>
    </row>
    <row r="60" ht="22.5" customHeight="1">
      <c r="A60" s="33" t="s">
        <v>184</v>
      </c>
      <c r="B60" s="33" t="s">
        <v>185</v>
      </c>
      <c r="C60" s="29" t="s">
        <v>186</v>
      </c>
      <c r="D60" s="33" t="s">
        <v>30</v>
      </c>
      <c r="E60" s="34" t="s">
        <v>39</v>
      </c>
      <c r="F60" s="34" t="s">
        <v>40</v>
      </c>
      <c r="G60" s="35">
        <v>45959.0</v>
      </c>
      <c r="H60" s="36">
        <v>50.0</v>
      </c>
      <c r="I60" s="34" t="s">
        <v>44</v>
      </c>
      <c r="J60" s="34" t="s">
        <v>19</v>
      </c>
      <c r="K60" s="33" t="s">
        <v>20</v>
      </c>
      <c r="L60" s="36">
        <v>529.0</v>
      </c>
      <c r="M60" s="34" t="s">
        <v>27</v>
      </c>
    </row>
    <row r="61" ht="22.5" customHeight="1">
      <c r="A61" s="48" t="s">
        <v>187</v>
      </c>
      <c r="B61" s="28" t="s">
        <v>188</v>
      </c>
      <c r="C61" s="29" t="s">
        <v>189</v>
      </c>
      <c r="D61" s="28" t="s">
        <v>15</v>
      </c>
      <c r="E61" s="34" t="s">
        <v>39</v>
      </c>
      <c r="F61" s="34" t="s">
        <v>40</v>
      </c>
      <c r="G61" s="35">
        <v>45959.0</v>
      </c>
      <c r="H61" s="36">
        <v>50.0</v>
      </c>
      <c r="I61" s="34" t="s">
        <v>18</v>
      </c>
      <c r="J61" s="34" t="s">
        <v>19</v>
      </c>
      <c r="K61" s="33" t="s">
        <v>20</v>
      </c>
      <c r="L61" s="49">
        <v>529.0</v>
      </c>
      <c r="M61" s="34" t="s">
        <v>27</v>
      </c>
      <c r="N61" s="50"/>
      <c r="O61" s="50"/>
    </row>
    <row r="62" ht="22.5" customHeight="1">
      <c r="A62" s="33" t="s">
        <v>190</v>
      </c>
      <c r="B62" s="33" t="s">
        <v>191</v>
      </c>
      <c r="C62" s="29" t="s">
        <v>192</v>
      </c>
      <c r="D62" s="33" t="s">
        <v>15</v>
      </c>
      <c r="E62" s="34" t="s">
        <v>39</v>
      </c>
      <c r="F62" s="34" t="s">
        <v>40</v>
      </c>
      <c r="G62" s="35">
        <v>45959.0</v>
      </c>
      <c r="H62" s="36">
        <v>0.0</v>
      </c>
      <c r="I62" s="34" t="s">
        <v>18</v>
      </c>
      <c r="J62" s="34" t="s">
        <v>19</v>
      </c>
      <c r="K62" s="33" t="s">
        <v>20</v>
      </c>
      <c r="L62" s="36">
        <v>579.0</v>
      </c>
      <c r="M62" s="34" t="s">
        <v>27</v>
      </c>
    </row>
    <row r="63" ht="22.5" customHeight="1">
      <c r="A63" s="33" t="s">
        <v>193</v>
      </c>
      <c r="B63" s="33" t="s">
        <v>194</v>
      </c>
      <c r="C63" s="29">
        <v>9.33369196E8</v>
      </c>
      <c r="D63" s="33" t="s">
        <v>15</v>
      </c>
      <c r="E63" s="34" t="s">
        <v>195</v>
      </c>
      <c r="F63" s="34" t="s">
        <v>133</v>
      </c>
      <c r="G63" s="35">
        <v>45960.0</v>
      </c>
      <c r="H63" s="36">
        <v>50.0</v>
      </c>
      <c r="I63" s="34" t="s">
        <v>47</v>
      </c>
      <c r="J63" s="34" t="s">
        <v>19</v>
      </c>
      <c r="K63" s="33" t="s">
        <v>20</v>
      </c>
      <c r="L63" s="36">
        <v>400.0</v>
      </c>
      <c r="M63" s="34" t="s">
        <v>21</v>
      </c>
    </row>
    <row r="64" ht="22.5" customHeight="1">
      <c r="A64" s="33" t="s">
        <v>196</v>
      </c>
      <c r="B64" s="33" t="s">
        <v>197</v>
      </c>
      <c r="C64" s="29" t="s">
        <v>198</v>
      </c>
      <c r="D64" s="33" t="s">
        <v>15</v>
      </c>
      <c r="E64" s="34" t="s">
        <v>195</v>
      </c>
      <c r="F64" s="34" t="s">
        <v>133</v>
      </c>
      <c r="G64" s="35">
        <v>45922.0</v>
      </c>
      <c r="H64" s="36">
        <v>50.0</v>
      </c>
      <c r="I64" s="34" t="s">
        <v>65</v>
      </c>
      <c r="J64" s="34" t="s">
        <v>19</v>
      </c>
      <c r="K64" s="33" t="s">
        <v>20</v>
      </c>
      <c r="L64" s="36">
        <v>1000.0</v>
      </c>
      <c r="M64" s="34" t="s">
        <v>199</v>
      </c>
    </row>
    <row r="65" ht="22.5" customHeight="1">
      <c r="A65" s="33" t="s">
        <v>200</v>
      </c>
      <c r="B65" s="33" t="s">
        <v>201</v>
      </c>
      <c r="C65" s="29">
        <v>9.34613518E8</v>
      </c>
      <c r="D65" s="33" t="s">
        <v>15</v>
      </c>
      <c r="E65" s="34" t="s">
        <v>31</v>
      </c>
      <c r="F65" s="34" t="s">
        <v>17</v>
      </c>
      <c r="G65" s="35">
        <v>45953.0</v>
      </c>
      <c r="H65" s="36">
        <v>50.0</v>
      </c>
      <c r="I65" s="34" t="s">
        <v>18</v>
      </c>
      <c r="J65" s="34" t="s">
        <v>19</v>
      </c>
      <c r="K65" s="33" t="s">
        <v>20</v>
      </c>
      <c r="L65" s="36">
        <v>130.0</v>
      </c>
      <c r="M65" s="34" t="s">
        <v>27</v>
      </c>
    </row>
    <row r="66" ht="22.5" customHeight="1">
      <c r="A66" s="33" t="s">
        <v>202</v>
      </c>
      <c r="B66" s="33" t="s">
        <v>120</v>
      </c>
      <c r="C66" s="29">
        <v>9.02306638E8</v>
      </c>
      <c r="D66" s="33" t="s">
        <v>15</v>
      </c>
      <c r="E66" s="34" t="s">
        <v>60</v>
      </c>
      <c r="F66" s="34" t="s">
        <v>36</v>
      </c>
      <c r="G66" s="35">
        <v>45954.0</v>
      </c>
      <c r="H66" s="36">
        <v>50.0</v>
      </c>
      <c r="I66" s="34" t="s">
        <v>18</v>
      </c>
      <c r="J66" s="34" t="s">
        <v>19</v>
      </c>
      <c r="K66" s="33" t="s">
        <v>20</v>
      </c>
      <c r="L66" s="36">
        <v>140.0</v>
      </c>
      <c r="M66" s="51" t="s">
        <v>199</v>
      </c>
    </row>
    <row r="67" ht="22.5" customHeight="1">
      <c r="A67" s="33" t="s">
        <v>203</v>
      </c>
      <c r="B67" s="33" t="s">
        <v>204</v>
      </c>
      <c r="C67" s="29">
        <v>9.23980585E8</v>
      </c>
      <c r="D67" s="33" t="s">
        <v>15</v>
      </c>
      <c r="E67" s="34" t="s">
        <v>39</v>
      </c>
      <c r="F67" s="34" t="s">
        <v>40</v>
      </c>
      <c r="G67" s="35">
        <v>45955.0</v>
      </c>
      <c r="H67" s="36">
        <v>50.0</v>
      </c>
      <c r="I67" s="52" t="s">
        <v>61</v>
      </c>
      <c r="J67" s="34" t="s">
        <v>19</v>
      </c>
      <c r="K67" s="33" t="s">
        <v>20</v>
      </c>
      <c r="L67" s="36">
        <v>529.0</v>
      </c>
      <c r="M67" s="51" t="s">
        <v>27</v>
      </c>
    </row>
    <row r="68" ht="22.5" customHeight="1">
      <c r="A68" s="33" t="s">
        <v>205</v>
      </c>
      <c r="B68" s="33" t="s">
        <v>204</v>
      </c>
      <c r="C68" s="29">
        <v>9.23980585E8</v>
      </c>
      <c r="D68" s="33" t="s">
        <v>15</v>
      </c>
      <c r="E68" s="34" t="s">
        <v>39</v>
      </c>
      <c r="F68" s="34" t="s">
        <v>40</v>
      </c>
      <c r="G68" s="35">
        <v>45956.0</v>
      </c>
      <c r="H68" s="36">
        <v>50.0</v>
      </c>
      <c r="I68" s="52" t="s">
        <v>61</v>
      </c>
      <c r="J68" s="34" t="s">
        <v>19</v>
      </c>
      <c r="K68" s="33" t="s">
        <v>20</v>
      </c>
      <c r="L68" s="36">
        <v>529.0</v>
      </c>
      <c r="M68" s="51" t="s">
        <v>27</v>
      </c>
    </row>
    <row r="69" ht="22.5" customHeight="1">
      <c r="A69" s="33" t="s">
        <v>206</v>
      </c>
      <c r="B69" s="33" t="s">
        <v>207</v>
      </c>
      <c r="C69" s="29">
        <v>9.02399942E8</v>
      </c>
      <c r="D69" s="33" t="s">
        <v>15</v>
      </c>
      <c r="E69" s="34" t="s">
        <v>55</v>
      </c>
      <c r="F69" s="34" t="s">
        <v>40</v>
      </c>
      <c r="G69" s="35">
        <v>45957.0</v>
      </c>
      <c r="H69" s="36">
        <v>50.0</v>
      </c>
      <c r="I69" s="52" t="s">
        <v>18</v>
      </c>
      <c r="J69" s="34" t="s">
        <v>19</v>
      </c>
      <c r="K69" s="33" t="s">
        <v>20</v>
      </c>
      <c r="L69" s="36">
        <v>0.0</v>
      </c>
      <c r="M69" s="51" t="s">
        <v>27</v>
      </c>
    </row>
    <row r="70" ht="22.5" customHeight="1">
      <c r="A70" s="33" t="s">
        <v>208</v>
      </c>
      <c r="B70" s="33" t="s">
        <v>209</v>
      </c>
      <c r="C70" s="29">
        <v>9.33219383E8</v>
      </c>
      <c r="D70" s="33" t="s">
        <v>15</v>
      </c>
      <c r="E70" s="34" t="s">
        <v>210</v>
      </c>
      <c r="F70" s="34" t="s">
        <v>133</v>
      </c>
      <c r="G70" s="35">
        <v>45958.0</v>
      </c>
      <c r="H70" s="36">
        <v>0.0</v>
      </c>
      <c r="I70" s="52" t="s">
        <v>65</v>
      </c>
      <c r="J70" s="34" t="s">
        <v>19</v>
      </c>
      <c r="K70" s="33" t="s">
        <v>20</v>
      </c>
      <c r="L70" s="36">
        <v>120.0</v>
      </c>
      <c r="M70" s="51" t="s">
        <v>27</v>
      </c>
    </row>
    <row r="71" ht="22.5" customHeight="1">
      <c r="A71" s="33" t="s">
        <v>196</v>
      </c>
      <c r="B71" s="33" t="s">
        <v>197</v>
      </c>
      <c r="C71" s="29" t="s">
        <v>198</v>
      </c>
      <c r="D71" s="33" t="s">
        <v>15</v>
      </c>
      <c r="E71" s="34" t="s">
        <v>211</v>
      </c>
      <c r="F71" s="34" t="s">
        <v>17</v>
      </c>
      <c r="G71" s="35">
        <v>45959.0</v>
      </c>
      <c r="H71" s="36">
        <v>50.0</v>
      </c>
      <c r="I71" s="52" t="s">
        <v>65</v>
      </c>
      <c r="J71" s="34" t="s">
        <v>19</v>
      </c>
      <c r="K71" s="33" t="s">
        <v>20</v>
      </c>
      <c r="L71" s="36">
        <v>250.0</v>
      </c>
      <c r="M71" s="51" t="s">
        <v>21</v>
      </c>
    </row>
    <row r="72" ht="22.5" customHeight="1">
      <c r="A72" s="33" t="s">
        <v>178</v>
      </c>
      <c r="B72" s="33" t="s">
        <v>179</v>
      </c>
      <c r="C72" s="29" t="s">
        <v>198</v>
      </c>
      <c r="D72" s="33" t="s">
        <v>15</v>
      </c>
      <c r="E72" s="34" t="s">
        <v>212</v>
      </c>
      <c r="F72" s="34" t="s">
        <v>40</v>
      </c>
      <c r="G72" s="35">
        <v>45960.0</v>
      </c>
      <c r="H72" s="36">
        <v>50.0</v>
      </c>
      <c r="I72" s="52" t="s">
        <v>65</v>
      </c>
      <c r="J72" s="34" t="s">
        <v>19</v>
      </c>
      <c r="K72" s="33" t="s">
        <v>20</v>
      </c>
      <c r="L72" s="36">
        <v>990.0</v>
      </c>
      <c r="M72" s="51" t="s">
        <v>76</v>
      </c>
    </row>
    <row r="73" ht="22.5" customHeight="1">
      <c r="A73" s="33" t="s">
        <v>213</v>
      </c>
      <c r="B73" s="33" t="s">
        <v>214</v>
      </c>
      <c r="C73" s="29">
        <v>9.36778788E8</v>
      </c>
      <c r="D73" s="33" t="s">
        <v>15</v>
      </c>
      <c r="E73" s="34" t="s">
        <v>35</v>
      </c>
      <c r="F73" s="34" t="s">
        <v>133</v>
      </c>
      <c r="G73" s="35">
        <v>45961.0</v>
      </c>
      <c r="H73" s="36">
        <v>25.0</v>
      </c>
      <c r="I73" s="52" t="s">
        <v>18</v>
      </c>
      <c r="J73" s="34" t="s">
        <v>19</v>
      </c>
      <c r="K73" s="33" t="s">
        <v>20</v>
      </c>
      <c r="L73" s="36">
        <v>500.0</v>
      </c>
      <c r="M73" s="51" t="s">
        <v>199</v>
      </c>
    </row>
    <row r="74" ht="22.5" customHeight="1">
      <c r="A74" s="33" t="s">
        <v>215</v>
      </c>
      <c r="B74" s="33" t="s">
        <v>167</v>
      </c>
      <c r="C74" s="29">
        <v>9.96283063E8</v>
      </c>
      <c r="D74" s="33" t="s">
        <v>15</v>
      </c>
      <c r="E74" s="34" t="s">
        <v>106</v>
      </c>
      <c r="F74" s="34" t="s">
        <v>133</v>
      </c>
      <c r="G74" s="35">
        <v>45962.0</v>
      </c>
      <c r="H74" s="36">
        <v>50.0</v>
      </c>
      <c r="I74" s="52" t="s">
        <v>47</v>
      </c>
      <c r="J74" s="34" t="s">
        <v>19</v>
      </c>
      <c r="K74" s="33" t="s">
        <v>20</v>
      </c>
      <c r="L74" s="36">
        <v>500.0</v>
      </c>
      <c r="M74" s="51" t="s">
        <v>199</v>
      </c>
    </row>
    <row r="75" ht="22.5" customHeight="1">
      <c r="A75" s="33" t="s">
        <v>216</v>
      </c>
      <c r="B75" s="33" t="s">
        <v>217</v>
      </c>
      <c r="C75" s="29">
        <v>9.41205518E8</v>
      </c>
      <c r="D75" s="33" t="s">
        <v>15</v>
      </c>
      <c r="E75" s="34" t="s">
        <v>31</v>
      </c>
      <c r="F75" s="34" t="s">
        <v>17</v>
      </c>
      <c r="G75" s="53">
        <v>45964.0</v>
      </c>
      <c r="H75" s="36">
        <v>0.0</v>
      </c>
      <c r="I75" s="52" t="s">
        <v>18</v>
      </c>
      <c r="J75" s="34" t="s">
        <v>19</v>
      </c>
      <c r="K75" s="33" t="s">
        <v>20</v>
      </c>
      <c r="L75" s="36">
        <v>52.0</v>
      </c>
      <c r="M75" s="51" t="s">
        <v>127</v>
      </c>
    </row>
    <row r="76" ht="22.5" customHeight="1">
      <c r="A76" s="33" t="s">
        <v>218</v>
      </c>
      <c r="B76" s="33" t="s">
        <v>219</v>
      </c>
      <c r="C76" s="29">
        <v>9.04386065E8</v>
      </c>
      <c r="D76" s="33" t="s">
        <v>15</v>
      </c>
      <c r="E76" s="34" t="s">
        <v>39</v>
      </c>
      <c r="F76" s="34" t="s">
        <v>40</v>
      </c>
      <c r="G76" s="53">
        <v>45964.0</v>
      </c>
      <c r="H76" s="36">
        <v>0.0</v>
      </c>
      <c r="I76" s="52" t="s">
        <v>18</v>
      </c>
      <c r="J76" s="34" t="s">
        <v>19</v>
      </c>
      <c r="K76" s="33" t="s">
        <v>20</v>
      </c>
      <c r="L76" s="36">
        <v>579.0</v>
      </c>
      <c r="M76" s="51" t="s">
        <v>199</v>
      </c>
    </row>
    <row r="77" ht="22.5" customHeight="1">
      <c r="A77" s="33" t="s">
        <v>220</v>
      </c>
      <c r="B77" s="33" t="s">
        <v>38</v>
      </c>
      <c r="C77" s="29">
        <v>9.60879372E8</v>
      </c>
      <c r="D77" s="33" t="s">
        <v>15</v>
      </c>
      <c r="E77" s="34" t="s">
        <v>221</v>
      </c>
      <c r="F77" s="34" t="s">
        <v>40</v>
      </c>
      <c r="G77" s="54">
        <v>45964.0</v>
      </c>
      <c r="H77" s="36">
        <v>0.0</v>
      </c>
      <c r="I77" s="52" t="s">
        <v>18</v>
      </c>
      <c r="J77" s="34" t="s">
        <v>19</v>
      </c>
      <c r="K77" s="33" t="s">
        <v>20</v>
      </c>
      <c r="L77" s="36">
        <v>990.0</v>
      </c>
      <c r="M77" s="51" t="s">
        <v>222</v>
      </c>
    </row>
    <row r="78" ht="22.5" customHeight="1">
      <c r="A78" s="33" t="s">
        <v>223</v>
      </c>
      <c r="B78" s="33" t="s">
        <v>224</v>
      </c>
      <c r="C78" s="29" t="s">
        <v>225</v>
      </c>
      <c r="D78" s="33" t="s">
        <v>30</v>
      </c>
      <c r="E78" s="34" t="s">
        <v>226</v>
      </c>
      <c r="F78" s="34" t="s">
        <v>40</v>
      </c>
      <c r="G78" s="55">
        <v>45966.0</v>
      </c>
      <c r="H78" s="36">
        <v>90.0</v>
      </c>
      <c r="I78" s="52" t="s">
        <v>61</v>
      </c>
      <c r="J78" s="34" t="s">
        <v>19</v>
      </c>
      <c r="K78" s="33" t="s">
        <v>20</v>
      </c>
      <c r="L78" s="36">
        <v>0.0</v>
      </c>
      <c r="M78" s="51" t="s">
        <v>27</v>
      </c>
    </row>
    <row r="79" ht="22.5" customHeight="1">
      <c r="A79" s="33" t="s">
        <v>223</v>
      </c>
      <c r="B79" s="33" t="s">
        <v>227</v>
      </c>
      <c r="C79" s="29" t="s">
        <v>225</v>
      </c>
      <c r="D79" s="33" t="s">
        <v>30</v>
      </c>
      <c r="E79" s="34" t="s">
        <v>226</v>
      </c>
      <c r="F79" s="34" t="s">
        <v>40</v>
      </c>
      <c r="G79" s="55">
        <v>45966.0</v>
      </c>
      <c r="H79" s="36">
        <v>90.0</v>
      </c>
      <c r="I79" s="52" t="s">
        <v>61</v>
      </c>
      <c r="J79" s="34" t="s">
        <v>19</v>
      </c>
      <c r="K79" s="33" t="s">
        <v>20</v>
      </c>
      <c r="L79" s="36">
        <v>0.0</v>
      </c>
      <c r="M79" s="51" t="s">
        <v>27</v>
      </c>
    </row>
    <row r="80" ht="22.5" customHeight="1">
      <c r="A80" s="33" t="s">
        <v>228</v>
      </c>
      <c r="B80" s="33" t="s">
        <v>229</v>
      </c>
      <c r="C80" s="29" t="s">
        <v>230</v>
      </c>
      <c r="D80" s="33" t="s">
        <v>30</v>
      </c>
      <c r="E80" s="34" t="s">
        <v>231</v>
      </c>
      <c r="F80" s="34" t="s">
        <v>74</v>
      </c>
      <c r="G80" s="56">
        <v>45968.0</v>
      </c>
      <c r="H80" s="36">
        <v>50.0</v>
      </c>
      <c r="I80" s="52" t="s">
        <v>47</v>
      </c>
      <c r="J80" s="34" t="s">
        <v>19</v>
      </c>
      <c r="K80" s="33" t="s">
        <v>20</v>
      </c>
      <c r="L80" s="36">
        <v>0.0</v>
      </c>
      <c r="M80" s="51" t="s">
        <v>27</v>
      </c>
    </row>
    <row r="81" ht="22.5" customHeight="1">
      <c r="A81" s="33" t="s">
        <v>232</v>
      </c>
      <c r="B81" s="33" t="s">
        <v>233</v>
      </c>
      <c r="C81" s="29" t="s">
        <v>234</v>
      </c>
      <c r="D81" s="33" t="s">
        <v>30</v>
      </c>
      <c r="E81" s="34" t="s">
        <v>39</v>
      </c>
      <c r="F81" s="34" t="s">
        <v>40</v>
      </c>
      <c r="G81" s="56">
        <v>45969.0</v>
      </c>
      <c r="H81" s="36">
        <v>579.0</v>
      </c>
      <c r="I81" s="52" t="s">
        <v>18</v>
      </c>
      <c r="J81" s="34" t="s">
        <v>19</v>
      </c>
      <c r="K81" s="33" t="s">
        <v>20</v>
      </c>
      <c r="L81" s="36"/>
      <c r="M81" s="51" t="s">
        <v>27</v>
      </c>
    </row>
    <row r="82" ht="22.5" customHeight="1">
      <c r="A82" s="33" t="s">
        <v>235</v>
      </c>
      <c r="B82" s="33" t="s">
        <v>236</v>
      </c>
      <c r="C82" s="29">
        <v>9.60936358E8</v>
      </c>
      <c r="D82" s="33" t="s">
        <v>15</v>
      </c>
      <c r="E82" s="34" t="s">
        <v>60</v>
      </c>
      <c r="F82" s="34" t="s">
        <v>36</v>
      </c>
      <c r="G82" s="56">
        <v>45967.0</v>
      </c>
      <c r="H82" s="36">
        <v>50.0</v>
      </c>
      <c r="I82" s="52" t="s">
        <v>18</v>
      </c>
      <c r="J82" s="34" t="s">
        <v>19</v>
      </c>
      <c r="K82" s="33" t="s">
        <v>20</v>
      </c>
      <c r="L82" s="36">
        <v>110.0</v>
      </c>
      <c r="M82" s="51" t="s">
        <v>127</v>
      </c>
    </row>
    <row r="83" ht="22.5" customHeight="1">
      <c r="A83" s="33" t="s">
        <v>237</v>
      </c>
      <c r="B83" s="33" t="s">
        <v>238</v>
      </c>
      <c r="C83" s="29" t="s">
        <v>180</v>
      </c>
      <c r="D83" s="33" t="s">
        <v>15</v>
      </c>
      <c r="E83" s="34" t="s">
        <v>35</v>
      </c>
      <c r="F83" s="34" t="s">
        <v>133</v>
      </c>
      <c r="G83" s="56">
        <v>45968.0</v>
      </c>
      <c r="H83" s="36">
        <v>0.0</v>
      </c>
      <c r="I83" s="52" t="s">
        <v>65</v>
      </c>
      <c r="J83" s="34" t="s">
        <v>19</v>
      </c>
      <c r="K83" s="33" t="s">
        <v>20</v>
      </c>
      <c r="L83" s="36">
        <v>550.0</v>
      </c>
      <c r="M83" s="51" t="s">
        <v>239</v>
      </c>
    </row>
    <row r="84" ht="22.5" customHeight="1">
      <c r="A84" s="33" t="s">
        <v>240</v>
      </c>
      <c r="B84" s="33" t="s">
        <v>241</v>
      </c>
      <c r="C84" s="29">
        <v>9.38895961E8</v>
      </c>
      <c r="D84" s="33" t="s">
        <v>15</v>
      </c>
      <c r="E84" s="34" t="s">
        <v>60</v>
      </c>
      <c r="F84" s="34" t="s">
        <v>36</v>
      </c>
      <c r="G84" s="56">
        <v>45969.0</v>
      </c>
      <c r="H84" s="36">
        <v>0.0</v>
      </c>
      <c r="I84" s="52" t="s">
        <v>47</v>
      </c>
      <c r="J84" s="34" t="s">
        <v>19</v>
      </c>
      <c r="K84" s="33" t="s">
        <v>20</v>
      </c>
      <c r="L84" s="36">
        <v>155.0</v>
      </c>
      <c r="M84" s="51" t="s">
        <v>21</v>
      </c>
    </row>
    <row r="85" ht="22.5" customHeight="1">
      <c r="A85" s="33" t="s">
        <v>242</v>
      </c>
      <c r="B85" s="33" t="s">
        <v>243</v>
      </c>
      <c r="C85" s="29" t="s">
        <v>244</v>
      </c>
      <c r="D85" s="33" t="s">
        <v>30</v>
      </c>
      <c r="E85" s="34" t="s">
        <v>221</v>
      </c>
      <c r="F85" s="34" t="s">
        <v>40</v>
      </c>
      <c r="G85" s="56">
        <v>45971.0</v>
      </c>
      <c r="H85" s="36">
        <v>990.0</v>
      </c>
      <c r="I85" s="52" t="s">
        <v>18</v>
      </c>
      <c r="J85" s="34" t="s">
        <v>19</v>
      </c>
      <c r="K85" s="33"/>
      <c r="L85" s="36">
        <v>0.0</v>
      </c>
      <c r="M85" s="51" t="s">
        <v>27</v>
      </c>
    </row>
    <row r="86" ht="22.5" customHeight="1">
      <c r="A86" s="33" t="s">
        <v>83</v>
      </c>
      <c r="B86" s="33" t="s">
        <v>84</v>
      </c>
      <c r="C86" s="29" t="s">
        <v>180</v>
      </c>
      <c r="D86" s="33" t="s">
        <v>15</v>
      </c>
      <c r="E86" s="34" t="s">
        <v>221</v>
      </c>
      <c r="F86" s="34" t="s">
        <v>40</v>
      </c>
      <c r="G86" s="56">
        <v>45969.0</v>
      </c>
      <c r="H86" s="36">
        <v>0.0</v>
      </c>
      <c r="I86" s="52" t="s">
        <v>65</v>
      </c>
      <c r="J86" s="34" t="s">
        <v>19</v>
      </c>
      <c r="K86" s="33" t="s">
        <v>20</v>
      </c>
      <c r="L86" s="36">
        <v>990.0</v>
      </c>
      <c r="M86" s="51" t="s">
        <v>127</v>
      </c>
    </row>
    <row r="87" ht="22.5" customHeight="1">
      <c r="A87" s="33" t="s">
        <v>245</v>
      </c>
      <c r="B87" s="33" t="s">
        <v>246</v>
      </c>
      <c r="C87" s="29" t="s">
        <v>180</v>
      </c>
      <c r="D87" s="33" t="s">
        <v>15</v>
      </c>
      <c r="E87" s="34" t="s">
        <v>118</v>
      </c>
      <c r="F87" s="34" t="s">
        <v>40</v>
      </c>
      <c r="G87" s="56">
        <v>45969.0</v>
      </c>
      <c r="H87" s="36">
        <v>0.0</v>
      </c>
      <c r="I87" s="52" t="s">
        <v>65</v>
      </c>
      <c r="J87" s="34" t="s">
        <v>19</v>
      </c>
      <c r="K87" s="33" t="s">
        <v>20</v>
      </c>
      <c r="L87" s="36">
        <v>50.0</v>
      </c>
      <c r="M87" s="51" t="s">
        <v>27</v>
      </c>
    </row>
    <row r="88" ht="22.5" customHeight="1">
      <c r="A88" s="33" t="s">
        <v>247</v>
      </c>
      <c r="B88" s="33" t="s">
        <v>246</v>
      </c>
      <c r="C88" s="29" t="s">
        <v>180</v>
      </c>
      <c r="D88" s="33" t="s">
        <v>15</v>
      </c>
      <c r="E88" s="34" t="s">
        <v>118</v>
      </c>
      <c r="F88" s="34" t="s">
        <v>40</v>
      </c>
      <c r="G88" s="56">
        <v>45969.0</v>
      </c>
      <c r="H88" s="36">
        <v>50.0</v>
      </c>
      <c r="I88" s="52" t="s">
        <v>65</v>
      </c>
      <c r="J88" s="34" t="s">
        <v>19</v>
      </c>
      <c r="K88" s="33" t="s">
        <v>20</v>
      </c>
      <c r="L88" s="36">
        <v>180.0</v>
      </c>
      <c r="M88" s="51" t="s">
        <v>199</v>
      </c>
    </row>
    <row r="89" ht="22.5" customHeight="1">
      <c r="A89" s="33" t="s">
        <v>248</v>
      </c>
      <c r="B89" s="33" t="s">
        <v>249</v>
      </c>
      <c r="C89" s="29">
        <v>9.22393199E8</v>
      </c>
      <c r="D89" s="33" t="s">
        <v>15</v>
      </c>
      <c r="E89" s="34" t="s">
        <v>250</v>
      </c>
      <c r="F89" s="34" t="s">
        <v>40</v>
      </c>
      <c r="G89" s="54">
        <v>45969.0</v>
      </c>
      <c r="H89" s="36">
        <v>50.0</v>
      </c>
      <c r="I89" s="52" t="s">
        <v>18</v>
      </c>
      <c r="J89" s="34" t="s">
        <v>19</v>
      </c>
      <c r="K89" s="33" t="s">
        <v>20</v>
      </c>
      <c r="L89" s="36">
        <v>590.0</v>
      </c>
      <c r="M89" s="51" t="s">
        <v>199</v>
      </c>
    </row>
    <row r="90" ht="22.5" customHeight="1">
      <c r="A90" s="33" t="s">
        <v>251</v>
      </c>
      <c r="B90" s="33" t="s">
        <v>252</v>
      </c>
      <c r="C90" s="29">
        <v>9.71787274E8</v>
      </c>
      <c r="D90" s="33" t="s">
        <v>15</v>
      </c>
      <c r="E90" s="34" t="s">
        <v>55</v>
      </c>
      <c r="F90" s="34" t="s">
        <v>40</v>
      </c>
      <c r="G90" s="54">
        <v>45969.0</v>
      </c>
      <c r="H90" s="36">
        <v>50.0</v>
      </c>
      <c r="I90" s="52" t="s">
        <v>18</v>
      </c>
      <c r="J90" s="34" t="s">
        <v>19</v>
      </c>
      <c r="K90" s="33" t="s">
        <v>20</v>
      </c>
      <c r="L90" s="36">
        <v>0.0</v>
      </c>
      <c r="M90" s="51" t="s">
        <v>27</v>
      </c>
    </row>
    <row r="91" ht="22.5" customHeight="1">
      <c r="A91" s="33" t="s">
        <v>253</v>
      </c>
      <c r="B91" s="33" t="s">
        <v>254</v>
      </c>
      <c r="C91" s="29">
        <v>9.97346214E8</v>
      </c>
      <c r="D91" s="33" t="s">
        <v>15</v>
      </c>
      <c r="E91" s="34" t="s">
        <v>221</v>
      </c>
      <c r="F91" s="34" t="s">
        <v>40</v>
      </c>
      <c r="G91" s="54">
        <v>45969.0</v>
      </c>
      <c r="H91" s="36">
        <v>50.0</v>
      </c>
      <c r="I91" s="52" t="s">
        <v>18</v>
      </c>
      <c r="J91" s="34" t="s">
        <v>19</v>
      </c>
      <c r="K91" s="33" t="s">
        <v>20</v>
      </c>
      <c r="L91" s="36">
        <v>495.0</v>
      </c>
      <c r="M91" s="51" t="s">
        <v>27</v>
      </c>
    </row>
    <row r="92" ht="22.5" customHeight="1">
      <c r="A92" s="33" t="s">
        <v>255</v>
      </c>
      <c r="B92" s="33" t="s">
        <v>116</v>
      </c>
      <c r="C92" s="29">
        <v>9.16114676E8</v>
      </c>
      <c r="D92" s="33" t="s">
        <v>15</v>
      </c>
      <c r="E92" s="34" t="s">
        <v>60</v>
      </c>
      <c r="F92" s="34" t="s">
        <v>36</v>
      </c>
      <c r="G92" s="54">
        <v>45969.0</v>
      </c>
      <c r="H92" s="36">
        <v>50.0</v>
      </c>
      <c r="I92" s="52" t="s">
        <v>47</v>
      </c>
      <c r="J92" s="34" t="s">
        <v>19</v>
      </c>
      <c r="K92" s="33" t="s">
        <v>20</v>
      </c>
      <c r="L92" s="36">
        <v>105.0</v>
      </c>
      <c r="M92" s="51" t="s">
        <v>27</v>
      </c>
    </row>
    <row r="93" ht="22.5" customHeight="1">
      <c r="A93" s="33" t="s">
        <v>256</v>
      </c>
      <c r="B93" s="33" t="s">
        <v>257</v>
      </c>
      <c r="C93" s="29">
        <v>9.23448968E8</v>
      </c>
      <c r="D93" s="33" t="s">
        <v>15</v>
      </c>
      <c r="E93" s="34" t="s">
        <v>258</v>
      </c>
      <c r="F93" s="34" t="s">
        <v>36</v>
      </c>
      <c r="G93" s="54">
        <v>45971.0</v>
      </c>
      <c r="H93" s="36">
        <v>50.0</v>
      </c>
      <c r="I93" s="52" t="s">
        <v>47</v>
      </c>
      <c r="J93" s="34" t="s">
        <v>19</v>
      </c>
      <c r="K93" s="33" t="s">
        <v>20</v>
      </c>
      <c r="L93" s="36">
        <v>110.0</v>
      </c>
      <c r="M93" s="51" t="s">
        <v>199</v>
      </c>
    </row>
    <row r="94" ht="22.5" customHeight="1">
      <c r="A94" s="33" t="s">
        <v>216</v>
      </c>
      <c r="B94" s="33" t="s">
        <v>259</v>
      </c>
      <c r="C94" s="57"/>
      <c r="D94" s="33" t="s">
        <v>15</v>
      </c>
      <c r="E94" s="34" t="s">
        <v>260</v>
      </c>
      <c r="F94" s="34" t="s">
        <v>36</v>
      </c>
      <c r="G94" s="54">
        <v>45972.0</v>
      </c>
      <c r="H94" s="36">
        <v>0.0</v>
      </c>
      <c r="I94" s="52" t="s">
        <v>47</v>
      </c>
      <c r="J94" s="34" t="s">
        <v>19</v>
      </c>
      <c r="K94" s="33" t="s">
        <v>20</v>
      </c>
      <c r="L94" s="36">
        <v>80.0</v>
      </c>
      <c r="M94" s="58"/>
    </row>
    <row r="95" ht="22.5" customHeight="1">
      <c r="A95" s="33" t="s">
        <v>261</v>
      </c>
      <c r="B95" s="33" t="s">
        <v>84</v>
      </c>
      <c r="C95" s="29" t="s">
        <v>180</v>
      </c>
      <c r="D95" s="33" t="s">
        <v>15</v>
      </c>
      <c r="E95" s="34" t="s">
        <v>262</v>
      </c>
      <c r="F95" s="34" t="s">
        <v>40</v>
      </c>
      <c r="G95" s="54">
        <v>45972.0</v>
      </c>
      <c r="H95" s="36">
        <v>0.0</v>
      </c>
      <c r="I95" s="52" t="s">
        <v>18</v>
      </c>
      <c r="J95" s="34" t="s">
        <v>19</v>
      </c>
      <c r="K95" s="33" t="s">
        <v>20</v>
      </c>
      <c r="L95" s="36">
        <v>190.0</v>
      </c>
      <c r="M95" s="58"/>
    </row>
    <row r="96" ht="22.5" customHeight="1">
      <c r="A96" s="33" t="s">
        <v>263</v>
      </c>
      <c r="B96" s="33" t="s">
        <v>264</v>
      </c>
      <c r="C96" s="29" t="s">
        <v>265</v>
      </c>
      <c r="D96" s="33" t="s">
        <v>30</v>
      </c>
      <c r="E96" s="34" t="s">
        <v>266</v>
      </c>
      <c r="F96" s="34" t="s">
        <v>40</v>
      </c>
      <c r="G96" s="53">
        <v>45973.0</v>
      </c>
      <c r="H96" s="36">
        <v>230.0</v>
      </c>
      <c r="I96" s="52" t="s">
        <v>75</v>
      </c>
      <c r="J96" s="34" t="s">
        <v>19</v>
      </c>
      <c r="K96" s="33" t="s">
        <v>20</v>
      </c>
      <c r="L96" s="36">
        <v>0.0</v>
      </c>
      <c r="M96" s="51" t="s">
        <v>27</v>
      </c>
    </row>
    <row r="97" ht="22.5" customHeight="1">
      <c r="A97" s="33" t="s">
        <v>267</v>
      </c>
      <c r="B97" s="33" t="s">
        <v>268</v>
      </c>
      <c r="C97" s="29" t="s">
        <v>269</v>
      </c>
      <c r="D97" s="33" t="s">
        <v>30</v>
      </c>
      <c r="E97" s="34" t="s">
        <v>16</v>
      </c>
      <c r="F97" s="34" t="s">
        <v>17</v>
      </c>
      <c r="G97" s="53">
        <v>45974.0</v>
      </c>
      <c r="H97" s="36">
        <v>179.0</v>
      </c>
      <c r="I97" s="52" t="s">
        <v>18</v>
      </c>
      <c r="J97" s="34" t="s">
        <v>19</v>
      </c>
      <c r="K97" s="33" t="s">
        <v>20</v>
      </c>
      <c r="L97" s="36">
        <v>0.0</v>
      </c>
      <c r="M97" s="51" t="s">
        <v>127</v>
      </c>
    </row>
    <row r="98" ht="22.5" customHeight="1">
      <c r="A98" s="33" t="s">
        <v>69</v>
      </c>
      <c r="B98" s="33" t="s">
        <v>270</v>
      </c>
      <c r="C98" s="29">
        <v>9.87146116E8</v>
      </c>
      <c r="D98" s="33" t="s">
        <v>25</v>
      </c>
      <c r="E98" s="34" t="s">
        <v>60</v>
      </c>
      <c r="F98" s="34" t="s">
        <v>36</v>
      </c>
      <c r="G98" s="53">
        <v>45973.0</v>
      </c>
      <c r="H98" s="36">
        <v>50.0</v>
      </c>
      <c r="I98" s="52" t="s">
        <v>18</v>
      </c>
      <c r="J98" s="34" t="s">
        <v>19</v>
      </c>
      <c r="K98" s="33" t="s">
        <v>20</v>
      </c>
      <c r="L98" s="36">
        <v>170.0</v>
      </c>
      <c r="M98" s="51" t="s">
        <v>199</v>
      </c>
    </row>
    <row r="99" ht="22.5" customHeight="1">
      <c r="A99" s="33" t="s">
        <v>271</v>
      </c>
      <c r="B99" s="33" t="s">
        <v>272</v>
      </c>
      <c r="C99" s="29" t="s">
        <v>180</v>
      </c>
      <c r="D99" s="33" t="s">
        <v>15</v>
      </c>
      <c r="E99" s="34" t="s">
        <v>35</v>
      </c>
      <c r="F99" s="34" t="s">
        <v>133</v>
      </c>
      <c r="G99" s="56">
        <v>45974.0</v>
      </c>
      <c r="H99" s="36">
        <v>50.0</v>
      </c>
      <c r="I99" s="52" t="s">
        <v>65</v>
      </c>
      <c r="J99" s="34" t="s">
        <v>19</v>
      </c>
      <c r="K99" s="33" t="s">
        <v>20</v>
      </c>
      <c r="L99" s="36">
        <v>250.0</v>
      </c>
      <c r="M99" s="51" t="s">
        <v>27</v>
      </c>
    </row>
    <row r="100" ht="22.5" customHeight="1">
      <c r="A100" s="33" t="s">
        <v>273</v>
      </c>
      <c r="B100" s="33" t="s">
        <v>274</v>
      </c>
      <c r="C100" s="29">
        <v>9.04928065E8</v>
      </c>
      <c r="D100" s="33" t="s">
        <v>15</v>
      </c>
      <c r="E100" s="34" t="s">
        <v>55</v>
      </c>
      <c r="F100" s="34" t="s">
        <v>40</v>
      </c>
      <c r="G100" s="56">
        <v>45974.0</v>
      </c>
      <c r="H100" s="36">
        <v>50.0</v>
      </c>
      <c r="I100" s="52" t="s">
        <v>18</v>
      </c>
      <c r="J100" s="34" t="s">
        <v>19</v>
      </c>
      <c r="K100" s="33" t="s">
        <v>20</v>
      </c>
      <c r="L100" s="36">
        <v>0.0</v>
      </c>
      <c r="M100" s="51" t="s">
        <v>27</v>
      </c>
    </row>
    <row r="101" ht="22.5" customHeight="1">
      <c r="A101" s="33" t="s">
        <v>275</v>
      </c>
      <c r="B101" s="33" t="s">
        <v>276</v>
      </c>
      <c r="C101" s="57"/>
      <c r="D101" s="33" t="s">
        <v>15</v>
      </c>
      <c r="E101" s="34" t="s">
        <v>16</v>
      </c>
      <c r="F101" s="34" t="s">
        <v>17</v>
      </c>
      <c r="G101" s="56">
        <v>45975.0</v>
      </c>
      <c r="H101" s="36">
        <v>0.0</v>
      </c>
      <c r="I101" s="52" t="s">
        <v>61</v>
      </c>
      <c r="J101" s="34" t="s">
        <v>19</v>
      </c>
      <c r="K101" s="33" t="s">
        <v>20</v>
      </c>
      <c r="L101" s="36">
        <v>150.0</v>
      </c>
      <c r="M101" s="51" t="s">
        <v>27</v>
      </c>
    </row>
    <row r="102" ht="22.5" customHeight="1">
      <c r="A102" s="33" t="s">
        <v>277</v>
      </c>
      <c r="B102" s="33" t="s">
        <v>278</v>
      </c>
      <c r="C102" s="29">
        <v>9.91928065E8</v>
      </c>
      <c r="D102" s="33" t="s">
        <v>15</v>
      </c>
      <c r="E102" s="39"/>
      <c r="F102" s="34" t="s">
        <v>40</v>
      </c>
      <c r="G102" s="56">
        <v>45975.0</v>
      </c>
      <c r="H102" s="36">
        <v>50.0</v>
      </c>
      <c r="I102" s="52" t="s">
        <v>47</v>
      </c>
      <c r="J102" s="34" t="s">
        <v>19</v>
      </c>
      <c r="K102" s="33" t="s">
        <v>20</v>
      </c>
      <c r="L102" s="36">
        <v>350.0</v>
      </c>
      <c r="M102" s="51" t="s">
        <v>82</v>
      </c>
    </row>
    <row r="103" ht="22.5" customHeight="1">
      <c r="A103" s="33" t="s">
        <v>279</v>
      </c>
      <c r="B103" s="33" t="s">
        <v>280</v>
      </c>
      <c r="C103" s="29">
        <v>9.49845417E8</v>
      </c>
      <c r="D103" s="33" t="s">
        <v>15</v>
      </c>
      <c r="E103" s="34" t="s">
        <v>60</v>
      </c>
      <c r="F103" s="34" t="s">
        <v>36</v>
      </c>
      <c r="G103" s="56">
        <v>45975.0</v>
      </c>
      <c r="H103" s="36">
        <v>50.0</v>
      </c>
      <c r="I103" s="52" t="s">
        <v>18</v>
      </c>
      <c r="J103" s="34" t="s">
        <v>19</v>
      </c>
      <c r="K103" s="33" t="s">
        <v>20</v>
      </c>
      <c r="L103" s="36">
        <v>170.0</v>
      </c>
      <c r="M103" s="51" t="s">
        <v>199</v>
      </c>
    </row>
    <row r="104" ht="22.5" customHeight="1">
      <c r="A104" s="33" t="s">
        <v>281</v>
      </c>
      <c r="B104" s="33" t="s">
        <v>282</v>
      </c>
      <c r="C104" s="29">
        <v>9.66416949E8</v>
      </c>
      <c r="D104" s="33" t="s">
        <v>15</v>
      </c>
      <c r="E104" s="34" t="s">
        <v>64</v>
      </c>
      <c r="F104" s="34" t="s">
        <v>40</v>
      </c>
      <c r="G104" s="56">
        <v>45976.0</v>
      </c>
      <c r="H104" s="36">
        <v>0.0</v>
      </c>
      <c r="I104" s="52" t="s">
        <v>61</v>
      </c>
      <c r="J104" s="34" t="s">
        <v>19</v>
      </c>
      <c r="K104" s="33" t="s">
        <v>20</v>
      </c>
      <c r="L104" s="36">
        <v>50.0</v>
      </c>
      <c r="M104" s="51" t="s">
        <v>27</v>
      </c>
    </row>
    <row r="105" ht="22.5" customHeight="1">
      <c r="A105" s="33" t="s">
        <v>283</v>
      </c>
      <c r="B105" s="33" t="s">
        <v>284</v>
      </c>
      <c r="C105" s="29">
        <v>9.24888721E8</v>
      </c>
      <c r="D105" s="33" t="s">
        <v>15</v>
      </c>
      <c r="E105" s="34" t="s">
        <v>39</v>
      </c>
      <c r="F105" s="34" t="s">
        <v>40</v>
      </c>
      <c r="G105" s="56">
        <v>45976.0</v>
      </c>
      <c r="H105" s="36">
        <v>100.0</v>
      </c>
      <c r="I105" s="52" t="s">
        <v>18</v>
      </c>
      <c r="J105" s="34" t="s">
        <v>19</v>
      </c>
      <c r="K105" s="33" t="s">
        <v>20</v>
      </c>
      <c r="L105" s="36">
        <v>479.0</v>
      </c>
      <c r="M105" s="51" t="s">
        <v>199</v>
      </c>
    </row>
    <row r="106" ht="22.5" customHeight="1">
      <c r="A106" s="33" t="s">
        <v>285</v>
      </c>
      <c r="B106" s="33" t="s">
        <v>286</v>
      </c>
      <c r="C106" s="29">
        <v>9.56619999E8</v>
      </c>
      <c r="D106" s="33" t="s">
        <v>15</v>
      </c>
      <c r="E106" s="34" t="s">
        <v>55</v>
      </c>
      <c r="F106" s="34" t="s">
        <v>40</v>
      </c>
      <c r="G106" s="56">
        <v>45976.0</v>
      </c>
      <c r="H106" s="36">
        <v>50.0</v>
      </c>
      <c r="I106" s="52" t="s">
        <v>47</v>
      </c>
      <c r="J106" s="34" t="s">
        <v>19</v>
      </c>
      <c r="K106" s="33" t="s">
        <v>20</v>
      </c>
      <c r="L106" s="36">
        <v>0.0</v>
      </c>
      <c r="M106" s="51" t="s">
        <v>27</v>
      </c>
    </row>
    <row r="107" ht="22.5" customHeight="1">
      <c r="A107" s="33" t="s">
        <v>287</v>
      </c>
      <c r="B107" s="33" t="s">
        <v>288</v>
      </c>
      <c r="C107" s="29">
        <v>9.58551396E8</v>
      </c>
      <c r="D107" s="33" t="s">
        <v>15</v>
      </c>
      <c r="E107" s="34" t="s">
        <v>289</v>
      </c>
      <c r="F107" s="34" t="s">
        <v>36</v>
      </c>
      <c r="G107" s="56">
        <v>45976.0</v>
      </c>
      <c r="H107" s="36">
        <v>50.0</v>
      </c>
      <c r="I107" s="52" t="s">
        <v>18</v>
      </c>
      <c r="J107" s="34" t="s">
        <v>19</v>
      </c>
      <c r="K107" s="33" t="s">
        <v>20</v>
      </c>
      <c r="L107" s="36">
        <v>350.0</v>
      </c>
      <c r="M107" s="51" t="s">
        <v>27</v>
      </c>
    </row>
    <row r="108" ht="22.5" customHeight="1">
      <c r="A108" s="33" t="s">
        <v>37</v>
      </c>
      <c r="B108" s="33" t="s">
        <v>116</v>
      </c>
      <c r="C108" s="29">
        <v>9.55024229E8</v>
      </c>
      <c r="D108" s="33" t="s">
        <v>25</v>
      </c>
      <c r="E108" s="34" t="s">
        <v>55</v>
      </c>
      <c r="F108" s="34" t="s">
        <v>40</v>
      </c>
      <c r="G108" s="56">
        <v>45976.0</v>
      </c>
      <c r="H108" s="36">
        <v>0.0</v>
      </c>
      <c r="I108" s="52" t="s">
        <v>47</v>
      </c>
      <c r="J108" s="34" t="s">
        <v>19</v>
      </c>
      <c r="K108" s="33" t="s">
        <v>20</v>
      </c>
      <c r="L108" s="36">
        <v>50.0</v>
      </c>
      <c r="M108" s="51" t="s">
        <v>21</v>
      </c>
    </row>
    <row r="109" ht="22.5" customHeight="1">
      <c r="A109" s="33" t="s">
        <v>290</v>
      </c>
      <c r="B109" s="33" t="s">
        <v>254</v>
      </c>
      <c r="C109" s="29">
        <v>9.97346214E8</v>
      </c>
      <c r="D109" s="33" t="s">
        <v>25</v>
      </c>
      <c r="E109" s="34" t="s">
        <v>39</v>
      </c>
      <c r="F109" s="34" t="s">
        <v>40</v>
      </c>
      <c r="G109" s="56">
        <v>45976.0</v>
      </c>
      <c r="H109" s="36">
        <v>0.0</v>
      </c>
      <c r="I109" s="52" t="s">
        <v>18</v>
      </c>
      <c r="J109" s="34" t="s">
        <v>19</v>
      </c>
      <c r="K109" s="33" t="s">
        <v>20</v>
      </c>
      <c r="L109" s="36">
        <v>495.0</v>
      </c>
      <c r="M109" s="51" t="s">
        <v>27</v>
      </c>
    </row>
    <row r="110" ht="22.5" customHeight="1">
      <c r="A110" s="33" t="s">
        <v>240</v>
      </c>
      <c r="B110" s="33" t="s">
        <v>291</v>
      </c>
      <c r="C110" s="29">
        <v>9.51740129E8</v>
      </c>
      <c r="D110" s="33" t="s">
        <v>15</v>
      </c>
      <c r="E110" s="34" t="s">
        <v>31</v>
      </c>
      <c r="F110" s="34" t="s">
        <v>17</v>
      </c>
      <c r="G110" s="56">
        <v>45976.0</v>
      </c>
      <c r="H110" s="36">
        <v>50.0</v>
      </c>
      <c r="I110" s="52" t="s">
        <v>47</v>
      </c>
      <c r="J110" s="34" t="s">
        <v>19</v>
      </c>
      <c r="K110" s="33" t="s">
        <v>20</v>
      </c>
      <c r="L110" s="36">
        <v>100.0</v>
      </c>
      <c r="M110" s="51" t="s">
        <v>199</v>
      </c>
    </row>
    <row r="111" ht="22.5" customHeight="1">
      <c r="A111" s="33" t="s">
        <v>292</v>
      </c>
      <c r="B111" s="33" t="s">
        <v>293</v>
      </c>
      <c r="C111" s="29" t="s">
        <v>294</v>
      </c>
      <c r="D111" s="33" t="s">
        <v>15</v>
      </c>
      <c r="E111" s="34" t="s">
        <v>55</v>
      </c>
      <c r="F111" s="34" t="s">
        <v>40</v>
      </c>
      <c r="G111" s="56">
        <v>45976.0</v>
      </c>
      <c r="H111" s="36">
        <v>50.0</v>
      </c>
      <c r="I111" s="52" t="s">
        <v>47</v>
      </c>
      <c r="J111" s="34" t="s">
        <v>19</v>
      </c>
      <c r="K111" s="33" t="s">
        <v>20</v>
      </c>
      <c r="L111" s="36">
        <v>90.0</v>
      </c>
      <c r="M111" s="51" t="s">
        <v>91</v>
      </c>
    </row>
    <row r="112" ht="22.5" customHeight="1">
      <c r="A112" s="33" t="s">
        <v>295</v>
      </c>
      <c r="B112" s="33" t="s">
        <v>296</v>
      </c>
      <c r="C112" s="29" t="s">
        <v>180</v>
      </c>
      <c r="D112" s="33" t="s">
        <v>15</v>
      </c>
      <c r="E112" s="34" t="s">
        <v>55</v>
      </c>
      <c r="F112" s="34" t="s">
        <v>40</v>
      </c>
      <c r="G112" s="56">
        <v>45976.0</v>
      </c>
      <c r="H112" s="36">
        <v>0.0</v>
      </c>
      <c r="I112" s="52" t="s">
        <v>75</v>
      </c>
      <c r="J112" s="34" t="s">
        <v>19</v>
      </c>
      <c r="K112" s="33" t="s">
        <v>20</v>
      </c>
      <c r="L112" s="36">
        <v>315.0</v>
      </c>
      <c r="M112" s="51" t="s">
        <v>27</v>
      </c>
    </row>
    <row r="113" ht="22.5" customHeight="1">
      <c r="A113" s="33" t="s">
        <v>297</v>
      </c>
      <c r="B113" s="33" t="s">
        <v>298</v>
      </c>
      <c r="C113" s="29" t="s">
        <v>299</v>
      </c>
      <c r="D113" s="33" t="s">
        <v>15</v>
      </c>
      <c r="E113" s="34" t="s">
        <v>55</v>
      </c>
      <c r="F113" s="34" t="s">
        <v>36</v>
      </c>
      <c r="G113" s="56">
        <v>45976.0</v>
      </c>
      <c r="H113" s="36">
        <v>50.0</v>
      </c>
      <c r="I113" s="52" t="s">
        <v>18</v>
      </c>
      <c r="J113" s="34" t="s">
        <v>19</v>
      </c>
      <c r="K113" s="33" t="s">
        <v>20</v>
      </c>
      <c r="L113" s="36">
        <v>295.0</v>
      </c>
      <c r="M113" s="51" t="s">
        <v>27</v>
      </c>
    </row>
    <row r="114" ht="22.5" customHeight="1">
      <c r="A114" s="33" t="s">
        <v>300</v>
      </c>
      <c r="B114" s="33" t="s">
        <v>301</v>
      </c>
      <c r="C114" s="29" t="s">
        <v>302</v>
      </c>
      <c r="D114" s="33" t="s">
        <v>15</v>
      </c>
      <c r="E114" s="34" t="s">
        <v>55</v>
      </c>
      <c r="F114" s="34" t="s">
        <v>40</v>
      </c>
      <c r="G114" s="56">
        <v>45976.0</v>
      </c>
      <c r="H114" s="36">
        <v>0.0</v>
      </c>
      <c r="I114" s="52" t="s">
        <v>18</v>
      </c>
      <c r="J114" s="34" t="s">
        <v>19</v>
      </c>
      <c r="K114" s="33" t="s">
        <v>20</v>
      </c>
      <c r="L114" s="36">
        <v>190.0</v>
      </c>
      <c r="M114" s="51" t="s">
        <v>21</v>
      </c>
    </row>
    <row r="115" ht="22.5" customHeight="1">
      <c r="A115" s="33" t="s">
        <v>303</v>
      </c>
      <c r="B115" s="33" t="s">
        <v>233</v>
      </c>
      <c r="C115" s="29" t="s">
        <v>234</v>
      </c>
      <c r="D115" s="33" t="s">
        <v>30</v>
      </c>
      <c r="E115" s="34" t="s">
        <v>39</v>
      </c>
      <c r="F115" s="34" t="s">
        <v>40</v>
      </c>
      <c r="G115" s="56">
        <v>45971.0</v>
      </c>
      <c r="H115" s="36">
        <v>50.0</v>
      </c>
      <c r="I115" s="52" t="s">
        <v>47</v>
      </c>
      <c r="J115" s="34" t="s">
        <v>19</v>
      </c>
      <c r="K115" s="33" t="s">
        <v>20</v>
      </c>
      <c r="L115" s="36">
        <v>529.0</v>
      </c>
      <c r="M115" s="51" t="s">
        <v>27</v>
      </c>
    </row>
    <row r="116" ht="22.5" customHeight="1">
      <c r="A116" s="33" t="s">
        <v>304</v>
      </c>
      <c r="B116" s="33" t="s">
        <v>305</v>
      </c>
      <c r="C116" s="29" t="s">
        <v>306</v>
      </c>
      <c r="D116" s="33" t="s">
        <v>30</v>
      </c>
      <c r="E116" s="34" t="s">
        <v>307</v>
      </c>
      <c r="F116" s="34" t="s">
        <v>17</v>
      </c>
      <c r="G116" s="56">
        <v>45976.0</v>
      </c>
      <c r="H116" s="36">
        <v>0.0</v>
      </c>
      <c r="I116" s="52" t="s">
        <v>75</v>
      </c>
      <c r="J116" s="34" t="s">
        <v>19</v>
      </c>
      <c r="K116" s="33" t="s">
        <v>20</v>
      </c>
      <c r="L116" s="36">
        <v>70.0</v>
      </c>
      <c r="M116" s="51" t="s">
        <v>27</v>
      </c>
    </row>
    <row r="117" ht="22.5" customHeight="1">
      <c r="A117" s="33" t="s">
        <v>308</v>
      </c>
      <c r="B117" s="33" t="s">
        <v>309</v>
      </c>
      <c r="C117" s="29">
        <v>9.89479939E8</v>
      </c>
      <c r="D117" s="33" t="s">
        <v>15</v>
      </c>
      <c r="E117" s="34" t="s">
        <v>39</v>
      </c>
      <c r="F117" s="34" t="s">
        <v>40</v>
      </c>
      <c r="G117" s="56">
        <v>45978.0</v>
      </c>
      <c r="H117" s="36">
        <v>50.0</v>
      </c>
      <c r="I117" s="52" t="s">
        <v>18</v>
      </c>
      <c r="J117" s="34" t="s">
        <v>19</v>
      </c>
      <c r="K117" s="33" t="s">
        <v>20</v>
      </c>
      <c r="L117" s="36">
        <v>529.0</v>
      </c>
      <c r="M117" s="51" t="s">
        <v>199</v>
      </c>
    </row>
    <row r="118" ht="22.5" customHeight="1">
      <c r="A118" s="33" t="s">
        <v>310</v>
      </c>
      <c r="B118" s="33" t="s">
        <v>311</v>
      </c>
      <c r="C118" s="29">
        <v>9.22906861E8</v>
      </c>
      <c r="D118" s="33" t="s">
        <v>15</v>
      </c>
      <c r="E118" s="34" t="s">
        <v>55</v>
      </c>
      <c r="F118" s="34" t="s">
        <v>40</v>
      </c>
      <c r="G118" s="56">
        <v>45978.0</v>
      </c>
      <c r="H118" s="36">
        <v>0.0</v>
      </c>
      <c r="I118" s="52" t="s">
        <v>18</v>
      </c>
      <c r="J118" s="34" t="s">
        <v>19</v>
      </c>
      <c r="K118" s="33" t="s">
        <v>20</v>
      </c>
      <c r="L118" s="36">
        <v>320.0</v>
      </c>
      <c r="M118" s="51" t="s">
        <v>27</v>
      </c>
    </row>
    <row r="119" ht="22.5" customHeight="1">
      <c r="A119" s="33" t="s">
        <v>312</v>
      </c>
      <c r="B119" s="33" t="s">
        <v>313</v>
      </c>
      <c r="C119" s="29">
        <v>9.335598E8</v>
      </c>
      <c r="D119" s="33" t="s">
        <v>15</v>
      </c>
      <c r="E119" s="34" t="s">
        <v>39</v>
      </c>
      <c r="F119" s="34" t="s">
        <v>40</v>
      </c>
      <c r="G119" s="56">
        <v>45978.0</v>
      </c>
      <c r="H119" s="36">
        <v>50.0</v>
      </c>
      <c r="I119" s="52" t="s">
        <v>47</v>
      </c>
      <c r="J119" s="34" t="s">
        <v>19</v>
      </c>
      <c r="K119" s="33" t="s">
        <v>20</v>
      </c>
      <c r="L119" s="36">
        <v>529.0</v>
      </c>
      <c r="M119" s="51" t="s">
        <v>199</v>
      </c>
    </row>
    <row r="120" ht="22.5" customHeight="1">
      <c r="A120" s="33" t="s">
        <v>314</v>
      </c>
      <c r="B120" s="33" t="s">
        <v>315</v>
      </c>
      <c r="C120" s="29" t="s">
        <v>316</v>
      </c>
      <c r="D120" s="33" t="s">
        <v>30</v>
      </c>
      <c r="E120" s="34" t="s">
        <v>317</v>
      </c>
      <c r="F120" s="34" t="s">
        <v>36</v>
      </c>
      <c r="G120" s="56">
        <v>45979.0</v>
      </c>
      <c r="H120" s="36">
        <v>50.0</v>
      </c>
      <c r="I120" s="52" t="s">
        <v>75</v>
      </c>
      <c r="J120" s="34" t="s">
        <v>19</v>
      </c>
      <c r="K120" s="33" t="s">
        <v>20</v>
      </c>
      <c r="L120" s="36">
        <v>1900.0</v>
      </c>
      <c r="M120" s="51" t="s">
        <v>127</v>
      </c>
    </row>
    <row r="121" ht="22.5" customHeight="1">
      <c r="A121" s="33" t="s">
        <v>261</v>
      </c>
      <c r="B121" s="33" t="s">
        <v>84</v>
      </c>
      <c r="C121" s="29" t="s">
        <v>180</v>
      </c>
      <c r="D121" s="33" t="s">
        <v>15</v>
      </c>
      <c r="E121" s="34" t="s">
        <v>318</v>
      </c>
      <c r="F121" s="34" t="s">
        <v>40</v>
      </c>
      <c r="G121" s="56">
        <v>45979.0</v>
      </c>
      <c r="H121" s="36">
        <v>0.0</v>
      </c>
      <c r="I121" s="52" t="s">
        <v>47</v>
      </c>
      <c r="J121" s="34" t="s">
        <v>19</v>
      </c>
      <c r="K121" s="33" t="s">
        <v>20</v>
      </c>
      <c r="L121" s="36">
        <v>420.0</v>
      </c>
      <c r="M121" s="51" t="s">
        <v>127</v>
      </c>
    </row>
    <row r="122" ht="22.5" customHeight="1">
      <c r="A122" s="33" t="s">
        <v>122</v>
      </c>
      <c r="B122" s="33" t="s">
        <v>319</v>
      </c>
      <c r="C122" s="29" t="s">
        <v>180</v>
      </c>
      <c r="D122" s="33" t="s">
        <v>15</v>
      </c>
      <c r="E122" s="34" t="s">
        <v>55</v>
      </c>
      <c r="F122" s="34" t="s">
        <v>40</v>
      </c>
      <c r="G122" s="56">
        <v>45979.0</v>
      </c>
      <c r="H122" s="36">
        <v>50.0</v>
      </c>
      <c r="I122" s="52" t="s">
        <v>18</v>
      </c>
      <c r="J122" s="34" t="s">
        <v>19</v>
      </c>
      <c r="K122" s="33" t="s">
        <v>20</v>
      </c>
      <c r="L122" s="36">
        <v>40.0</v>
      </c>
      <c r="M122" s="51" t="s">
        <v>27</v>
      </c>
    </row>
    <row r="123" ht="22.5" customHeight="1">
      <c r="A123" s="33" t="s">
        <v>320</v>
      </c>
      <c r="B123" s="33" t="s">
        <v>321</v>
      </c>
      <c r="C123" s="29">
        <v>9.33874514E8</v>
      </c>
      <c r="D123" s="33" t="s">
        <v>15</v>
      </c>
      <c r="E123" s="34" t="s">
        <v>210</v>
      </c>
      <c r="F123" s="34" t="s">
        <v>40</v>
      </c>
      <c r="G123" s="56">
        <v>45979.0</v>
      </c>
      <c r="H123" s="36">
        <v>50.0</v>
      </c>
      <c r="I123" s="52" t="s">
        <v>61</v>
      </c>
      <c r="J123" s="34" t="s">
        <v>19</v>
      </c>
      <c r="K123" s="33" t="s">
        <v>20</v>
      </c>
      <c r="L123" s="36"/>
      <c r="M123" s="59"/>
    </row>
    <row r="124" ht="22.5" customHeight="1">
      <c r="A124" s="33" t="s">
        <v>322</v>
      </c>
      <c r="B124" s="33" t="s">
        <v>323</v>
      </c>
      <c r="C124" s="29">
        <v>9.24310293E8</v>
      </c>
      <c r="D124" s="33" t="s">
        <v>15</v>
      </c>
      <c r="E124" s="34" t="s">
        <v>39</v>
      </c>
      <c r="F124" s="34" t="s">
        <v>40</v>
      </c>
      <c r="G124" s="56">
        <v>45979.0</v>
      </c>
      <c r="H124" s="36">
        <v>50.0</v>
      </c>
      <c r="I124" s="52" t="s">
        <v>18</v>
      </c>
      <c r="J124" s="34" t="s">
        <v>19</v>
      </c>
      <c r="K124" s="33" t="s">
        <v>20</v>
      </c>
      <c r="L124" s="36">
        <v>529.0</v>
      </c>
      <c r="M124" s="51" t="s">
        <v>27</v>
      </c>
    </row>
    <row r="125" ht="22.5" customHeight="1">
      <c r="A125" s="33" t="s">
        <v>292</v>
      </c>
      <c r="B125" s="33" t="s">
        <v>324</v>
      </c>
      <c r="C125" s="29" t="s">
        <v>325</v>
      </c>
      <c r="D125" s="33" t="s">
        <v>15</v>
      </c>
      <c r="E125" s="34" t="s">
        <v>60</v>
      </c>
      <c r="F125" s="34" t="s">
        <v>36</v>
      </c>
      <c r="G125" s="56">
        <v>45980.0</v>
      </c>
      <c r="H125" s="36">
        <v>50.0</v>
      </c>
      <c r="I125" s="52" t="s">
        <v>18</v>
      </c>
      <c r="J125" s="34" t="s">
        <v>19</v>
      </c>
      <c r="K125" s="33" t="s">
        <v>20</v>
      </c>
      <c r="L125" s="36">
        <v>282.0</v>
      </c>
      <c r="M125" s="51" t="s">
        <v>27</v>
      </c>
    </row>
    <row r="126" ht="22.5" customHeight="1">
      <c r="A126" s="33" t="s">
        <v>326</v>
      </c>
      <c r="B126" s="33" t="s">
        <v>327</v>
      </c>
      <c r="C126" s="29" t="s">
        <v>328</v>
      </c>
      <c r="D126" s="33" t="s">
        <v>15</v>
      </c>
      <c r="E126" s="34" t="s">
        <v>60</v>
      </c>
      <c r="F126" s="34" t="s">
        <v>36</v>
      </c>
      <c r="G126" s="56">
        <v>45980.0</v>
      </c>
      <c r="H126" s="36">
        <v>50.0</v>
      </c>
      <c r="I126" s="52" t="s">
        <v>18</v>
      </c>
      <c r="J126" s="34" t="s">
        <v>19</v>
      </c>
      <c r="K126" s="33" t="s">
        <v>20</v>
      </c>
      <c r="L126" s="36">
        <v>80.0</v>
      </c>
      <c r="M126" s="51" t="s">
        <v>27</v>
      </c>
    </row>
    <row r="127" ht="22.5" customHeight="1">
      <c r="A127" s="33" t="s">
        <v>329</v>
      </c>
      <c r="B127" s="33" t="s">
        <v>330</v>
      </c>
      <c r="C127" s="29" t="s">
        <v>331</v>
      </c>
      <c r="D127" s="33" t="s">
        <v>30</v>
      </c>
      <c r="E127" s="34" t="s">
        <v>332</v>
      </c>
      <c r="F127" s="34" t="s">
        <v>40</v>
      </c>
      <c r="G127" s="56">
        <v>45985.0</v>
      </c>
      <c r="H127" s="36">
        <v>0.0</v>
      </c>
      <c r="I127" s="52" t="s">
        <v>44</v>
      </c>
      <c r="J127" s="34" t="s">
        <v>19</v>
      </c>
      <c r="K127" s="33" t="s">
        <v>20</v>
      </c>
      <c r="L127" s="36">
        <v>134.0</v>
      </c>
      <c r="M127" s="51" t="s">
        <v>127</v>
      </c>
    </row>
    <row r="128" ht="22.5" customHeight="1">
      <c r="A128" s="33" t="s">
        <v>333</v>
      </c>
      <c r="B128" s="33" t="s">
        <v>334</v>
      </c>
      <c r="C128" s="29" t="s">
        <v>335</v>
      </c>
      <c r="D128" s="33" t="s">
        <v>30</v>
      </c>
      <c r="E128" s="34" t="s">
        <v>16</v>
      </c>
      <c r="F128" s="34" t="s">
        <v>40</v>
      </c>
      <c r="G128" s="56">
        <v>45983.0</v>
      </c>
      <c r="H128" s="36">
        <v>50.0</v>
      </c>
      <c r="I128" s="52" t="s">
        <v>18</v>
      </c>
      <c r="J128" s="34" t="s">
        <v>19</v>
      </c>
      <c r="K128" s="33" t="s">
        <v>20</v>
      </c>
      <c r="L128" s="36">
        <v>269.0</v>
      </c>
      <c r="M128" s="51" t="s">
        <v>27</v>
      </c>
    </row>
    <row r="129" ht="22.5" customHeight="1">
      <c r="A129" s="33" t="s">
        <v>336</v>
      </c>
      <c r="B129" s="33" t="s">
        <v>337</v>
      </c>
      <c r="C129" s="29" t="s">
        <v>338</v>
      </c>
      <c r="D129" s="33" t="s">
        <v>30</v>
      </c>
      <c r="E129" s="34" t="s">
        <v>339</v>
      </c>
      <c r="F129" s="34" t="s">
        <v>40</v>
      </c>
      <c r="G129" s="56">
        <v>45967.0</v>
      </c>
      <c r="H129" s="36">
        <v>50.0</v>
      </c>
      <c r="I129" s="52" t="s">
        <v>18</v>
      </c>
      <c r="J129" s="34" t="s">
        <v>19</v>
      </c>
      <c r="K129" s="33" t="s">
        <v>20</v>
      </c>
      <c r="L129" s="36">
        <v>159.0</v>
      </c>
      <c r="M129" s="51" t="s">
        <v>27</v>
      </c>
    </row>
    <row r="130" ht="22.5" customHeight="1">
      <c r="A130" s="33" t="s">
        <v>340</v>
      </c>
      <c r="B130" s="33" t="s">
        <v>276</v>
      </c>
      <c r="C130" s="29">
        <v>9.31131809E8</v>
      </c>
      <c r="D130" s="33" t="s">
        <v>15</v>
      </c>
      <c r="E130" s="34" t="s">
        <v>60</v>
      </c>
      <c r="F130" s="34" t="s">
        <v>36</v>
      </c>
      <c r="G130" s="56">
        <v>45978.0</v>
      </c>
      <c r="H130" s="36">
        <v>50.0</v>
      </c>
      <c r="I130" s="52" t="s">
        <v>61</v>
      </c>
      <c r="J130" s="34" t="s">
        <v>19</v>
      </c>
      <c r="K130" s="33" t="s">
        <v>20</v>
      </c>
      <c r="L130" s="36">
        <v>105.0</v>
      </c>
      <c r="M130" s="51" t="s">
        <v>199</v>
      </c>
    </row>
    <row r="131" ht="22.5" customHeight="1">
      <c r="A131" s="33" t="s">
        <v>208</v>
      </c>
      <c r="B131" s="33" t="s">
        <v>209</v>
      </c>
      <c r="C131" s="29">
        <v>9.33219383E8</v>
      </c>
      <c r="D131" s="33" t="s">
        <v>15</v>
      </c>
      <c r="E131" s="34" t="s">
        <v>210</v>
      </c>
      <c r="F131" s="34" t="s">
        <v>40</v>
      </c>
      <c r="G131" s="56">
        <v>45978.0</v>
      </c>
      <c r="H131" s="36">
        <v>60.0</v>
      </c>
      <c r="I131" s="52" t="s">
        <v>18</v>
      </c>
      <c r="J131" s="34" t="s">
        <v>19</v>
      </c>
      <c r="K131" s="33" t="s">
        <v>20</v>
      </c>
      <c r="L131" s="36">
        <v>60.0</v>
      </c>
      <c r="M131" s="51" t="s">
        <v>27</v>
      </c>
    </row>
    <row r="132" ht="22.5" customHeight="1">
      <c r="A132" s="33" t="s">
        <v>77</v>
      </c>
      <c r="B132" s="33" t="s">
        <v>341</v>
      </c>
      <c r="C132" s="29" t="s">
        <v>180</v>
      </c>
      <c r="D132" s="33" t="s">
        <v>15</v>
      </c>
      <c r="E132" s="34" t="s">
        <v>35</v>
      </c>
      <c r="F132" s="34" t="s">
        <v>133</v>
      </c>
      <c r="G132" s="56">
        <v>45978.0</v>
      </c>
      <c r="H132" s="36">
        <v>50.0</v>
      </c>
      <c r="I132" s="52" t="s">
        <v>18</v>
      </c>
      <c r="J132" s="34" t="s">
        <v>19</v>
      </c>
      <c r="K132" s="33" t="s">
        <v>20</v>
      </c>
      <c r="L132" s="36">
        <v>500.0</v>
      </c>
      <c r="M132" s="51" t="s">
        <v>27</v>
      </c>
    </row>
    <row r="133" ht="22.5" customHeight="1">
      <c r="A133" s="33" t="s">
        <v>342</v>
      </c>
      <c r="B133" s="33" t="s">
        <v>343</v>
      </c>
      <c r="C133" s="29" t="s">
        <v>180</v>
      </c>
      <c r="D133" s="33" t="s">
        <v>15</v>
      </c>
      <c r="E133" s="34" t="s">
        <v>344</v>
      </c>
      <c r="F133" s="34" t="s">
        <v>133</v>
      </c>
      <c r="G133" s="56">
        <v>45978.0</v>
      </c>
      <c r="H133" s="36">
        <v>100.0</v>
      </c>
      <c r="I133" s="52" t="s">
        <v>18</v>
      </c>
      <c r="J133" s="34" t="s">
        <v>19</v>
      </c>
      <c r="K133" s="33" t="s">
        <v>20</v>
      </c>
      <c r="L133" s="36">
        <v>1100.0</v>
      </c>
      <c r="M133" s="51" t="s">
        <v>199</v>
      </c>
    </row>
    <row r="134" ht="22.5" customHeight="1">
      <c r="A134" s="33" t="s">
        <v>345</v>
      </c>
      <c r="B134" s="33" t="s">
        <v>346</v>
      </c>
      <c r="C134" s="29" t="s">
        <v>347</v>
      </c>
      <c r="D134" s="33" t="s">
        <v>30</v>
      </c>
      <c r="E134" s="34" t="s">
        <v>39</v>
      </c>
      <c r="F134" s="34" t="s">
        <v>40</v>
      </c>
      <c r="G134" s="56">
        <v>45978.0</v>
      </c>
      <c r="H134" s="36">
        <v>0.0</v>
      </c>
      <c r="I134" s="52" t="s">
        <v>47</v>
      </c>
      <c r="J134" s="34" t="s">
        <v>19</v>
      </c>
      <c r="K134" s="33" t="s">
        <v>20</v>
      </c>
      <c r="L134" s="36">
        <v>579.0</v>
      </c>
      <c r="M134" s="51" t="s">
        <v>27</v>
      </c>
    </row>
    <row r="135" ht="22.5" customHeight="1">
      <c r="A135" s="33" t="s">
        <v>348</v>
      </c>
      <c r="B135" s="33" t="s">
        <v>349</v>
      </c>
      <c r="C135" s="29" t="s">
        <v>350</v>
      </c>
      <c r="D135" s="33" t="s">
        <v>15</v>
      </c>
      <c r="E135" s="34" t="s">
        <v>60</v>
      </c>
      <c r="F135" s="34" t="s">
        <v>36</v>
      </c>
      <c r="G135" s="56">
        <v>45982.0</v>
      </c>
      <c r="H135" s="36">
        <v>0.0</v>
      </c>
      <c r="I135" s="52" t="s">
        <v>18</v>
      </c>
      <c r="J135" s="34" t="s">
        <v>351</v>
      </c>
      <c r="K135" s="33" t="s">
        <v>20</v>
      </c>
      <c r="L135" s="36">
        <v>150.0</v>
      </c>
      <c r="M135" s="51" t="s">
        <v>27</v>
      </c>
    </row>
    <row r="136" ht="22.5" customHeight="1">
      <c r="A136" s="33" t="s">
        <v>216</v>
      </c>
      <c r="B136" s="33" t="s">
        <v>352</v>
      </c>
      <c r="C136" s="29" t="s">
        <v>353</v>
      </c>
      <c r="D136" s="33" t="s">
        <v>15</v>
      </c>
      <c r="E136" s="34" t="s">
        <v>226</v>
      </c>
      <c r="F136" s="34" t="s">
        <v>40</v>
      </c>
      <c r="G136" s="56">
        <v>45982.0</v>
      </c>
      <c r="H136" s="36">
        <v>0.0</v>
      </c>
      <c r="I136" s="52" t="s">
        <v>61</v>
      </c>
      <c r="J136" s="34" t="s">
        <v>351</v>
      </c>
      <c r="K136" s="33" t="s">
        <v>20</v>
      </c>
      <c r="L136" s="36">
        <v>89.0</v>
      </c>
      <c r="M136" s="51" t="s">
        <v>27</v>
      </c>
    </row>
    <row r="137" ht="22.5" customHeight="1">
      <c r="A137" s="33" t="s">
        <v>348</v>
      </c>
      <c r="B137" s="33" t="s">
        <v>120</v>
      </c>
      <c r="C137" s="29">
        <v>9.01036361E8</v>
      </c>
      <c r="D137" s="33" t="s">
        <v>15</v>
      </c>
      <c r="E137" s="34" t="s">
        <v>210</v>
      </c>
      <c r="F137" s="34" t="s">
        <v>40</v>
      </c>
      <c r="G137" s="56">
        <v>45982.0</v>
      </c>
      <c r="H137" s="36">
        <v>50.0</v>
      </c>
      <c r="I137" s="52" t="s">
        <v>18</v>
      </c>
      <c r="J137" s="34" t="s">
        <v>351</v>
      </c>
      <c r="K137" s="33" t="s">
        <v>20</v>
      </c>
      <c r="L137" s="36">
        <v>70.0</v>
      </c>
      <c r="M137" s="51" t="s">
        <v>27</v>
      </c>
    </row>
    <row r="138" ht="22.5" customHeight="1">
      <c r="A138" s="33" t="s">
        <v>354</v>
      </c>
      <c r="B138" s="33" t="s">
        <v>355</v>
      </c>
      <c r="C138" s="29" t="s">
        <v>356</v>
      </c>
      <c r="D138" s="33" t="s">
        <v>15</v>
      </c>
      <c r="E138" s="34" t="s">
        <v>31</v>
      </c>
      <c r="F138" s="34" t="s">
        <v>17</v>
      </c>
      <c r="G138" s="56">
        <v>45982.0</v>
      </c>
      <c r="H138" s="36">
        <v>0.0</v>
      </c>
      <c r="I138" s="52" t="s">
        <v>47</v>
      </c>
      <c r="J138" s="34" t="s">
        <v>351</v>
      </c>
      <c r="K138" s="33" t="s">
        <v>20</v>
      </c>
      <c r="L138" s="36">
        <v>180.0</v>
      </c>
      <c r="M138" s="51" t="s">
        <v>27</v>
      </c>
    </row>
    <row r="139" ht="22.5" customHeight="1">
      <c r="A139" s="33" t="s">
        <v>314</v>
      </c>
      <c r="B139" s="33" t="s">
        <v>357</v>
      </c>
      <c r="C139" s="29" t="s">
        <v>358</v>
      </c>
      <c r="D139" s="33" t="s">
        <v>30</v>
      </c>
      <c r="E139" s="34" t="s">
        <v>31</v>
      </c>
      <c r="F139" s="34" t="s">
        <v>17</v>
      </c>
      <c r="G139" s="56">
        <v>45982.0</v>
      </c>
      <c r="H139" s="36">
        <v>0.0</v>
      </c>
      <c r="I139" s="52" t="s">
        <v>18</v>
      </c>
      <c r="J139" s="34" t="s">
        <v>351</v>
      </c>
      <c r="K139" s="33" t="s">
        <v>20</v>
      </c>
      <c r="L139" s="36">
        <v>300.0</v>
      </c>
      <c r="M139" s="51" t="s">
        <v>27</v>
      </c>
    </row>
    <row r="140" ht="22.5" customHeight="1">
      <c r="A140" s="33" t="s">
        <v>359</v>
      </c>
      <c r="B140" s="33" t="s">
        <v>238</v>
      </c>
      <c r="C140" s="29" t="s">
        <v>360</v>
      </c>
      <c r="D140" s="33" t="s">
        <v>15</v>
      </c>
      <c r="E140" s="34" t="s">
        <v>31</v>
      </c>
      <c r="F140" s="34" t="s">
        <v>17</v>
      </c>
      <c r="G140" s="56">
        <v>45983.0</v>
      </c>
      <c r="H140" s="36">
        <v>0.0</v>
      </c>
      <c r="I140" s="52" t="s">
        <v>47</v>
      </c>
      <c r="J140" s="34" t="s">
        <v>351</v>
      </c>
      <c r="K140" s="33" t="s">
        <v>20</v>
      </c>
      <c r="L140" s="36">
        <v>180.0</v>
      </c>
      <c r="M140" s="51" t="s">
        <v>21</v>
      </c>
    </row>
    <row r="141" ht="22.5" customHeight="1">
      <c r="A141" s="33" t="s">
        <v>160</v>
      </c>
      <c r="B141" s="33" t="s">
        <v>161</v>
      </c>
      <c r="C141" s="29">
        <v>9.3857844E8</v>
      </c>
      <c r="D141" s="33" t="s">
        <v>15</v>
      </c>
      <c r="E141" s="34" t="s">
        <v>55</v>
      </c>
      <c r="F141" s="34" t="s">
        <v>40</v>
      </c>
      <c r="G141" s="56">
        <v>45983.0</v>
      </c>
      <c r="H141" s="36">
        <v>60.0</v>
      </c>
      <c r="I141" s="52" t="s">
        <v>18</v>
      </c>
      <c r="J141" s="34" t="s">
        <v>351</v>
      </c>
      <c r="K141" s="33" t="s">
        <v>20</v>
      </c>
      <c r="L141" s="36">
        <v>0.0</v>
      </c>
      <c r="M141" s="51" t="s">
        <v>27</v>
      </c>
    </row>
    <row r="142" ht="22.5" customHeight="1">
      <c r="A142" s="33" t="s">
        <v>361</v>
      </c>
      <c r="B142" s="33" t="s">
        <v>362</v>
      </c>
      <c r="C142" s="29">
        <v>9.47400808E8</v>
      </c>
      <c r="D142" s="33" t="s">
        <v>15</v>
      </c>
      <c r="E142" s="34" t="s">
        <v>60</v>
      </c>
      <c r="F142" s="34" t="s">
        <v>36</v>
      </c>
      <c r="G142" s="56">
        <v>45983.0</v>
      </c>
      <c r="H142" s="36">
        <v>50.0</v>
      </c>
      <c r="I142" s="52" t="s">
        <v>61</v>
      </c>
      <c r="J142" s="34" t="s">
        <v>351</v>
      </c>
      <c r="K142" s="33" t="s">
        <v>20</v>
      </c>
      <c r="L142" s="36">
        <v>105.0</v>
      </c>
      <c r="M142" s="51" t="s">
        <v>27</v>
      </c>
    </row>
    <row r="143" ht="22.5" customHeight="1">
      <c r="A143" s="33" t="s">
        <v>363</v>
      </c>
      <c r="B143" s="33" t="s">
        <v>257</v>
      </c>
      <c r="C143" s="29">
        <v>9.44764747E8</v>
      </c>
      <c r="D143" s="33" t="s">
        <v>15</v>
      </c>
      <c r="E143" s="34" t="s">
        <v>262</v>
      </c>
      <c r="F143" s="34" t="s">
        <v>40</v>
      </c>
      <c r="G143" s="56">
        <v>45983.0</v>
      </c>
      <c r="H143" s="36">
        <v>50.0</v>
      </c>
      <c r="I143" s="52" t="s">
        <v>47</v>
      </c>
      <c r="J143" s="34" t="s">
        <v>351</v>
      </c>
      <c r="K143" s="33" t="s">
        <v>20</v>
      </c>
      <c r="L143" s="36">
        <v>800.0</v>
      </c>
      <c r="M143" s="51" t="s">
        <v>27</v>
      </c>
    </row>
    <row r="144" ht="22.5" customHeight="1">
      <c r="A144" s="33" t="s">
        <v>69</v>
      </c>
      <c r="B144" s="33" t="s">
        <v>364</v>
      </c>
      <c r="C144" s="29">
        <v>9.49885824E8</v>
      </c>
      <c r="D144" s="33" t="s">
        <v>15</v>
      </c>
      <c r="E144" s="34" t="s">
        <v>31</v>
      </c>
      <c r="F144" s="34" t="s">
        <v>17</v>
      </c>
      <c r="G144" s="56">
        <v>45983.0</v>
      </c>
      <c r="H144" s="36">
        <v>50.0</v>
      </c>
      <c r="I144" s="52" t="s">
        <v>18</v>
      </c>
      <c r="J144" s="34" t="s">
        <v>351</v>
      </c>
      <c r="K144" s="33" t="s">
        <v>20</v>
      </c>
      <c r="L144" s="36">
        <v>30.0</v>
      </c>
      <c r="M144" s="51" t="s">
        <v>27</v>
      </c>
    </row>
    <row r="145" ht="22.5" customHeight="1">
      <c r="A145" s="33" t="s">
        <v>365</v>
      </c>
      <c r="B145" s="33" t="s">
        <v>116</v>
      </c>
      <c r="C145" s="29" t="s">
        <v>180</v>
      </c>
      <c r="D145" s="33" t="s">
        <v>15</v>
      </c>
      <c r="E145" s="34" t="s">
        <v>366</v>
      </c>
      <c r="F145" s="34" t="s">
        <v>40</v>
      </c>
      <c r="G145" s="56">
        <v>45983.0</v>
      </c>
      <c r="H145" s="36">
        <v>600.0</v>
      </c>
      <c r="I145" s="52" t="s">
        <v>47</v>
      </c>
      <c r="J145" s="34" t="s">
        <v>351</v>
      </c>
      <c r="K145" s="33" t="s">
        <v>20</v>
      </c>
      <c r="L145" s="36">
        <v>390.0</v>
      </c>
      <c r="M145" s="51" t="s">
        <v>21</v>
      </c>
    </row>
    <row r="146" ht="22.5" customHeight="1">
      <c r="A146" s="33" t="s">
        <v>367</v>
      </c>
      <c r="B146" s="33" t="s">
        <v>368</v>
      </c>
      <c r="C146" s="29">
        <v>9.12815385E8</v>
      </c>
      <c r="D146" s="33" t="s">
        <v>15</v>
      </c>
      <c r="E146" s="34" t="s">
        <v>60</v>
      </c>
      <c r="F146" s="34" t="s">
        <v>36</v>
      </c>
      <c r="G146" s="56">
        <v>45985.0</v>
      </c>
      <c r="H146" s="36">
        <v>220.0</v>
      </c>
      <c r="I146" s="52" t="s">
        <v>61</v>
      </c>
      <c r="J146" s="34" t="s">
        <v>351</v>
      </c>
      <c r="K146" s="33" t="s">
        <v>20</v>
      </c>
      <c r="L146" s="36">
        <v>0.0</v>
      </c>
      <c r="M146" s="51" t="s">
        <v>27</v>
      </c>
    </row>
    <row r="147" ht="22.5" customHeight="1">
      <c r="A147" s="33" t="s">
        <v>369</v>
      </c>
      <c r="B147" s="33" t="s">
        <v>364</v>
      </c>
      <c r="C147" s="29">
        <v>9.13463832E8</v>
      </c>
      <c r="D147" s="33" t="s">
        <v>15</v>
      </c>
      <c r="E147" s="34" t="s">
        <v>64</v>
      </c>
      <c r="F147" s="34" t="s">
        <v>40</v>
      </c>
      <c r="G147" s="56">
        <v>45985.0</v>
      </c>
      <c r="H147" s="36">
        <v>80.0</v>
      </c>
      <c r="I147" s="52" t="s">
        <v>75</v>
      </c>
      <c r="J147" s="34" t="s">
        <v>351</v>
      </c>
      <c r="K147" s="33" t="s">
        <v>20</v>
      </c>
      <c r="L147" s="36">
        <v>0.0</v>
      </c>
      <c r="M147" s="51" t="s">
        <v>27</v>
      </c>
    </row>
    <row r="148" ht="22.5" customHeight="1">
      <c r="A148" s="33" t="s">
        <v>42</v>
      </c>
      <c r="B148" s="33" t="s">
        <v>169</v>
      </c>
      <c r="C148" s="29" t="s">
        <v>180</v>
      </c>
      <c r="D148" s="33" t="s">
        <v>15</v>
      </c>
      <c r="E148" s="34" t="s">
        <v>55</v>
      </c>
      <c r="F148" s="34" t="s">
        <v>40</v>
      </c>
      <c r="G148" s="56">
        <v>45985.0</v>
      </c>
      <c r="H148" s="36">
        <v>120.0</v>
      </c>
      <c r="I148" s="52" t="s">
        <v>47</v>
      </c>
      <c r="J148" s="34" t="s">
        <v>351</v>
      </c>
      <c r="K148" s="33" t="s">
        <v>20</v>
      </c>
      <c r="L148" s="36">
        <v>0.0</v>
      </c>
      <c r="M148" s="51" t="s">
        <v>21</v>
      </c>
    </row>
    <row r="149" ht="22.5" customHeight="1">
      <c r="A149" s="33" t="s">
        <v>69</v>
      </c>
      <c r="B149" s="33" t="s">
        <v>370</v>
      </c>
      <c r="C149" s="29">
        <v>9.78397277E8</v>
      </c>
      <c r="D149" s="33" t="s">
        <v>15</v>
      </c>
      <c r="E149" s="34" t="s">
        <v>60</v>
      </c>
      <c r="F149" s="34" t="s">
        <v>36</v>
      </c>
      <c r="G149" s="56">
        <v>45985.0</v>
      </c>
      <c r="H149" s="36">
        <v>50.0</v>
      </c>
      <c r="I149" s="52" t="s">
        <v>18</v>
      </c>
      <c r="J149" s="34" t="s">
        <v>351</v>
      </c>
      <c r="K149" s="33" t="s">
        <v>20</v>
      </c>
      <c r="L149" s="36">
        <v>100.0</v>
      </c>
      <c r="M149" s="51" t="s">
        <v>27</v>
      </c>
    </row>
    <row r="150" ht="22.5" customHeight="1">
      <c r="A150" s="33" t="s">
        <v>371</v>
      </c>
      <c r="B150" s="33" t="s">
        <v>372</v>
      </c>
      <c r="C150" s="29">
        <v>9.55360356E8</v>
      </c>
      <c r="D150" s="33" t="s">
        <v>15</v>
      </c>
      <c r="E150" s="34" t="s">
        <v>55</v>
      </c>
      <c r="F150" s="34" t="s">
        <v>40</v>
      </c>
      <c r="G150" s="56">
        <v>45985.0</v>
      </c>
      <c r="H150" s="36">
        <v>0.0</v>
      </c>
      <c r="I150" s="52" t="s">
        <v>18</v>
      </c>
      <c r="J150" s="34" t="s">
        <v>351</v>
      </c>
      <c r="K150" s="33" t="s">
        <v>20</v>
      </c>
      <c r="L150" s="36">
        <v>120.0</v>
      </c>
      <c r="M150" s="51" t="s">
        <v>27</v>
      </c>
    </row>
    <row r="151" ht="22.5" customHeight="1">
      <c r="A151" s="33" t="s">
        <v>261</v>
      </c>
      <c r="B151" s="33" t="s">
        <v>84</v>
      </c>
      <c r="C151" s="29" t="s">
        <v>180</v>
      </c>
      <c r="D151" s="33" t="s">
        <v>15</v>
      </c>
      <c r="E151" s="34" t="s">
        <v>55</v>
      </c>
      <c r="F151" s="34" t="s">
        <v>40</v>
      </c>
      <c r="G151" s="56">
        <v>45986.0</v>
      </c>
      <c r="H151" s="36">
        <v>240.0</v>
      </c>
      <c r="I151" s="52" t="s">
        <v>18</v>
      </c>
      <c r="J151" s="34" t="s">
        <v>351</v>
      </c>
      <c r="K151" s="33" t="s">
        <v>20</v>
      </c>
      <c r="L151" s="36">
        <v>0.0</v>
      </c>
      <c r="M151" s="51" t="s">
        <v>127</v>
      </c>
    </row>
    <row r="152" ht="22.5" customHeight="1">
      <c r="A152" s="33" t="s">
        <v>373</v>
      </c>
      <c r="B152" s="33" t="s">
        <v>374</v>
      </c>
      <c r="C152" s="29">
        <v>9.70339388E8</v>
      </c>
      <c r="D152" s="33" t="s">
        <v>15</v>
      </c>
      <c r="E152" s="34" t="s">
        <v>39</v>
      </c>
      <c r="F152" s="34" t="s">
        <v>40</v>
      </c>
      <c r="G152" s="56">
        <v>45986.0</v>
      </c>
      <c r="H152" s="36">
        <v>1279.0</v>
      </c>
      <c r="I152" s="52" t="s">
        <v>18</v>
      </c>
      <c r="J152" s="34" t="s">
        <v>351</v>
      </c>
      <c r="K152" s="33" t="s">
        <v>20</v>
      </c>
      <c r="L152" s="36">
        <v>699.0</v>
      </c>
      <c r="M152" s="51" t="s">
        <v>27</v>
      </c>
    </row>
    <row r="153" ht="22.5" customHeight="1">
      <c r="A153" s="33" t="s">
        <v>69</v>
      </c>
      <c r="B153" s="33" t="s">
        <v>143</v>
      </c>
      <c r="C153" s="57"/>
      <c r="D153" s="33" t="s">
        <v>15</v>
      </c>
      <c r="E153" s="34" t="s">
        <v>39</v>
      </c>
      <c r="F153" s="34" t="s">
        <v>40</v>
      </c>
      <c r="G153" s="56">
        <v>45986.0</v>
      </c>
      <c r="H153" s="36">
        <v>1134.0</v>
      </c>
      <c r="I153" s="52" t="s">
        <v>18</v>
      </c>
      <c r="J153" s="34" t="s">
        <v>351</v>
      </c>
      <c r="K153" s="33" t="s">
        <v>20</v>
      </c>
      <c r="L153" s="36">
        <v>0.0</v>
      </c>
      <c r="M153" s="51" t="s">
        <v>21</v>
      </c>
    </row>
    <row r="154" ht="22.5" customHeight="1">
      <c r="A154" s="33" t="s">
        <v>375</v>
      </c>
      <c r="B154" s="33" t="s">
        <v>376</v>
      </c>
      <c r="C154" s="29">
        <v>9.07870318E8</v>
      </c>
      <c r="D154" s="33" t="s">
        <v>15</v>
      </c>
      <c r="E154" s="34" t="s">
        <v>106</v>
      </c>
      <c r="F154" s="34" t="s">
        <v>133</v>
      </c>
      <c r="G154" s="56">
        <v>45987.0</v>
      </c>
      <c r="H154" s="36">
        <v>50.0</v>
      </c>
      <c r="I154" s="52" t="s">
        <v>47</v>
      </c>
      <c r="J154" s="34" t="s">
        <v>351</v>
      </c>
      <c r="K154" s="33" t="s">
        <v>20</v>
      </c>
      <c r="L154" s="36">
        <v>500.0</v>
      </c>
      <c r="M154" s="51" t="s">
        <v>199</v>
      </c>
    </row>
    <row r="155" ht="22.5" customHeight="1">
      <c r="A155" s="33" t="s">
        <v>377</v>
      </c>
      <c r="B155" s="33" t="s">
        <v>305</v>
      </c>
      <c r="C155" s="29">
        <v>9.55239411E8</v>
      </c>
      <c r="D155" s="33" t="s">
        <v>15</v>
      </c>
      <c r="E155" s="34" t="s">
        <v>39</v>
      </c>
      <c r="F155" s="34" t="s">
        <v>40</v>
      </c>
      <c r="G155" s="56">
        <v>45987.0</v>
      </c>
      <c r="H155" s="36">
        <v>50.0</v>
      </c>
      <c r="I155" s="52" t="s">
        <v>61</v>
      </c>
      <c r="J155" s="34" t="s">
        <v>351</v>
      </c>
      <c r="K155" s="33" t="s">
        <v>20</v>
      </c>
      <c r="L155" s="36">
        <v>450.0</v>
      </c>
      <c r="M155" s="51" t="s">
        <v>27</v>
      </c>
    </row>
    <row r="156" ht="22.5" customHeight="1">
      <c r="A156" s="33" t="s">
        <v>378</v>
      </c>
      <c r="B156" s="33" t="s">
        <v>379</v>
      </c>
      <c r="C156" s="29">
        <v>9.07178291E8</v>
      </c>
      <c r="D156" s="33" t="s">
        <v>15</v>
      </c>
      <c r="E156" s="34" t="s">
        <v>55</v>
      </c>
      <c r="F156" s="34" t="s">
        <v>40</v>
      </c>
      <c r="G156" s="56">
        <v>45987.0</v>
      </c>
      <c r="H156" s="36">
        <v>0.0</v>
      </c>
      <c r="I156" s="52" t="s">
        <v>18</v>
      </c>
      <c r="J156" s="34" t="s">
        <v>351</v>
      </c>
      <c r="K156" s="33" t="s">
        <v>20</v>
      </c>
      <c r="L156" s="36">
        <v>35.0</v>
      </c>
      <c r="M156" s="51" t="s">
        <v>27</v>
      </c>
    </row>
    <row r="157" ht="22.5" customHeight="1">
      <c r="A157" s="33" t="s">
        <v>380</v>
      </c>
      <c r="B157" s="33" t="s">
        <v>30</v>
      </c>
      <c r="C157" s="29" t="s">
        <v>180</v>
      </c>
      <c r="D157" s="33" t="s">
        <v>15</v>
      </c>
      <c r="E157" s="34" t="s">
        <v>31</v>
      </c>
      <c r="F157" s="34" t="s">
        <v>17</v>
      </c>
      <c r="G157" s="56">
        <v>45987.0</v>
      </c>
      <c r="H157" s="36">
        <v>0.0</v>
      </c>
      <c r="I157" s="52" t="s">
        <v>47</v>
      </c>
      <c r="J157" s="34" t="s">
        <v>351</v>
      </c>
      <c r="K157" s="33" t="s">
        <v>20</v>
      </c>
      <c r="L157" s="36">
        <v>200.0</v>
      </c>
      <c r="M157" s="51" t="s">
        <v>21</v>
      </c>
    </row>
    <row r="158" ht="22.5" customHeight="1">
      <c r="A158" s="33" t="s">
        <v>94</v>
      </c>
      <c r="B158" s="33" t="s">
        <v>381</v>
      </c>
      <c r="C158" s="29" t="s">
        <v>382</v>
      </c>
      <c r="D158" s="33" t="s">
        <v>15</v>
      </c>
      <c r="E158" s="34" t="s">
        <v>383</v>
      </c>
      <c r="F158" s="34" t="s">
        <v>36</v>
      </c>
      <c r="G158" s="56">
        <v>45987.0</v>
      </c>
      <c r="H158" s="36">
        <v>0.0</v>
      </c>
      <c r="I158" s="52" t="s">
        <v>18</v>
      </c>
      <c r="J158" s="34" t="s">
        <v>351</v>
      </c>
      <c r="K158" s="33" t="s">
        <v>20</v>
      </c>
      <c r="L158" s="36">
        <v>400.0</v>
      </c>
      <c r="M158" s="51" t="s">
        <v>21</v>
      </c>
    </row>
    <row r="159" ht="22.5" customHeight="1">
      <c r="A159" s="33" t="s">
        <v>86</v>
      </c>
      <c r="B159" s="33" t="s">
        <v>182</v>
      </c>
      <c r="C159" s="29">
        <v>9.77368436E8</v>
      </c>
      <c r="D159" s="33" t="s">
        <v>15</v>
      </c>
      <c r="E159" s="34" t="s">
        <v>31</v>
      </c>
      <c r="F159" s="34" t="s">
        <v>32</v>
      </c>
      <c r="G159" s="56">
        <v>45988.0</v>
      </c>
      <c r="H159" s="36">
        <v>0.0</v>
      </c>
      <c r="I159" s="52" t="s">
        <v>47</v>
      </c>
      <c r="J159" s="34" t="s">
        <v>351</v>
      </c>
      <c r="K159" s="33" t="s">
        <v>20</v>
      </c>
      <c r="L159" s="36">
        <v>378.0</v>
      </c>
      <c r="M159" s="51" t="s">
        <v>127</v>
      </c>
    </row>
    <row r="160" ht="22.5" customHeight="1">
      <c r="A160" s="33" t="s">
        <v>384</v>
      </c>
      <c r="B160" s="33" t="s">
        <v>296</v>
      </c>
      <c r="C160" s="29">
        <v>9.77742341E8</v>
      </c>
      <c r="D160" s="33" t="s">
        <v>15</v>
      </c>
      <c r="E160" s="34" t="s">
        <v>55</v>
      </c>
      <c r="F160" s="34" t="s">
        <v>40</v>
      </c>
      <c r="G160" s="56">
        <v>45988.0</v>
      </c>
      <c r="H160" s="36">
        <v>0.0</v>
      </c>
      <c r="I160" s="52" t="s">
        <v>18</v>
      </c>
      <c r="J160" s="34" t="s">
        <v>351</v>
      </c>
      <c r="K160" s="33" t="s">
        <v>20</v>
      </c>
      <c r="L160" s="60" t="s">
        <v>385</v>
      </c>
      <c r="M160" s="51" t="s">
        <v>127</v>
      </c>
    </row>
    <row r="161" ht="22.5" customHeight="1">
      <c r="A161" s="33" t="s">
        <v>386</v>
      </c>
      <c r="B161" s="33" t="s">
        <v>387</v>
      </c>
      <c r="C161" s="29" t="s">
        <v>180</v>
      </c>
      <c r="D161" s="33" t="s">
        <v>15</v>
      </c>
      <c r="E161" s="34" t="s">
        <v>31</v>
      </c>
      <c r="F161" s="34" t="s">
        <v>17</v>
      </c>
      <c r="G161" s="56">
        <v>45989.0</v>
      </c>
      <c r="H161" s="36">
        <v>0.0</v>
      </c>
      <c r="I161" s="52" t="s">
        <v>47</v>
      </c>
      <c r="J161" s="34" t="s">
        <v>351</v>
      </c>
      <c r="K161" s="33" t="s">
        <v>20</v>
      </c>
      <c r="L161" s="36">
        <v>180.0</v>
      </c>
      <c r="M161" s="51" t="s">
        <v>27</v>
      </c>
    </row>
    <row r="162" ht="22.5" customHeight="1">
      <c r="A162" s="33" t="s">
        <v>388</v>
      </c>
      <c r="B162" s="33" t="s">
        <v>389</v>
      </c>
      <c r="C162" s="29" t="s">
        <v>180</v>
      </c>
      <c r="D162" s="33" t="s">
        <v>15</v>
      </c>
      <c r="E162" s="34" t="s">
        <v>390</v>
      </c>
      <c r="F162" s="34" t="s">
        <v>40</v>
      </c>
      <c r="G162" s="56">
        <v>45989.0</v>
      </c>
      <c r="H162" s="36">
        <v>50.0</v>
      </c>
      <c r="I162" s="52" t="s">
        <v>18</v>
      </c>
      <c r="J162" s="34" t="s">
        <v>351</v>
      </c>
      <c r="K162" s="33" t="s">
        <v>20</v>
      </c>
      <c r="L162" s="36">
        <v>310.0</v>
      </c>
      <c r="M162" s="51" t="s">
        <v>27</v>
      </c>
    </row>
    <row r="163" ht="22.5" customHeight="1">
      <c r="A163" s="33" t="s">
        <v>388</v>
      </c>
      <c r="B163" s="33" t="s">
        <v>389</v>
      </c>
      <c r="C163" s="29" t="s">
        <v>180</v>
      </c>
      <c r="D163" s="33" t="s">
        <v>15</v>
      </c>
      <c r="E163" s="34" t="s">
        <v>55</v>
      </c>
      <c r="F163" s="34" t="s">
        <v>17</v>
      </c>
      <c r="G163" s="56">
        <v>45989.0</v>
      </c>
      <c r="H163" s="36">
        <v>0.0</v>
      </c>
      <c r="I163" s="52" t="s">
        <v>18</v>
      </c>
      <c r="J163" s="34" t="s">
        <v>351</v>
      </c>
      <c r="K163" s="33" t="s">
        <v>20</v>
      </c>
      <c r="L163" s="36">
        <v>45.0</v>
      </c>
      <c r="M163" s="51" t="s">
        <v>27</v>
      </c>
    </row>
    <row r="164" ht="22.5" customHeight="1">
      <c r="A164" s="33" t="s">
        <v>245</v>
      </c>
      <c r="B164" s="33" t="s">
        <v>391</v>
      </c>
      <c r="C164" s="29">
        <v>9.12235063E8</v>
      </c>
      <c r="D164" s="33" t="s">
        <v>30</v>
      </c>
      <c r="E164" s="34" t="s">
        <v>35</v>
      </c>
      <c r="F164" s="34" t="s">
        <v>133</v>
      </c>
      <c r="G164" s="56">
        <v>45989.0</v>
      </c>
      <c r="H164" s="36">
        <v>50.0</v>
      </c>
      <c r="I164" s="52" t="s">
        <v>18</v>
      </c>
      <c r="J164" s="34" t="s">
        <v>351</v>
      </c>
      <c r="K164" s="33" t="s">
        <v>20</v>
      </c>
      <c r="L164" s="36">
        <v>500.0</v>
      </c>
      <c r="M164" s="51" t="s">
        <v>27</v>
      </c>
    </row>
    <row r="165" ht="22.5" customHeight="1">
      <c r="A165" s="33" t="s">
        <v>261</v>
      </c>
      <c r="B165" s="33" t="s">
        <v>84</v>
      </c>
      <c r="C165" s="29" t="s">
        <v>180</v>
      </c>
      <c r="D165" s="33" t="s">
        <v>15</v>
      </c>
      <c r="E165" s="34" t="s">
        <v>392</v>
      </c>
      <c r="F165" s="34" t="s">
        <v>36</v>
      </c>
      <c r="G165" s="56">
        <v>45990.0</v>
      </c>
      <c r="H165" s="36">
        <v>0.0</v>
      </c>
      <c r="I165" s="52" t="s">
        <v>61</v>
      </c>
      <c r="J165" s="34" t="s">
        <v>351</v>
      </c>
      <c r="K165" s="33" t="s">
        <v>20</v>
      </c>
      <c r="L165" s="36">
        <v>80.0</v>
      </c>
      <c r="M165" s="51" t="s">
        <v>21</v>
      </c>
    </row>
    <row r="166" ht="22.5" customHeight="1">
      <c r="A166" s="33" t="s">
        <v>83</v>
      </c>
      <c r="B166" s="33" t="s">
        <v>84</v>
      </c>
      <c r="C166" s="29" t="s">
        <v>180</v>
      </c>
      <c r="D166" s="33" t="s">
        <v>15</v>
      </c>
      <c r="E166" s="34" t="s">
        <v>262</v>
      </c>
      <c r="F166" s="34" t="s">
        <v>40</v>
      </c>
      <c r="G166" s="56">
        <v>45990.0</v>
      </c>
      <c r="H166" s="36">
        <v>0.0</v>
      </c>
      <c r="I166" s="52" t="s">
        <v>61</v>
      </c>
      <c r="J166" s="34" t="s">
        <v>351</v>
      </c>
      <c r="K166" s="33" t="s">
        <v>20</v>
      </c>
      <c r="L166" s="36">
        <v>190.0</v>
      </c>
      <c r="M166" s="51" t="s">
        <v>127</v>
      </c>
    </row>
    <row r="167" ht="22.5" customHeight="1">
      <c r="A167" s="33" t="s">
        <v>393</v>
      </c>
      <c r="B167" s="33" t="s">
        <v>282</v>
      </c>
      <c r="C167" s="29">
        <v>9.02892392E8</v>
      </c>
      <c r="D167" s="33" t="s">
        <v>15</v>
      </c>
      <c r="E167" s="34" t="s">
        <v>60</v>
      </c>
      <c r="F167" s="34" t="s">
        <v>36</v>
      </c>
      <c r="G167" s="56">
        <v>45990.0</v>
      </c>
      <c r="H167" s="36">
        <v>50.0</v>
      </c>
      <c r="I167" s="52" t="s">
        <v>18</v>
      </c>
      <c r="J167" s="34" t="s">
        <v>351</v>
      </c>
      <c r="K167" s="33" t="s">
        <v>20</v>
      </c>
      <c r="L167" s="36">
        <v>105.0</v>
      </c>
      <c r="M167" s="51" t="s">
        <v>21</v>
      </c>
    </row>
    <row r="168" ht="22.5" customHeight="1">
      <c r="A168" s="33" t="s">
        <v>394</v>
      </c>
      <c r="B168" s="33" t="s">
        <v>116</v>
      </c>
      <c r="C168" s="29" t="s">
        <v>180</v>
      </c>
      <c r="D168" s="33" t="s">
        <v>15</v>
      </c>
      <c r="E168" s="34" t="s">
        <v>60</v>
      </c>
      <c r="F168" s="34" t="s">
        <v>36</v>
      </c>
      <c r="G168" s="56">
        <v>45990.0</v>
      </c>
      <c r="H168" s="36">
        <v>155.0</v>
      </c>
      <c r="I168" s="52" t="s">
        <v>18</v>
      </c>
      <c r="J168" s="34" t="s">
        <v>351</v>
      </c>
      <c r="K168" s="33" t="s">
        <v>20</v>
      </c>
      <c r="L168" s="36">
        <v>0.0</v>
      </c>
      <c r="M168" s="51" t="s">
        <v>27</v>
      </c>
    </row>
    <row r="169" ht="22.5" customHeight="1">
      <c r="A169" s="33" t="s">
        <v>320</v>
      </c>
      <c r="B169" s="33" t="s">
        <v>395</v>
      </c>
      <c r="C169" s="29">
        <v>9.8773016E8</v>
      </c>
      <c r="D169" s="33" t="s">
        <v>15</v>
      </c>
      <c r="E169" s="34" t="s">
        <v>16</v>
      </c>
      <c r="F169" s="34" t="s">
        <v>17</v>
      </c>
      <c r="G169" s="56">
        <v>45990.0</v>
      </c>
      <c r="H169" s="36">
        <v>50.0</v>
      </c>
      <c r="I169" s="52" t="s">
        <v>47</v>
      </c>
      <c r="J169" s="34" t="s">
        <v>351</v>
      </c>
      <c r="K169" s="33" t="s">
        <v>20</v>
      </c>
      <c r="L169" s="36">
        <v>119.0</v>
      </c>
      <c r="M169" s="51" t="s">
        <v>27</v>
      </c>
    </row>
    <row r="170" ht="22.5" customHeight="1">
      <c r="A170" s="33" t="s">
        <v>396</v>
      </c>
      <c r="B170" s="33" t="s">
        <v>397</v>
      </c>
      <c r="C170" s="29">
        <v>9.30652608E8</v>
      </c>
      <c r="D170" s="33" t="s">
        <v>15</v>
      </c>
      <c r="E170" s="34" t="s">
        <v>16</v>
      </c>
      <c r="F170" s="34" t="s">
        <v>17</v>
      </c>
      <c r="G170" s="56">
        <v>45990.0</v>
      </c>
      <c r="H170" s="36">
        <v>100.0</v>
      </c>
      <c r="I170" s="52" t="s">
        <v>61</v>
      </c>
      <c r="J170" s="34" t="s">
        <v>351</v>
      </c>
      <c r="K170" s="33" t="s">
        <v>20</v>
      </c>
      <c r="L170" s="36">
        <v>160.0</v>
      </c>
      <c r="M170" s="51" t="s">
        <v>27</v>
      </c>
    </row>
    <row r="171" ht="22.5" customHeight="1">
      <c r="A171" s="33" t="s">
        <v>398</v>
      </c>
      <c r="B171" s="33" t="s">
        <v>399</v>
      </c>
      <c r="C171" s="29">
        <v>9.67968886E8</v>
      </c>
      <c r="D171" s="33" t="s">
        <v>15</v>
      </c>
      <c r="E171" s="34" t="s">
        <v>318</v>
      </c>
      <c r="F171" s="34" t="s">
        <v>40</v>
      </c>
      <c r="G171" s="56">
        <v>45990.0</v>
      </c>
      <c r="H171" s="36">
        <v>100.0</v>
      </c>
      <c r="I171" s="52" t="s">
        <v>18</v>
      </c>
      <c r="J171" s="34" t="s">
        <v>351</v>
      </c>
      <c r="K171" s="33" t="s">
        <v>20</v>
      </c>
      <c r="L171" s="36">
        <v>300.0</v>
      </c>
      <c r="M171" s="51" t="s">
        <v>27</v>
      </c>
    </row>
    <row r="172" ht="22.5" customHeight="1">
      <c r="A172" s="33" t="s">
        <v>400</v>
      </c>
      <c r="B172" s="33" t="s">
        <v>401</v>
      </c>
      <c r="C172" s="29" t="s">
        <v>180</v>
      </c>
      <c r="D172" s="33" t="s">
        <v>15</v>
      </c>
      <c r="E172" s="34" t="s">
        <v>55</v>
      </c>
      <c r="F172" s="34" t="s">
        <v>40</v>
      </c>
      <c r="G172" s="56">
        <v>45990.0</v>
      </c>
      <c r="H172" s="36">
        <v>50.0</v>
      </c>
      <c r="I172" s="52" t="s">
        <v>47</v>
      </c>
      <c r="J172" s="34" t="s">
        <v>351</v>
      </c>
      <c r="K172" s="33" t="s">
        <v>20</v>
      </c>
      <c r="L172" s="36">
        <v>10.0</v>
      </c>
      <c r="M172" s="51" t="s">
        <v>27</v>
      </c>
    </row>
    <row r="173" ht="22.5" customHeight="1">
      <c r="A173" s="33" t="s">
        <v>402</v>
      </c>
      <c r="B173" s="33" t="s">
        <v>403</v>
      </c>
      <c r="C173" s="29">
        <v>9.87235335E8</v>
      </c>
      <c r="D173" s="33" t="s">
        <v>15</v>
      </c>
      <c r="E173" s="34" t="s">
        <v>55</v>
      </c>
      <c r="F173" s="34" t="s">
        <v>40</v>
      </c>
      <c r="G173" s="56">
        <v>45990.0</v>
      </c>
      <c r="H173" s="36">
        <v>0.0</v>
      </c>
      <c r="I173" s="52" t="s">
        <v>47</v>
      </c>
      <c r="J173" s="34" t="s">
        <v>351</v>
      </c>
      <c r="K173" s="33" t="s">
        <v>20</v>
      </c>
      <c r="L173" s="36">
        <v>420.0</v>
      </c>
      <c r="M173" s="51" t="s">
        <v>127</v>
      </c>
    </row>
    <row r="174" ht="22.5" customHeight="1">
      <c r="A174" s="33" t="s">
        <v>404</v>
      </c>
      <c r="B174" s="33" t="s">
        <v>405</v>
      </c>
      <c r="C174" s="29">
        <v>9.56240937E8</v>
      </c>
      <c r="D174" s="33" t="s">
        <v>15</v>
      </c>
      <c r="E174" s="34" t="s">
        <v>60</v>
      </c>
      <c r="F174" s="34" t="s">
        <v>36</v>
      </c>
      <c r="G174" s="56">
        <v>45990.0</v>
      </c>
      <c r="H174" s="36">
        <v>0.0</v>
      </c>
      <c r="I174" s="52" t="s">
        <v>18</v>
      </c>
      <c r="J174" s="34" t="s">
        <v>351</v>
      </c>
      <c r="K174" s="33" t="s">
        <v>20</v>
      </c>
      <c r="L174" s="36">
        <v>162.0</v>
      </c>
      <c r="M174" s="51" t="s">
        <v>127</v>
      </c>
    </row>
    <row r="175" ht="22.5" customHeight="1">
      <c r="A175" s="33" t="s">
        <v>373</v>
      </c>
      <c r="B175" s="33" t="s">
        <v>374</v>
      </c>
      <c r="C175" s="29">
        <v>9.70339388E8</v>
      </c>
      <c r="D175" s="33" t="s">
        <v>15</v>
      </c>
      <c r="E175" s="34" t="s">
        <v>406</v>
      </c>
      <c r="F175" s="34" t="s">
        <v>40</v>
      </c>
      <c r="G175" s="56">
        <v>45990.0</v>
      </c>
      <c r="H175" s="36">
        <v>0.0</v>
      </c>
      <c r="I175" s="52" t="s">
        <v>18</v>
      </c>
      <c r="J175" s="34" t="s">
        <v>351</v>
      </c>
      <c r="K175" s="33" t="s">
        <v>20</v>
      </c>
      <c r="L175" s="36">
        <v>649.0</v>
      </c>
      <c r="M175" s="51" t="s">
        <v>199</v>
      </c>
    </row>
    <row r="176" ht="22.5" customHeight="1">
      <c r="A176" s="33" t="s">
        <v>326</v>
      </c>
      <c r="B176" s="33" t="s">
        <v>407</v>
      </c>
      <c r="C176" s="29" t="s">
        <v>180</v>
      </c>
      <c r="D176" s="33" t="s">
        <v>15</v>
      </c>
      <c r="E176" s="34" t="s">
        <v>60</v>
      </c>
      <c r="F176" s="34" t="s">
        <v>36</v>
      </c>
      <c r="G176" s="56">
        <v>45992.0</v>
      </c>
      <c r="H176" s="36">
        <v>404.0</v>
      </c>
      <c r="I176" s="52" t="s">
        <v>18</v>
      </c>
      <c r="J176" s="34" t="s">
        <v>351</v>
      </c>
      <c r="K176" s="33" t="s">
        <v>20</v>
      </c>
      <c r="L176" s="36">
        <v>0.0</v>
      </c>
      <c r="M176" s="51" t="s">
        <v>27</v>
      </c>
    </row>
    <row r="177" ht="22.5" customHeight="1">
      <c r="A177" s="33" t="s">
        <v>408</v>
      </c>
      <c r="B177" s="33" t="s">
        <v>153</v>
      </c>
      <c r="C177" s="29" t="s">
        <v>180</v>
      </c>
      <c r="D177" s="33" t="s">
        <v>15</v>
      </c>
      <c r="E177" s="34" t="s">
        <v>55</v>
      </c>
      <c r="F177" s="34" t="s">
        <v>40</v>
      </c>
      <c r="G177" s="56">
        <v>45992.0</v>
      </c>
      <c r="H177" s="36">
        <v>0.0</v>
      </c>
      <c r="I177" s="52" t="s">
        <v>18</v>
      </c>
      <c r="J177" s="34" t="s">
        <v>351</v>
      </c>
      <c r="K177" s="33" t="s">
        <v>20</v>
      </c>
      <c r="L177" s="36">
        <v>60.0</v>
      </c>
      <c r="M177" s="51" t="s">
        <v>21</v>
      </c>
    </row>
    <row r="178" ht="22.5" customHeight="1">
      <c r="A178" s="33" t="s">
        <v>181</v>
      </c>
      <c r="B178" s="33" t="s">
        <v>182</v>
      </c>
      <c r="C178" s="29" t="s">
        <v>180</v>
      </c>
      <c r="D178" s="33" t="s">
        <v>15</v>
      </c>
      <c r="E178" s="34" t="s">
        <v>60</v>
      </c>
      <c r="F178" s="34" t="s">
        <v>36</v>
      </c>
      <c r="G178" s="56">
        <v>45992.0</v>
      </c>
      <c r="H178" s="36">
        <v>50.0</v>
      </c>
      <c r="I178" s="52" t="s">
        <v>47</v>
      </c>
      <c r="J178" s="34" t="s">
        <v>351</v>
      </c>
      <c r="K178" s="33" t="s">
        <v>20</v>
      </c>
      <c r="L178" s="36">
        <v>20.0</v>
      </c>
      <c r="M178" s="51" t="s">
        <v>27</v>
      </c>
    </row>
    <row r="179" ht="22.5" customHeight="1">
      <c r="A179" s="33" t="s">
        <v>292</v>
      </c>
      <c r="B179" s="33" t="s">
        <v>409</v>
      </c>
      <c r="C179" s="29" t="s">
        <v>410</v>
      </c>
      <c r="D179" s="33" t="s">
        <v>30</v>
      </c>
      <c r="E179" s="34" t="s">
        <v>318</v>
      </c>
      <c r="F179" s="34" t="s">
        <v>40</v>
      </c>
      <c r="G179" s="56">
        <v>45993.0</v>
      </c>
      <c r="H179" s="36">
        <v>50.0</v>
      </c>
      <c r="I179" s="52" t="s">
        <v>18</v>
      </c>
      <c r="J179" s="34" t="s">
        <v>351</v>
      </c>
      <c r="K179" s="33" t="s">
        <v>20</v>
      </c>
      <c r="L179" s="36">
        <v>929.0</v>
      </c>
      <c r="M179" s="51" t="s">
        <v>21</v>
      </c>
    </row>
    <row r="180" ht="22.5" customHeight="1">
      <c r="A180" s="33" t="s">
        <v>83</v>
      </c>
      <c r="B180" s="33" t="s">
        <v>84</v>
      </c>
      <c r="C180" s="29" t="s">
        <v>180</v>
      </c>
      <c r="D180" s="33" t="s">
        <v>15</v>
      </c>
      <c r="E180" s="34" t="s">
        <v>31</v>
      </c>
      <c r="F180" s="34" t="s">
        <v>17</v>
      </c>
      <c r="G180" s="56">
        <v>45993.0</v>
      </c>
      <c r="H180" s="36">
        <v>0.0</v>
      </c>
      <c r="I180" s="52" t="s">
        <v>47</v>
      </c>
      <c r="J180" s="34" t="s">
        <v>351</v>
      </c>
      <c r="K180" s="33" t="s">
        <v>20</v>
      </c>
      <c r="L180" s="36">
        <v>360.0</v>
      </c>
      <c r="M180" s="51" t="s">
        <v>27</v>
      </c>
    </row>
    <row r="181" ht="22.5" customHeight="1">
      <c r="A181" s="33" t="s">
        <v>137</v>
      </c>
      <c r="B181" s="33" t="s">
        <v>411</v>
      </c>
      <c r="C181" s="29" t="s">
        <v>180</v>
      </c>
      <c r="D181" s="33" t="s">
        <v>15</v>
      </c>
      <c r="E181" s="34" t="s">
        <v>262</v>
      </c>
      <c r="F181" s="34" t="s">
        <v>40</v>
      </c>
      <c r="G181" s="56">
        <v>45994.0</v>
      </c>
      <c r="H181" s="36">
        <v>50.0</v>
      </c>
      <c r="I181" s="52" t="s">
        <v>47</v>
      </c>
      <c r="J181" s="34" t="s">
        <v>351</v>
      </c>
      <c r="K181" s="33" t="s">
        <v>20</v>
      </c>
      <c r="L181" s="36">
        <v>550.0</v>
      </c>
      <c r="M181" s="51" t="s">
        <v>27</v>
      </c>
    </row>
    <row r="182" ht="22.5" customHeight="1">
      <c r="A182" s="33" t="s">
        <v>412</v>
      </c>
      <c r="B182" s="33" t="s">
        <v>413</v>
      </c>
      <c r="C182" s="29">
        <v>9.33720679E8</v>
      </c>
      <c r="D182" s="33" t="s">
        <v>15</v>
      </c>
      <c r="E182" s="34" t="s">
        <v>262</v>
      </c>
      <c r="F182" s="34" t="s">
        <v>40</v>
      </c>
      <c r="G182" s="56">
        <v>45994.0</v>
      </c>
      <c r="H182" s="36">
        <v>50.0</v>
      </c>
      <c r="I182" s="52" t="s">
        <v>18</v>
      </c>
      <c r="J182" s="34" t="s">
        <v>351</v>
      </c>
      <c r="K182" s="33" t="s">
        <v>20</v>
      </c>
      <c r="L182" s="36">
        <v>450.0</v>
      </c>
      <c r="M182" s="51" t="s">
        <v>27</v>
      </c>
    </row>
    <row r="183" ht="22.5" customHeight="1">
      <c r="A183" s="33" t="s">
        <v>414</v>
      </c>
      <c r="B183" s="33" t="s">
        <v>415</v>
      </c>
      <c r="C183" s="29" t="s">
        <v>416</v>
      </c>
      <c r="D183" s="33" t="s">
        <v>15</v>
      </c>
      <c r="E183" s="34" t="s">
        <v>35</v>
      </c>
      <c r="F183" s="34" t="s">
        <v>133</v>
      </c>
      <c r="G183" s="56">
        <v>45994.0</v>
      </c>
      <c r="H183" s="36">
        <v>0.0</v>
      </c>
      <c r="I183" s="52" t="s">
        <v>18</v>
      </c>
      <c r="J183" s="34" t="s">
        <v>351</v>
      </c>
      <c r="K183" s="33" t="s">
        <v>20</v>
      </c>
      <c r="L183" s="36">
        <v>1250.0</v>
      </c>
      <c r="M183" s="51" t="s">
        <v>21</v>
      </c>
    </row>
    <row r="184" ht="22.5" customHeight="1">
      <c r="A184" s="33" t="s">
        <v>417</v>
      </c>
      <c r="B184" s="33" t="s">
        <v>418</v>
      </c>
      <c r="C184" s="29">
        <v>9.56328099E8</v>
      </c>
      <c r="D184" s="33" t="s">
        <v>15</v>
      </c>
      <c r="E184" s="34" t="s">
        <v>35</v>
      </c>
      <c r="F184" s="34" t="s">
        <v>133</v>
      </c>
      <c r="G184" s="56">
        <v>45994.0</v>
      </c>
      <c r="H184" s="36">
        <v>50.0</v>
      </c>
      <c r="I184" s="52" t="s">
        <v>18</v>
      </c>
      <c r="J184" s="34" t="s">
        <v>351</v>
      </c>
      <c r="K184" s="33" t="s">
        <v>20</v>
      </c>
      <c r="L184" s="36">
        <v>500.0</v>
      </c>
      <c r="M184" s="51" t="s">
        <v>21</v>
      </c>
    </row>
    <row r="185" ht="22.5" customHeight="1">
      <c r="A185" s="33" t="s">
        <v>86</v>
      </c>
      <c r="B185" s="33" t="s">
        <v>419</v>
      </c>
      <c r="C185" s="29" t="s">
        <v>180</v>
      </c>
      <c r="D185" s="33" t="s">
        <v>15</v>
      </c>
      <c r="E185" s="34" t="s">
        <v>106</v>
      </c>
      <c r="F185" s="34" t="s">
        <v>133</v>
      </c>
      <c r="G185" s="56">
        <v>45994.0</v>
      </c>
      <c r="H185" s="36">
        <v>50.0</v>
      </c>
      <c r="I185" s="52" t="s">
        <v>18</v>
      </c>
      <c r="J185" s="34" t="s">
        <v>351</v>
      </c>
      <c r="K185" s="33" t="s">
        <v>20</v>
      </c>
      <c r="L185" s="36">
        <v>500.0</v>
      </c>
      <c r="M185" s="51" t="s">
        <v>27</v>
      </c>
    </row>
    <row r="186" ht="22.5" customHeight="1">
      <c r="A186" s="33" t="s">
        <v>420</v>
      </c>
      <c r="B186" s="33" t="s">
        <v>349</v>
      </c>
      <c r="C186" s="29">
        <v>9.77354919E8</v>
      </c>
      <c r="D186" s="33" t="s">
        <v>15</v>
      </c>
      <c r="E186" s="34" t="s">
        <v>55</v>
      </c>
      <c r="F186" s="34" t="s">
        <v>40</v>
      </c>
      <c r="G186" s="56">
        <v>45994.0</v>
      </c>
      <c r="H186" s="36">
        <v>110.0</v>
      </c>
      <c r="I186" s="52" t="s">
        <v>61</v>
      </c>
      <c r="J186" s="34" t="s">
        <v>351</v>
      </c>
      <c r="K186" s="33" t="s">
        <v>20</v>
      </c>
      <c r="L186" s="36">
        <v>0.0</v>
      </c>
      <c r="M186" s="51" t="s">
        <v>21</v>
      </c>
    </row>
    <row r="187" ht="22.5" customHeight="1">
      <c r="A187" s="33" t="s">
        <v>421</v>
      </c>
      <c r="B187" s="33" t="s">
        <v>422</v>
      </c>
      <c r="C187" s="29" t="s">
        <v>180</v>
      </c>
      <c r="D187" s="33" t="s">
        <v>15</v>
      </c>
      <c r="E187" s="34" t="s">
        <v>60</v>
      </c>
      <c r="F187" s="34" t="s">
        <v>36</v>
      </c>
      <c r="G187" s="56">
        <v>45994.0</v>
      </c>
      <c r="H187" s="36">
        <v>100.0</v>
      </c>
      <c r="I187" s="52" t="s">
        <v>61</v>
      </c>
      <c r="J187" s="34" t="s">
        <v>351</v>
      </c>
      <c r="K187" s="33" t="s">
        <v>20</v>
      </c>
      <c r="L187" s="36">
        <v>50.0</v>
      </c>
      <c r="M187" s="51" t="s">
        <v>27</v>
      </c>
    </row>
    <row r="188" ht="22.5" customHeight="1">
      <c r="A188" s="33" t="s">
        <v>216</v>
      </c>
      <c r="B188" s="33" t="s">
        <v>423</v>
      </c>
      <c r="C188" s="29" t="s">
        <v>180</v>
      </c>
      <c r="D188" s="33" t="s">
        <v>30</v>
      </c>
      <c r="E188" s="34" t="s">
        <v>16</v>
      </c>
      <c r="F188" s="34" t="s">
        <v>17</v>
      </c>
      <c r="G188" s="56">
        <v>45994.0</v>
      </c>
      <c r="H188" s="36">
        <v>50.0</v>
      </c>
      <c r="I188" s="52" t="s">
        <v>47</v>
      </c>
      <c r="J188" s="34" t="s">
        <v>351</v>
      </c>
      <c r="K188" s="33" t="s">
        <v>20</v>
      </c>
      <c r="L188" s="36">
        <v>219.0</v>
      </c>
      <c r="M188" s="51" t="s">
        <v>27</v>
      </c>
    </row>
    <row r="189" ht="22.5" customHeight="1">
      <c r="A189" s="33" t="s">
        <v>86</v>
      </c>
      <c r="B189" s="33" t="s">
        <v>419</v>
      </c>
      <c r="C189" s="29" t="s">
        <v>180</v>
      </c>
      <c r="D189" s="33" t="s">
        <v>15</v>
      </c>
      <c r="E189" s="34" t="s">
        <v>60</v>
      </c>
      <c r="F189" s="34" t="s">
        <v>36</v>
      </c>
      <c r="G189" s="56">
        <v>45995.0</v>
      </c>
      <c r="H189" s="36">
        <v>50.0</v>
      </c>
      <c r="I189" s="52" t="s">
        <v>47</v>
      </c>
      <c r="J189" s="34" t="s">
        <v>351</v>
      </c>
      <c r="K189" s="33" t="s">
        <v>20</v>
      </c>
      <c r="L189" s="36">
        <v>105.0</v>
      </c>
      <c r="M189" s="51" t="s">
        <v>27</v>
      </c>
    </row>
    <row r="190" ht="22.5" customHeight="1">
      <c r="A190" s="33" t="s">
        <v>131</v>
      </c>
      <c r="B190" s="33" t="s">
        <v>424</v>
      </c>
      <c r="C190" s="29" t="s">
        <v>180</v>
      </c>
      <c r="D190" s="33" t="s">
        <v>15</v>
      </c>
      <c r="E190" s="34" t="s">
        <v>318</v>
      </c>
      <c r="F190" s="34" t="s">
        <v>40</v>
      </c>
      <c r="G190" s="56">
        <v>45995.0</v>
      </c>
      <c r="H190" s="36">
        <v>0.0</v>
      </c>
      <c r="I190" s="52" t="s">
        <v>65</v>
      </c>
      <c r="J190" s="34" t="s">
        <v>351</v>
      </c>
      <c r="K190" s="33" t="s">
        <v>20</v>
      </c>
      <c r="L190" s="36">
        <v>400.0</v>
      </c>
      <c r="M190" s="51" t="s">
        <v>21</v>
      </c>
    </row>
    <row r="191" ht="22.5" customHeight="1">
      <c r="A191" s="33" t="s">
        <v>142</v>
      </c>
      <c r="B191" s="33" t="s">
        <v>209</v>
      </c>
      <c r="C191" s="29" t="s">
        <v>180</v>
      </c>
      <c r="D191" s="33" t="s">
        <v>15</v>
      </c>
      <c r="E191" s="34" t="s">
        <v>55</v>
      </c>
      <c r="F191" s="34" t="s">
        <v>40</v>
      </c>
      <c r="G191" s="56">
        <v>45995.0</v>
      </c>
      <c r="H191" s="36">
        <v>85.0</v>
      </c>
      <c r="I191" s="52" t="s">
        <v>65</v>
      </c>
      <c r="J191" s="34" t="s">
        <v>351</v>
      </c>
      <c r="K191" s="33" t="s">
        <v>20</v>
      </c>
      <c r="L191" s="36">
        <v>0.0</v>
      </c>
      <c r="M191" s="51" t="s">
        <v>27</v>
      </c>
    </row>
    <row r="192" ht="22.5" customHeight="1">
      <c r="A192" s="33" t="s">
        <v>412</v>
      </c>
      <c r="B192" s="33" t="s">
        <v>413</v>
      </c>
      <c r="C192" s="29" t="s">
        <v>180</v>
      </c>
      <c r="D192" s="33" t="s">
        <v>15</v>
      </c>
      <c r="E192" s="34" t="s">
        <v>366</v>
      </c>
      <c r="F192" s="34" t="s">
        <v>40</v>
      </c>
      <c r="G192" s="56">
        <v>45995.0</v>
      </c>
      <c r="H192" s="36">
        <v>0.0</v>
      </c>
      <c r="I192" s="52" t="s">
        <v>65</v>
      </c>
      <c r="J192" s="34" t="s">
        <v>351</v>
      </c>
      <c r="K192" s="33" t="s">
        <v>20</v>
      </c>
      <c r="L192" s="36">
        <v>990.0</v>
      </c>
      <c r="M192" s="51" t="s">
        <v>27</v>
      </c>
    </row>
    <row r="193" ht="22.5" customHeight="1">
      <c r="A193" s="33" t="s">
        <v>131</v>
      </c>
      <c r="B193" s="33" t="s">
        <v>425</v>
      </c>
      <c r="C193" s="29" t="s">
        <v>180</v>
      </c>
      <c r="D193" s="33" t="s">
        <v>15</v>
      </c>
      <c r="E193" s="34" t="s">
        <v>426</v>
      </c>
      <c r="F193" s="34" t="s">
        <v>17</v>
      </c>
      <c r="G193" s="56">
        <v>45995.0</v>
      </c>
      <c r="H193" s="36">
        <v>50.0</v>
      </c>
      <c r="I193" s="52" t="s">
        <v>18</v>
      </c>
      <c r="J193" s="34" t="s">
        <v>351</v>
      </c>
      <c r="K193" s="33" t="s">
        <v>20</v>
      </c>
      <c r="L193" s="36">
        <v>200.0</v>
      </c>
      <c r="M193" s="51" t="s">
        <v>27</v>
      </c>
    </row>
    <row r="194" ht="22.5" customHeight="1">
      <c r="A194" s="33" t="s">
        <v>427</v>
      </c>
      <c r="B194" s="33" t="s">
        <v>428</v>
      </c>
      <c r="C194" s="29" t="s">
        <v>180</v>
      </c>
      <c r="D194" s="33" t="s">
        <v>15</v>
      </c>
      <c r="E194" s="34" t="s">
        <v>60</v>
      </c>
      <c r="F194" s="34" t="s">
        <v>36</v>
      </c>
      <c r="G194" s="56">
        <v>45995.0</v>
      </c>
      <c r="H194" s="36">
        <v>0.0</v>
      </c>
      <c r="I194" s="52" t="s">
        <v>65</v>
      </c>
      <c r="J194" s="34" t="s">
        <v>351</v>
      </c>
      <c r="K194" s="33" t="s">
        <v>20</v>
      </c>
      <c r="L194" s="36">
        <v>155.0</v>
      </c>
      <c r="M194" s="51" t="s">
        <v>21</v>
      </c>
    </row>
    <row r="195" ht="22.5" customHeight="1">
      <c r="A195" s="33" t="s">
        <v>429</v>
      </c>
      <c r="B195" s="33" t="s">
        <v>111</v>
      </c>
      <c r="C195" s="29" t="s">
        <v>180</v>
      </c>
      <c r="D195" s="33" t="s">
        <v>15</v>
      </c>
      <c r="E195" s="34" t="s">
        <v>430</v>
      </c>
      <c r="F195" s="34" t="s">
        <v>40</v>
      </c>
      <c r="G195" s="56">
        <v>45995.0</v>
      </c>
      <c r="H195" s="36">
        <v>50.0</v>
      </c>
      <c r="I195" s="52" t="s">
        <v>65</v>
      </c>
      <c r="J195" s="34" t="s">
        <v>351</v>
      </c>
      <c r="K195" s="33" t="s">
        <v>20</v>
      </c>
      <c r="L195" s="36">
        <v>170.0</v>
      </c>
      <c r="M195" s="51" t="s">
        <v>199</v>
      </c>
    </row>
    <row r="196" ht="22.5" customHeight="1">
      <c r="A196" s="33" t="s">
        <v>414</v>
      </c>
      <c r="B196" s="33" t="s">
        <v>111</v>
      </c>
      <c r="C196" s="29" t="s">
        <v>180</v>
      </c>
      <c r="D196" s="33" t="s">
        <v>15</v>
      </c>
      <c r="E196" s="34" t="s">
        <v>430</v>
      </c>
      <c r="F196" s="34" t="s">
        <v>40</v>
      </c>
      <c r="G196" s="56">
        <v>45995.0</v>
      </c>
      <c r="H196" s="36">
        <v>0.0</v>
      </c>
      <c r="I196" s="52" t="s">
        <v>65</v>
      </c>
      <c r="J196" s="34" t="s">
        <v>351</v>
      </c>
      <c r="K196" s="33" t="s">
        <v>20</v>
      </c>
      <c r="L196" s="36">
        <v>220.0</v>
      </c>
      <c r="M196" s="51" t="s">
        <v>21</v>
      </c>
    </row>
    <row r="197" ht="22.5" customHeight="1">
      <c r="A197" s="33" t="s">
        <v>431</v>
      </c>
      <c r="B197" s="33" t="s">
        <v>432</v>
      </c>
      <c r="C197" s="29" t="s">
        <v>180</v>
      </c>
      <c r="D197" s="33" t="s">
        <v>30</v>
      </c>
      <c r="E197" s="34" t="s">
        <v>35</v>
      </c>
      <c r="F197" s="34" t="s">
        <v>133</v>
      </c>
      <c r="G197" s="56">
        <v>45995.0</v>
      </c>
      <c r="H197" s="36">
        <v>0.0</v>
      </c>
      <c r="I197" s="52" t="s">
        <v>65</v>
      </c>
      <c r="J197" s="34" t="s">
        <v>351</v>
      </c>
      <c r="K197" s="33" t="s">
        <v>20</v>
      </c>
      <c r="L197" s="36">
        <v>550.0</v>
      </c>
      <c r="M197" s="51" t="s">
        <v>127</v>
      </c>
    </row>
    <row r="198" ht="22.5" customHeight="1">
      <c r="A198" s="33" t="s">
        <v>433</v>
      </c>
      <c r="B198" s="33" t="s">
        <v>434</v>
      </c>
      <c r="C198" s="29" t="s">
        <v>180</v>
      </c>
      <c r="D198" s="33" t="s">
        <v>30</v>
      </c>
      <c r="E198" s="34" t="s">
        <v>35</v>
      </c>
      <c r="F198" s="34" t="s">
        <v>133</v>
      </c>
      <c r="G198" s="56">
        <v>45995.0</v>
      </c>
      <c r="H198" s="36">
        <v>0.0</v>
      </c>
      <c r="I198" s="52" t="s">
        <v>65</v>
      </c>
      <c r="J198" s="34" t="s">
        <v>351</v>
      </c>
      <c r="K198" s="33" t="s">
        <v>20</v>
      </c>
      <c r="L198" s="36">
        <v>550.0</v>
      </c>
      <c r="M198" s="51" t="s">
        <v>127</v>
      </c>
    </row>
    <row r="199" ht="22.5" customHeight="1">
      <c r="A199" s="33" t="s">
        <v>435</v>
      </c>
      <c r="B199" s="33" t="s">
        <v>209</v>
      </c>
      <c r="C199" s="29" t="s">
        <v>180</v>
      </c>
      <c r="D199" s="33" t="s">
        <v>30</v>
      </c>
      <c r="E199" s="34" t="s">
        <v>289</v>
      </c>
      <c r="F199" s="34" t="s">
        <v>36</v>
      </c>
      <c r="G199" s="56">
        <v>45996.0</v>
      </c>
      <c r="H199" s="36">
        <v>0.0</v>
      </c>
      <c r="I199" s="52" t="s">
        <v>65</v>
      </c>
      <c r="J199" s="34" t="s">
        <v>351</v>
      </c>
      <c r="K199" s="33" t="s">
        <v>20</v>
      </c>
      <c r="L199" s="36">
        <v>400.0</v>
      </c>
      <c r="M199" s="51" t="s">
        <v>91</v>
      </c>
    </row>
    <row r="200" ht="22.5" customHeight="1">
      <c r="A200" s="33" t="s">
        <v>37</v>
      </c>
      <c r="B200" s="33" t="s">
        <v>116</v>
      </c>
      <c r="C200" s="29" t="s">
        <v>180</v>
      </c>
      <c r="D200" s="33" t="s">
        <v>15</v>
      </c>
      <c r="E200" s="34" t="s">
        <v>55</v>
      </c>
      <c r="F200" s="34" t="s">
        <v>40</v>
      </c>
      <c r="G200" s="56">
        <v>45996.0</v>
      </c>
      <c r="H200" s="36">
        <v>0.0</v>
      </c>
      <c r="I200" s="52" t="s">
        <v>65</v>
      </c>
      <c r="J200" s="34" t="s">
        <v>351</v>
      </c>
      <c r="K200" s="33" t="s">
        <v>20</v>
      </c>
      <c r="L200" s="36">
        <v>60.0</v>
      </c>
      <c r="M200" s="51" t="s">
        <v>27</v>
      </c>
    </row>
    <row r="201" ht="22.5" customHeight="1">
      <c r="A201" s="33" t="s">
        <v>304</v>
      </c>
      <c r="B201" s="33" t="s">
        <v>436</v>
      </c>
      <c r="C201" s="29" t="s">
        <v>180</v>
      </c>
      <c r="D201" s="33" t="s">
        <v>15</v>
      </c>
      <c r="E201" s="34" t="s">
        <v>64</v>
      </c>
      <c r="F201" s="34" t="s">
        <v>40</v>
      </c>
      <c r="G201" s="56">
        <v>45996.0</v>
      </c>
      <c r="H201" s="36">
        <v>0.0</v>
      </c>
      <c r="I201" s="52" t="s">
        <v>18</v>
      </c>
      <c r="J201" s="34" t="s">
        <v>351</v>
      </c>
      <c r="K201" s="33" t="s">
        <v>20</v>
      </c>
      <c r="L201" s="36">
        <v>465.0</v>
      </c>
      <c r="M201" s="51" t="s">
        <v>27</v>
      </c>
    </row>
    <row r="202" ht="22.5" customHeight="1">
      <c r="A202" s="33" t="s">
        <v>437</v>
      </c>
      <c r="B202" s="33" t="s">
        <v>438</v>
      </c>
      <c r="C202" s="29" t="s">
        <v>439</v>
      </c>
      <c r="D202" s="33" t="s">
        <v>15</v>
      </c>
      <c r="E202" s="34" t="s">
        <v>440</v>
      </c>
      <c r="F202" s="34" t="s">
        <v>133</v>
      </c>
      <c r="G202" s="56">
        <v>45996.0</v>
      </c>
      <c r="H202" s="36">
        <v>0.0</v>
      </c>
      <c r="I202" s="52" t="s">
        <v>75</v>
      </c>
      <c r="J202" s="34" t="s">
        <v>351</v>
      </c>
      <c r="K202" s="33" t="s">
        <v>20</v>
      </c>
      <c r="L202" s="36">
        <v>3600.0</v>
      </c>
      <c r="M202" s="51" t="s">
        <v>21</v>
      </c>
    </row>
    <row r="203" ht="22.5" customHeight="1">
      <c r="A203" s="33" t="s">
        <v>441</v>
      </c>
      <c r="B203" s="33" t="s">
        <v>442</v>
      </c>
      <c r="C203" s="29" t="s">
        <v>180</v>
      </c>
      <c r="D203" s="33" t="s">
        <v>15</v>
      </c>
      <c r="E203" s="34" t="s">
        <v>443</v>
      </c>
      <c r="F203" s="34" t="s">
        <v>40</v>
      </c>
      <c r="G203" s="56">
        <v>45996.0</v>
      </c>
      <c r="H203" s="36">
        <v>50.0</v>
      </c>
      <c r="I203" s="52" t="s">
        <v>18</v>
      </c>
      <c r="J203" s="34" t="s">
        <v>351</v>
      </c>
      <c r="K203" s="33" t="s">
        <v>20</v>
      </c>
      <c r="L203" s="36">
        <v>70.0</v>
      </c>
      <c r="M203" s="51" t="s">
        <v>27</v>
      </c>
    </row>
    <row r="204" ht="22.5" customHeight="1">
      <c r="A204" s="33" t="s">
        <v>444</v>
      </c>
      <c r="B204" s="33" t="s">
        <v>95</v>
      </c>
      <c r="C204" s="29" t="s">
        <v>180</v>
      </c>
      <c r="D204" s="33" t="s">
        <v>15</v>
      </c>
      <c r="E204" s="34" t="s">
        <v>60</v>
      </c>
      <c r="F204" s="34" t="s">
        <v>36</v>
      </c>
      <c r="G204" s="56">
        <v>45996.0</v>
      </c>
      <c r="H204" s="36">
        <v>0.0</v>
      </c>
      <c r="I204" s="52" t="s">
        <v>47</v>
      </c>
      <c r="J204" s="34" t="s">
        <v>351</v>
      </c>
      <c r="K204" s="33" t="s">
        <v>20</v>
      </c>
      <c r="L204" s="36">
        <v>155.0</v>
      </c>
      <c r="M204" s="51" t="s">
        <v>27</v>
      </c>
    </row>
    <row r="205" ht="22.5" customHeight="1">
      <c r="A205" s="33" t="s">
        <v>445</v>
      </c>
      <c r="B205" s="33" t="s">
        <v>116</v>
      </c>
      <c r="C205" s="29" t="s">
        <v>180</v>
      </c>
      <c r="D205" s="33" t="s">
        <v>15</v>
      </c>
      <c r="E205" s="34" t="s">
        <v>443</v>
      </c>
      <c r="F205" s="34" t="s">
        <v>40</v>
      </c>
      <c r="G205" s="56">
        <v>45997.0</v>
      </c>
      <c r="H205" s="36">
        <v>50.0</v>
      </c>
      <c r="I205" s="52" t="s">
        <v>65</v>
      </c>
      <c r="J205" s="34" t="s">
        <v>351</v>
      </c>
      <c r="K205" s="33" t="s">
        <v>20</v>
      </c>
      <c r="L205" s="36">
        <v>400.0</v>
      </c>
      <c r="M205" s="51" t="s">
        <v>199</v>
      </c>
    </row>
    <row r="206" ht="22.5" customHeight="1">
      <c r="A206" s="33" t="s">
        <v>412</v>
      </c>
      <c r="B206" s="33" t="s">
        <v>116</v>
      </c>
      <c r="C206" s="29" t="s">
        <v>180</v>
      </c>
      <c r="D206" s="33" t="s">
        <v>15</v>
      </c>
      <c r="E206" s="34" t="s">
        <v>443</v>
      </c>
      <c r="F206" s="34" t="s">
        <v>40</v>
      </c>
      <c r="G206" s="56">
        <v>45997.0</v>
      </c>
      <c r="H206" s="36">
        <v>0.0</v>
      </c>
      <c r="I206" s="52" t="s">
        <v>75</v>
      </c>
      <c r="J206" s="34" t="s">
        <v>351</v>
      </c>
      <c r="K206" s="33" t="s">
        <v>20</v>
      </c>
      <c r="L206" s="36">
        <v>250.0</v>
      </c>
      <c r="M206" s="51" t="s">
        <v>127</v>
      </c>
    </row>
    <row r="207" ht="22.5" customHeight="1">
      <c r="A207" s="33" t="s">
        <v>446</v>
      </c>
      <c r="B207" s="33" t="s">
        <v>447</v>
      </c>
      <c r="C207" s="29" t="s">
        <v>180</v>
      </c>
      <c r="D207" s="33" t="s">
        <v>15</v>
      </c>
      <c r="E207" s="34" t="s">
        <v>332</v>
      </c>
      <c r="F207" s="34" t="s">
        <v>40</v>
      </c>
      <c r="G207" s="56">
        <v>45997.0</v>
      </c>
      <c r="H207" s="36">
        <v>155.0</v>
      </c>
      <c r="I207" s="52" t="s">
        <v>18</v>
      </c>
      <c r="J207" s="34" t="s">
        <v>351</v>
      </c>
      <c r="K207" s="33" t="s">
        <v>20</v>
      </c>
      <c r="L207" s="36">
        <v>0.0</v>
      </c>
      <c r="M207" s="51" t="s">
        <v>27</v>
      </c>
    </row>
    <row r="208" ht="22.5" customHeight="1">
      <c r="A208" s="33" t="s">
        <v>448</v>
      </c>
      <c r="B208" s="33" t="s">
        <v>104</v>
      </c>
      <c r="C208" s="29" t="s">
        <v>180</v>
      </c>
      <c r="D208" s="33" t="s">
        <v>15</v>
      </c>
      <c r="E208" s="34" t="s">
        <v>443</v>
      </c>
      <c r="F208" s="34" t="s">
        <v>40</v>
      </c>
      <c r="G208" s="56">
        <v>45997.0</v>
      </c>
      <c r="H208" s="36">
        <v>0.0</v>
      </c>
      <c r="I208" s="52" t="s">
        <v>18</v>
      </c>
      <c r="J208" s="34" t="s">
        <v>351</v>
      </c>
      <c r="K208" s="33" t="s">
        <v>20</v>
      </c>
      <c r="L208" s="36">
        <v>120.0</v>
      </c>
      <c r="M208" s="51" t="s">
        <v>27</v>
      </c>
    </row>
    <row r="209" ht="22.5" customHeight="1">
      <c r="A209" s="33" t="s">
        <v>449</v>
      </c>
      <c r="B209" s="33" t="s">
        <v>238</v>
      </c>
      <c r="C209" s="29" t="s">
        <v>180</v>
      </c>
      <c r="D209" s="33" t="s">
        <v>15</v>
      </c>
      <c r="E209" s="34" t="s">
        <v>16</v>
      </c>
      <c r="F209" s="34" t="s">
        <v>17</v>
      </c>
      <c r="G209" s="56">
        <v>45997.0</v>
      </c>
      <c r="H209" s="36">
        <v>0.0</v>
      </c>
      <c r="I209" s="52" t="s">
        <v>47</v>
      </c>
      <c r="J209" s="34" t="s">
        <v>351</v>
      </c>
      <c r="K209" s="33" t="s">
        <v>20</v>
      </c>
      <c r="L209" s="36">
        <v>169.0</v>
      </c>
      <c r="M209" s="51" t="s">
        <v>21</v>
      </c>
    </row>
    <row r="210" ht="22.5" customHeight="1">
      <c r="A210" s="33" t="s">
        <v>285</v>
      </c>
      <c r="B210" s="33" t="s">
        <v>349</v>
      </c>
      <c r="C210" s="29" t="s">
        <v>180</v>
      </c>
      <c r="D210" s="33" t="s">
        <v>15</v>
      </c>
      <c r="E210" s="34" t="s">
        <v>55</v>
      </c>
      <c r="F210" s="34" t="s">
        <v>40</v>
      </c>
      <c r="G210" s="56">
        <v>45997.0</v>
      </c>
      <c r="H210" s="36">
        <v>50.0</v>
      </c>
      <c r="I210" s="52" t="s">
        <v>65</v>
      </c>
      <c r="J210" s="34" t="s">
        <v>351</v>
      </c>
      <c r="K210" s="33" t="s">
        <v>20</v>
      </c>
      <c r="L210" s="36">
        <v>270.0</v>
      </c>
      <c r="M210" s="51" t="s">
        <v>27</v>
      </c>
    </row>
    <row r="211" ht="22.5" customHeight="1">
      <c r="A211" s="33" t="s">
        <v>450</v>
      </c>
      <c r="B211" s="33" t="s">
        <v>403</v>
      </c>
      <c r="C211" s="29" t="s">
        <v>180</v>
      </c>
      <c r="D211" s="33" t="s">
        <v>15</v>
      </c>
      <c r="E211" s="34" t="s">
        <v>289</v>
      </c>
      <c r="F211" s="34" t="s">
        <v>133</v>
      </c>
      <c r="G211" s="56">
        <v>46000.0</v>
      </c>
      <c r="H211" s="36">
        <v>0.0</v>
      </c>
      <c r="I211" s="52" t="s">
        <v>18</v>
      </c>
      <c r="J211" s="34" t="s">
        <v>351</v>
      </c>
      <c r="K211" s="33" t="s">
        <v>20</v>
      </c>
      <c r="L211" s="36">
        <v>1950.0</v>
      </c>
      <c r="M211" s="51" t="s">
        <v>27</v>
      </c>
    </row>
    <row r="212" ht="22.5" customHeight="1">
      <c r="A212" s="33" t="s">
        <v>348</v>
      </c>
      <c r="B212" s="33" t="s">
        <v>451</v>
      </c>
      <c r="C212" s="29" t="s">
        <v>180</v>
      </c>
      <c r="D212" s="33" t="s">
        <v>15</v>
      </c>
      <c r="E212" s="34" t="s">
        <v>35</v>
      </c>
      <c r="F212" s="34" t="s">
        <v>133</v>
      </c>
      <c r="G212" s="56">
        <v>46000.0</v>
      </c>
      <c r="H212" s="36">
        <v>50.0</v>
      </c>
      <c r="I212" s="52" t="s">
        <v>18</v>
      </c>
      <c r="J212" s="34" t="s">
        <v>351</v>
      </c>
      <c r="K212" s="33" t="s">
        <v>20</v>
      </c>
      <c r="L212" s="36">
        <v>500.0</v>
      </c>
      <c r="M212" s="51" t="s">
        <v>27</v>
      </c>
    </row>
    <row r="213" ht="22.5" customHeight="1">
      <c r="A213" s="33" t="s">
        <v>452</v>
      </c>
      <c r="B213" s="33" t="s">
        <v>453</v>
      </c>
      <c r="C213" s="29" t="s">
        <v>180</v>
      </c>
      <c r="D213" s="33" t="s">
        <v>15</v>
      </c>
      <c r="E213" s="34" t="s">
        <v>210</v>
      </c>
      <c r="F213" s="34" t="s">
        <v>40</v>
      </c>
      <c r="G213" s="56">
        <v>46000.0</v>
      </c>
      <c r="H213" s="36">
        <v>155.0</v>
      </c>
      <c r="I213" s="52" t="s">
        <v>65</v>
      </c>
      <c r="J213" s="34" t="s">
        <v>351</v>
      </c>
      <c r="K213" s="33" t="s">
        <v>20</v>
      </c>
      <c r="L213" s="36">
        <v>0.0</v>
      </c>
      <c r="M213" s="51" t="s">
        <v>27</v>
      </c>
    </row>
    <row r="214" ht="22.5" customHeight="1">
      <c r="A214" s="33" t="s">
        <v>454</v>
      </c>
      <c r="B214" s="33" t="s">
        <v>364</v>
      </c>
      <c r="C214" s="29" t="s">
        <v>180</v>
      </c>
      <c r="D214" s="33" t="s">
        <v>15</v>
      </c>
      <c r="E214" s="34" t="s">
        <v>35</v>
      </c>
      <c r="F214" s="34" t="s">
        <v>133</v>
      </c>
      <c r="G214" s="56">
        <v>46000.0</v>
      </c>
      <c r="H214" s="36">
        <v>0.0</v>
      </c>
      <c r="I214" s="52" t="s">
        <v>18</v>
      </c>
      <c r="J214" s="34" t="s">
        <v>351</v>
      </c>
      <c r="K214" s="33" t="s">
        <v>20</v>
      </c>
      <c r="L214" s="36">
        <v>550.0</v>
      </c>
      <c r="M214" s="51" t="s">
        <v>21</v>
      </c>
    </row>
    <row r="215" ht="22.5" customHeight="1">
      <c r="A215" s="33" t="s">
        <v>455</v>
      </c>
      <c r="B215" s="33" t="s">
        <v>456</v>
      </c>
      <c r="C215" s="29" t="s">
        <v>180</v>
      </c>
      <c r="D215" s="33" t="s">
        <v>15</v>
      </c>
      <c r="E215" s="34" t="s">
        <v>60</v>
      </c>
      <c r="F215" s="34" t="s">
        <v>36</v>
      </c>
      <c r="G215" s="56">
        <v>46001.0</v>
      </c>
      <c r="H215" s="36">
        <v>0.0</v>
      </c>
      <c r="I215" s="52" t="s">
        <v>18</v>
      </c>
      <c r="J215" s="34" t="s">
        <v>351</v>
      </c>
      <c r="K215" s="33" t="s">
        <v>20</v>
      </c>
      <c r="L215" s="36">
        <v>315.0</v>
      </c>
      <c r="M215" s="51" t="s">
        <v>27</v>
      </c>
    </row>
    <row r="216" ht="22.5" customHeight="1">
      <c r="A216" s="33" t="s">
        <v>223</v>
      </c>
      <c r="B216" s="33" t="s">
        <v>305</v>
      </c>
      <c r="C216" s="29" t="s">
        <v>180</v>
      </c>
      <c r="D216" s="33" t="s">
        <v>30</v>
      </c>
      <c r="E216" s="34" t="s">
        <v>440</v>
      </c>
      <c r="F216" s="34" t="s">
        <v>133</v>
      </c>
      <c r="G216" s="56">
        <v>46001.0</v>
      </c>
      <c r="H216" s="36">
        <v>0.0</v>
      </c>
      <c r="I216" s="52" t="s">
        <v>65</v>
      </c>
      <c r="J216" s="34" t="s">
        <v>351</v>
      </c>
      <c r="K216" s="33" t="s">
        <v>20</v>
      </c>
      <c r="L216" s="36">
        <v>1522.0</v>
      </c>
      <c r="M216" s="51" t="s">
        <v>127</v>
      </c>
    </row>
    <row r="217" ht="22.5" customHeight="1">
      <c r="A217" s="33" t="s">
        <v>457</v>
      </c>
      <c r="B217" s="33" t="s">
        <v>201</v>
      </c>
      <c r="C217" s="57"/>
      <c r="D217" s="33" t="s">
        <v>30</v>
      </c>
      <c r="E217" s="34" t="s">
        <v>31</v>
      </c>
      <c r="F217" s="34" t="s">
        <v>17</v>
      </c>
      <c r="G217" s="56">
        <v>46001.0</v>
      </c>
      <c r="H217" s="36">
        <v>50.0</v>
      </c>
      <c r="I217" s="52" t="s">
        <v>18</v>
      </c>
      <c r="J217" s="34" t="s">
        <v>351</v>
      </c>
      <c r="K217" s="33" t="s">
        <v>20</v>
      </c>
      <c r="L217" s="36">
        <v>130.0</v>
      </c>
      <c r="M217" s="51" t="s">
        <v>27</v>
      </c>
    </row>
    <row r="218" ht="22.5" customHeight="1">
      <c r="A218" s="33" t="s">
        <v>458</v>
      </c>
      <c r="B218" s="33" t="s">
        <v>387</v>
      </c>
      <c r="C218" s="29">
        <v>9.68460218E8</v>
      </c>
      <c r="D218" s="33" t="s">
        <v>15</v>
      </c>
      <c r="E218" s="34" t="s">
        <v>459</v>
      </c>
      <c r="F218" s="34" t="s">
        <v>36</v>
      </c>
      <c r="G218" s="56">
        <v>46001.0</v>
      </c>
      <c r="H218" s="36">
        <v>50.0</v>
      </c>
      <c r="I218" s="52" t="s">
        <v>18</v>
      </c>
      <c r="J218" s="34" t="s">
        <v>351</v>
      </c>
      <c r="K218" s="33" t="s">
        <v>20</v>
      </c>
      <c r="L218" s="36">
        <v>30.0</v>
      </c>
      <c r="M218" s="51" t="s">
        <v>199</v>
      </c>
    </row>
    <row r="219" ht="22.5" customHeight="1">
      <c r="A219" s="33" t="s">
        <v>458</v>
      </c>
      <c r="B219" s="33" t="s">
        <v>387</v>
      </c>
      <c r="C219" s="29">
        <v>9.68460218E8</v>
      </c>
      <c r="D219" s="33" t="s">
        <v>15</v>
      </c>
      <c r="E219" s="34" t="s">
        <v>55</v>
      </c>
      <c r="F219" s="34" t="s">
        <v>40</v>
      </c>
      <c r="G219" s="56">
        <v>46002.0</v>
      </c>
      <c r="H219" s="36">
        <v>50.0</v>
      </c>
      <c r="I219" s="52" t="s">
        <v>18</v>
      </c>
      <c r="J219" s="34" t="s">
        <v>351</v>
      </c>
      <c r="K219" s="33" t="s">
        <v>20</v>
      </c>
      <c r="L219" s="36">
        <v>180.0</v>
      </c>
      <c r="M219" s="51" t="s">
        <v>27</v>
      </c>
    </row>
    <row r="220" ht="22.5" customHeight="1">
      <c r="A220" s="33" t="s">
        <v>326</v>
      </c>
      <c r="B220" s="33" t="s">
        <v>368</v>
      </c>
      <c r="C220" s="29" t="s">
        <v>180</v>
      </c>
      <c r="D220" s="33" t="s">
        <v>15</v>
      </c>
      <c r="E220" s="34" t="s">
        <v>60</v>
      </c>
      <c r="F220" s="34" t="s">
        <v>36</v>
      </c>
      <c r="G220" s="56">
        <v>46002.0</v>
      </c>
      <c r="H220" s="36">
        <v>279.0</v>
      </c>
      <c r="I220" s="52" t="s">
        <v>65</v>
      </c>
      <c r="J220" s="34" t="s">
        <v>351</v>
      </c>
      <c r="K220" s="33" t="s">
        <v>20</v>
      </c>
      <c r="L220" s="36">
        <v>0.0</v>
      </c>
      <c r="M220" s="51" t="s">
        <v>27</v>
      </c>
    </row>
    <row r="221" ht="22.5" customHeight="1">
      <c r="A221" s="33" t="s">
        <v>166</v>
      </c>
      <c r="B221" s="33" t="s">
        <v>191</v>
      </c>
      <c r="C221" s="29" t="s">
        <v>180</v>
      </c>
      <c r="D221" s="33" t="s">
        <v>15</v>
      </c>
      <c r="E221" s="34" t="s">
        <v>459</v>
      </c>
      <c r="F221" s="34" t="s">
        <v>36</v>
      </c>
      <c r="G221" s="56">
        <v>46002.0</v>
      </c>
      <c r="H221" s="36">
        <v>0.0</v>
      </c>
      <c r="I221" s="52" t="s">
        <v>47</v>
      </c>
      <c r="J221" s="34" t="s">
        <v>351</v>
      </c>
      <c r="K221" s="33" t="s">
        <v>20</v>
      </c>
      <c r="L221" s="36">
        <v>80.0</v>
      </c>
      <c r="M221" s="51" t="s">
        <v>27</v>
      </c>
    </row>
    <row r="222" ht="22.5" customHeight="1">
      <c r="A222" s="33" t="s">
        <v>166</v>
      </c>
      <c r="B222" s="33" t="s">
        <v>191</v>
      </c>
      <c r="C222" s="29" t="s">
        <v>180</v>
      </c>
      <c r="D222" s="33" t="s">
        <v>15</v>
      </c>
      <c r="E222" s="34" t="s">
        <v>460</v>
      </c>
      <c r="F222" s="34" t="s">
        <v>36</v>
      </c>
      <c r="G222" s="56">
        <v>46002.0</v>
      </c>
      <c r="H222" s="36">
        <v>100.0</v>
      </c>
      <c r="I222" s="52" t="s">
        <v>47</v>
      </c>
      <c r="J222" s="34" t="s">
        <v>351</v>
      </c>
      <c r="K222" s="33" t="s">
        <v>20</v>
      </c>
      <c r="L222" s="36">
        <v>29.0</v>
      </c>
      <c r="M222" s="51" t="s">
        <v>27</v>
      </c>
    </row>
    <row r="223" ht="22.5" customHeight="1">
      <c r="A223" s="33" t="s">
        <v>461</v>
      </c>
      <c r="B223" s="33" t="s">
        <v>462</v>
      </c>
      <c r="C223" s="29" t="s">
        <v>463</v>
      </c>
      <c r="D223" s="33" t="s">
        <v>15</v>
      </c>
      <c r="E223" s="34" t="s">
        <v>39</v>
      </c>
      <c r="F223" s="34" t="s">
        <v>40</v>
      </c>
      <c r="G223" s="56">
        <v>46002.0</v>
      </c>
      <c r="H223" s="36">
        <v>579.0</v>
      </c>
      <c r="I223" s="52" t="s">
        <v>18</v>
      </c>
      <c r="J223" s="34" t="s">
        <v>351</v>
      </c>
      <c r="K223" s="33" t="s">
        <v>20</v>
      </c>
      <c r="L223" s="36">
        <v>0.0</v>
      </c>
      <c r="M223" s="51" t="s">
        <v>27</v>
      </c>
    </row>
    <row r="224" ht="22.5" customHeight="1">
      <c r="A224" s="33" t="s">
        <v>464</v>
      </c>
      <c r="B224" s="33" t="s">
        <v>462</v>
      </c>
      <c r="C224" s="29" t="s">
        <v>465</v>
      </c>
      <c r="D224" s="33" t="s">
        <v>15</v>
      </c>
      <c r="E224" s="34" t="s">
        <v>55</v>
      </c>
      <c r="F224" s="34" t="s">
        <v>40</v>
      </c>
      <c r="G224" s="56">
        <v>46002.0</v>
      </c>
      <c r="H224" s="36">
        <v>60.0</v>
      </c>
      <c r="I224" s="52" t="s">
        <v>18</v>
      </c>
      <c r="J224" s="34" t="s">
        <v>351</v>
      </c>
      <c r="K224" s="33" t="s">
        <v>20</v>
      </c>
      <c r="L224" s="36">
        <v>0.0</v>
      </c>
      <c r="M224" s="51" t="s">
        <v>91</v>
      </c>
    </row>
    <row r="225" ht="22.5" customHeight="1">
      <c r="A225" s="33" t="s">
        <v>94</v>
      </c>
      <c r="B225" s="33" t="s">
        <v>466</v>
      </c>
      <c r="C225" s="29" t="s">
        <v>180</v>
      </c>
      <c r="D225" s="33" t="s">
        <v>15</v>
      </c>
      <c r="E225" s="34" t="s">
        <v>260</v>
      </c>
      <c r="F225" s="34" t="s">
        <v>36</v>
      </c>
      <c r="G225" s="56">
        <v>46002.0</v>
      </c>
      <c r="H225" s="36">
        <v>0.0</v>
      </c>
      <c r="I225" s="52" t="s">
        <v>65</v>
      </c>
      <c r="J225" s="34" t="s">
        <v>351</v>
      </c>
      <c r="K225" s="33" t="s">
        <v>20</v>
      </c>
      <c r="L225" s="36">
        <v>80.0</v>
      </c>
      <c r="M225" s="51" t="s">
        <v>199</v>
      </c>
    </row>
    <row r="226" ht="22.5" customHeight="1">
      <c r="A226" s="33" t="s">
        <v>365</v>
      </c>
      <c r="B226" s="33" t="s">
        <v>116</v>
      </c>
      <c r="C226" s="29" t="s">
        <v>180</v>
      </c>
      <c r="D226" s="33" t="s">
        <v>15</v>
      </c>
      <c r="E226" s="34" t="s">
        <v>31</v>
      </c>
      <c r="F226" s="34" t="s">
        <v>17</v>
      </c>
      <c r="G226" s="56">
        <v>46002.0</v>
      </c>
      <c r="H226" s="36">
        <v>100.0</v>
      </c>
      <c r="I226" s="52" t="s">
        <v>65</v>
      </c>
      <c r="J226" s="34" t="s">
        <v>351</v>
      </c>
      <c r="K226" s="33" t="s">
        <v>20</v>
      </c>
      <c r="L226" s="36">
        <v>80.0</v>
      </c>
      <c r="M226" s="51" t="s">
        <v>21</v>
      </c>
    </row>
    <row r="227" ht="22.5" customHeight="1">
      <c r="A227" s="33" t="s">
        <v>467</v>
      </c>
      <c r="B227" s="33" t="s">
        <v>468</v>
      </c>
      <c r="C227" s="29" t="s">
        <v>180</v>
      </c>
      <c r="D227" s="33" t="s">
        <v>15</v>
      </c>
      <c r="E227" s="34" t="s">
        <v>31</v>
      </c>
      <c r="F227" s="34" t="s">
        <v>17</v>
      </c>
      <c r="G227" s="56">
        <v>46003.0</v>
      </c>
      <c r="H227" s="36">
        <v>0.0</v>
      </c>
      <c r="I227" s="52" t="s">
        <v>65</v>
      </c>
      <c r="J227" s="34" t="s">
        <v>351</v>
      </c>
      <c r="K227" s="33" t="s">
        <v>20</v>
      </c>
      <c r="L227" s="36">
        <v>180.0</v>
      </c>
      <c r="M227" s="51" t="s">
        <v>27</v>
      </c>
    </row>
    <row r="228" ht="22.5" customHeight="1">
      <c r="A228" s="33" t="s">
        <v>469</v>
      </c>
      <c r="B228" s="33" t="s">
        <v>282</v>
      </c>
      <c r="C228" s="29" t="s">
        <v>180</v>
      </c>
      <c r="D228" s="33" t="s">
        <v>15</v>
      </c>
      <c r="E228" s="34" t="s">
        <v>16</v>
      </c>
      <c r="F228" s="34" t="s">
        <v>40</v>
      </c>
      <c r="G228" s="56">
        <v>46003.0</v>
      </c>
      <c r="H228" s="36">
        <v>50.0</v>
      </c>
      <c r="I228" s="52" t="s">
        <v>47</v>
      </c>
      <c r="J228" s="34" t="s">
        <v>351</v>
      </c>
      <c r="K228" s="33" t="s">
        <v>20</v>
      </c>
      <c r="L228" s="36">
        <v>279.0</v>
      </c>
      <c r="M228" s="51" t="s">
        <v>27</v>
      </c>
    </row>
    <row r="229" ht="22.5" customHeight="1">
      <c r="A229" s="33" t="s">
        <v>378</v>
      </c>
      <c r="B229" s="33" t="s">
        <v>379</v>
      </c>
      <c r="C229" s="29" t="s">
        <v>180</v>
      </c>
      <c r="D229" s="33" t="s">
        <v>15</v>
      </c>
      <c r="E229" s="34" t="s">
        <v>55</v>
      </c>
      <c r="F229" s="34" t="s">
        <v>36</v>
      </c>
      <c r="G229" s="56">
        <v>46003.0</v>
      </c>
      <c r="H229" s="36">
        <v>0.0</v>
      </c>
      <c r="I229" s="52" t="s">
        <v>65</v>
      </c>
      <c r="J229" s="34" t="s">
        <v>351</v>
      </c>
      <c r="K229" s="33" t="s">
        <v>20</v>
      </c>
      <c r="L229" s="36">
        <v>35.0</v>
      </c>
      <c r="M229" s="51" t="s">
        <v>27</v>
      </c>
    </row>
    <row r="230" ht="22.5" customHeight="1">
      <c r="A230" s="33" t="s">
        <v>470</v>
      </c>
      <c r="B230" s="33" t="s">
        <v>135</v>
      </c>
      <c r="C230" s="29">
        <v>9.86921761E8</v>
      </c>
      <c r="D230" s="33" t="s">
        <v>15</v>
      </c>
      <c r="E230" s="34" t="s">
        <v>31</v>
      </c>
      <c r="F230" s="34" t="s">
        <v>17</v>
      </c>
      <c r="G230" s="56">
        <v>46003.0</v>
      </c>
      <c r="H230" s="36">
        <v>0.0</v>
      </c>
      <c r="I230" s="52" t="s">
        <v>65</v>
      </c>
      <c r="J230" s="34" t="s">
        <v>351</v>
      </c>
      <c r="K230" s="33" t="s">
        <v>20</v>
      </c>
      <c r="L230" s="36">
        <v>260.0</v>
      </c>
      <c r="M230" s="51" t="s">
        <v>27</v>
      </c>
    </row>
    <row r="231" ht="22.5" customHeight="1">
      <c r="A231" s="33" t="s">
        <v>471</v>
      </c>
      <c r="B231" s="33" t="s">
        <v>472</v>
      </c>
      <c r="C231" s="29" t="s">
        <v>180</v>
      </c>
      <c r="D231" s="33" t="s">
        <v>30</v>
      </c>
      <c r="E231" s="34" t="s">
        <v>39</v>
      </c>
      <c r="F231" s="34" t="s">
        <v>40</v>
      </c>
      <c r="G231" s="56">
        <v>46003.0</v>
      </c>
      <c r="H231" s="36">
        <v>50.0</v>
      </c>
      <c r="I231" s="52" t="s">
        <v>18</v>
      </c>
      <c r="J231" s="34" t="s">
        <v>351</v>
      </c>
      <c r="K231" s="33" t="s">
        <v>20</v>
      </c>
      <c r="L231" s="36">
        <v>470.0</v>
      </c>
      <c r="M231" s="51" t="s">
        <v>27</v>
      </c>
    </row>
    <row r="232" ht="22.5" customHeight="1">
      <c r="A232" s="33" t="s">
        <v>396</v>
      </c>
      <c r="B232" s="33" t="s">
        <v>397</v>
      </c>
      <c r="C232" s="29" t="s">
        <v>180</v>
      </c>
      <c r="D232" s="33" t="s">
        <v>15</v>
      </c>
      <c r="E232" s="34" t="s">
        <v>55</v>
      </c>
      <c r="F232" s="34" t="s">
        <v>40</v>
      </c>
      <c r="G232" s="56">
        <v>46003.0</v>
      </c>
      <c r="H232" s="36">
        <v>40.0</v>
      </c>
      <c r="I232" s="52" t="s">
        <v>61</v>
      </c>
      <c r="J232" s="34" t="s">
        <v>351</v>
      </c>
      <c r="K232" s="33" t="s">
        <v>20</v>
      </c>
      <c r="L232" s="36">
        <v>0.0</v>
      </c>
      <c r="M232" s="51" t="s">
        <v>27</v>
      </c>
    </row>
    <row r="233" ht="22.5" customHeight="1">
      <c r="A233" s="33" t="s">
        <v>473</v>
      </c>
      <c r="B233" s="33" t="s">
        <v>474</v>
      </c>
      <c r="C233" s="29">
        <v>9.4616265E8</v>
      </c>
      <c r="D233" s="33" t="s">
        <v>30</v>
      </c>
      <c r="E233" s="34" t="s">
        <v>39</v>
      </c>
      <c r="F233" s="34" t="s">
        <v>40</v>
      </c>
      <c r="G233" s="56">
        <v>46003.0</v>
      </c>
      <c r="H233" s="36">
        <v>50.0</v>
      </c>
      <c r="I233" s="52" t="s">
        <v>18</v>
      </c>
      <c r="J233" s="34" t="s">
        <v>351</v>
      </c>
      <c r="K233" s="33" t="s">
        <v>20</v>
      </c>
      <c r="L233" s="36">
        <v>529.0</v>
      </c>
      <c r="M233" s="51" t="s">
        <v>82</v>
      </c>
    </row>
    <row r="234" ht="22.5" customHeight="1">
      <c r="A234" s="33" t="s">
        <v>475</v>
      </c>
      <c r="B234" s="33" t="s">
        <v>476</v>
      </c>
      <c r="C234" s="29" t="s">
        <v>180</v>
      </c>
      <c r="D234" s="33" t="s">
        <v>30</v>
      </c>
      <c r="E234" s="34" t="s">
        <v>16</v>
      </c>
      <c r="F234" s="34" t="s">
        <v>36</v>
      </c>
      <c r="G234" s="56">
        <v>46003.0</v>
      </c>
      <c r="H234" s="36">
        <v>0.0</v>
      </c>
      <c r="I234" s="52" t="s">
        <v>47</v>
      </c>
      <c r="J234" s="34" t="s">
        <v>351</v>
      </c>
      <c r="K234" s="33" t="s">
        <v>20</v>
      </c>
      <c r="L234" s="36">
        <v>340.0</v>
      </c>
      <c r="M234" s="51" t="s">
        <v>127</v>
      </c>
    </row>
    <row r="235" ht="22.5" customHeight="1">
      <c r="A235" s="33" t="s">
        <v>441</v>
      </c>
      <c r="B235" s="33" t="s">
        <v>477</v>
      </c>
      <c r="C235" s="29">
        <v>9.92762145E8</v>
      </c>
      <c r="D235" s="33" t="s">
        <v>30</v>
      </c>
      <c r="E235" s="34" t="s">
        <v>39</v>
      </c>
      <c r="F235" s="34" t="s">
        <v>40</v>
      </c>
      <c r="G235" s="56">
        <v>46004.0</v>
      </c>
      <c r="H235" s="36">
        <v>0.0</v>
      </c>
      <c r="I235" s="52" t="s">
        <v>18</v>
      </c>
      <c r="J235" s="34" t="s">
        <v>351</v>
      </c>
      <c r="K235" s="33" t="s">
        <v>20</v>
      </c>
      <c r="L235" s="36">
        <v>579.0</v>
      </c>
      <c r="M235" s="51" t="s">
        <v>199</v>
      </c>
    </row>
    <row r="236" ht="22.5" customHeight="1">
      <c r="A236" s="33" t="s">
        <v>83</v>
      </c>
      <c r="B236" s="33" t="s">
        <v>84</v>
      </c>
      <c r="C236" s="29" t="s">
        <v>180</v>
      </c>
      <c r="D236" s="33" t="s">
        <v>15</v>
      </c>
      <c r="E236" s="34" t="s">
        <v>426</v>
      </c>
      <c r="F236" s="34" t="s">
        <v>17</v>
      </c>
      <c r="G236" s="56">
        <v>46004.0</v>
      </c>
      <c r="H236" s="36">
        <v>0.0</v>
      </c>
      <c r="I236" s="52" t="s">
        <v>65</v>
      </c>
      <c r="J236" s="34" t="s">
        <v>351</v>
      </c>
      <c r="K236" s="33" t="s">
        <v>20</v>
      </c>
      <c r="L236" s="36">
        <v>315.0</v>
      </c>
      <c r="M236" s="51" t="s">
        <v>127</v>
      </c>
    </row>
    <row r="237" ht="22.5" customHeight="1">
      <c r="A237" s="33" t="s">
        <v>137</v>
      </c>
      <c r="B237" s="33" t="s">
        <v>478</v>
      </c>
      <c r="C237" s="29"/>
      <c r="D237" s="33" t="s">
        <v>30</v>
      </c>
      <c r="E237" s="34" t="s">
        <v>31</v>
      </c>
      <c r="F237" s="34" t="s">
        <v>17</v>
      </c>
      <c r="G237" s="56">
        <v>46006.0</v>
      </c>
      <c r="H237" s="36">
        <v>0.0</v>
      </c>
      <c r="I237" s="52" t="s">
        <v>18</v>
      </c>
      <c r="J237" s="34" t="s">
        <v>351</v>
      </c>
      <c r="K237" s="33" t="s">
        <v>20</v>
      </c>
      <c r="L237" s="36">
        <v>260.0</v>
      </c>
      <c r="M237" s="51" t="s">
        <v>27</v>
      </c>
    </row>
    <row r="238" ht="22.5" customHeight="1">
      <c r="A238" s="33" t="s">
        <v>479</v>
      </c>
      <c r="B238" s="33" t="s">
        <v>368</v>
      </c>
      <c r="C238" s="29">
        <v>9.49092015E8</v>
      </c>
      <c r="D238" s="33" t="s">
        <v>15</v>
      </c>
      <c r="E238" s="34" t="s">
        <v>480</v>
      </c>
      <c r="F238" s="34" t="s">
        <v>40</v>
      </c>
      <c r="G238" s="56">
        <v>46004.0</v>
      </c>
      <c r="H238" s="36">
        <v>50.0</v>
      </c>
      <c r="I238" s="52" t="s">
        <v>47</v>
      </c>
      <c r="J238" s="34" t="s">
        <v>351</v>
      </c>
      <c r="K238" s="33" t="s">
        <v>20</v>
      </c>
      <c r="L238" s="36">
        <v>128.0</v>
      </c>
      <c r="M238" s="51" t="s">
        <v>27</v>
      </c>
    </row>
    <row r="239" ht="22.5" customHeight="1">
      <c r="A239" s="33" t="s">
        <v>481</v>
      </c>
      <c r="B239" s="33" t="s">
        <v>482</v>
      </c>
      <c r="C239" s="29">
        <v>9.89347134E8</v>
      </c>
      <c r="D239" s="33" t="s">
        <v>15</v>
      </c>
      <c r="E239" s="34" t="s">
        <v>60</v>
      </c>
      <c r="F239" s="34" t="s">
        <v>36</v>
      </c>
      <c r="G239" s="56">
        <v>46004.0</v>
      </c>
      <c r="H239" s="36">
        <v>50.0</v>
      </c>
      <c r="I239" s="52" t="s">
        <v>18</v>
      </c>
      <c r="J239" s="34" t="s">
        <v>351</v>
      </c>
      <c r="K239" s="33" t="s">
        <v>20</v>
      </c>
      <c r="L239" s="36">
        <v>105.0</v>
      </c>
      <c r="M239" s="51" t="s">
        <v>21</v>
      </c>
    </row>
    <row r="240" ht="22.5" customHeight="1">
      <c r="A240" s="33" t="s">
        <v>483</v>
      </c>
      <c r="B240" s="33" t="s">
        <v>484</v>
      </c>
      <c r="C240" s="29">
        <v>9.24803261E8</v>
      </c>
      <c r="D240" s="33" t="s">
        <v>15</v>
      </c>
      <c r="E240" s="34" t="s">
        <v>262</v>
      </c>
      <c r="F240" s="34" t="s">
        <v>40</v>
      </c>
      <c r="G240" s="56">
        <v>46006.0</v>
      </c>
      <c r="H240" s="36">
        <v>150.0</v>
      </c>
      <c r="I240" s="52" t="s">
        <v>47</v>
      </c>
      <c r="J240" s="34" t="s">
        <v>351</v>
      </c>
      <c r="K240" s="33" t="s">
        <v>20</v>
      </c>
      <c r="L240" s="36">
        <v>410.0</v>
      </c>
      <c r="M240" s="51" t="s">
        <v>27</v>
      </c>
    </row>
    <row r="241" ht="22.5" customHeight="1">
      <c r="A241" s="33" t="s">
        <v>122</v>
      </c>
      <c r="B241" s="33" t="s">
        <v>447</v>
      </c>
      <c r="C241" s="57"/>
      <c r="D241" s="33" t="s">
        <v>15</v>
      </c>
      <c r="E241" s="34" t="s">
        <v>55</v>
      </c>
      <c r="F241" s="34" t="s">
        <v>40</v>
      </c>
      <c r="G241" s="56">
        <v>46006.0</v>
      </c>
      <c r="H241" s="36">
        <v>50.0</v>
      </c>
      <c r="I241" s="52" t="s">
        <v>18</v>
      </c>
      <c r="J241" s="34" t="s">
        <v>351</v>
      </c>
      <c r="K241" s="33" t="s">
        <v>20</v>
      </c>
      <c r="L241" s="36">
        <v>10.0</v>
      </c>
      <c r="M241" s="51" t="s">
        <v>27</v>
      </c>
    </row>
    <row r="242" ht="22.5" customHeight="1">
      <c r="A242" s="33" t="s">
        <v>429</v>
      </c>
      <c r="B242" s="33" t="s">
        <v>485</v>
      </c>
      <c r="C242" s="29">
        <v>9.4621155E8</v>
      </c>
      <c r="D242" s="33" t="s">
        <v>30</v>
      </c>
      <c r="E242" s="34" t="s">
        <v>35</v>
      </c>
      <c r="F242" s="34" t="s">
        <v>133</v>
      </c>
      <c r="G242" s="56">
        <v>46006.0</v>
      </c>
      <c r="H242" s="36">
        <v>50.0</v>
      </c>
      <c r="I242" s="52" t="s">
        <v>47</v>
      </c>
      <c r="J242" s="34" t="s">
        <v>351</v>
      </c>
      <c r="K242" s="33" t="s">
        <v>20</v>
      </c>
      <c r="L242" s="36">
        <v>500.0</v>
      </c>
      <c r="M242" s="51" t="s">
        <v>27</v>
      </c>
    </row>
    <row r="243" ht="22.5" customHeight="1">
      <c r="A243" s="33" t="s">
        <v>429</v>
      </c>
      <c r="B243" s="33" t="s">
        <v>485</v>
      </c>
      <c r="C243" s="29">
        <v>9.4621155E8</v>
      </c>
      <c r="D243" s="33" t="s">
        <v>30</v>
      </c>
      <c r="E243" s="34" t="s">
        <v>106</v>
      </c>
      <c r="F243" s="34" t="s">
        <v>133</v>
      </c>
      <c r="G243" s="56">
        <v>46006.0</v>
      </c>
      <c r="H243" s="36">
        <v>0.0</v>
      </c>
      <c r="I243" s="52" t="s">
        <v>47</v>
      </c>
      <c r="J243" s="34" t="s">
        <v>351</v>
      </c>
      <c r="K243" s="33" t="s">
        <v>20</v>
      </c>
      <c r="L243" s="36">
        <v>550.0</v>
      </c>
      <c r="M243" s="51" t="s">
        <v>27</v>
      </c>
    </row>
    <row r="244" ht="22.5" customHeight="1">
      <c r="A244" s="33" t="s">
        <v>433</v>
      </c>
      <c r="B244" s="33" t="s">
        <v>434</v>
      </c>
      <c r="C244" s="29"/>
      <c r="D244" s="33" t="s">
        <v>30</v>
      </c>
      <c r="E244" s="34" t="s">
        <v>440</v>
      </c>
      <c r="F244" s="34" t="s">
        <v>133</v>
      </c>
      <c r="G244" s="56">
        <v>46006.0</v>
      </c>
      <c r="H244" s="36">
        <v>0.0</v>
      </c>
      <c r="I244" s="52" t="s">
        <v>65</v>
      </c>
      <c r="J244" s="34" t="s">
        <v>351</v>
      </c>
      <c r="K244" s="33" t="s">
        <v>20</v>
      </c>
      <c r="L244" s="36">
        <v>1450.0</v>
      </c>
      <c r="M244" s="51" t="s">
        <v>127</v>
      </c>
    </row>
    <row r="245" ht="22.5" customHeight="1">
      <c r="A245" s="33" t="s">
        <v>486</v>
      </c>
      <c r="B245" s="33" t="s">
        <v>487</v>
      </c>
      <c r="C245" s="29"/>
      <c r="D245" s="33" t="s">
        <v>30</v>
      </c>
      <c r="E245" s="34" t="s">
        <v>262</v>
      </c>
      <c r="F245" s="34" t="s">
        <v>40</v>
      </c>
      <c r="G245" s="56">
        <v>46006.0</v>
      </c>
      <c r="H245" s="36">
        <v>50.0</v>
      </c>
      <c r="I245" s="52" t="s">
        <v>18</v>
      </c>
      <c r="J245" s="34" t="s">
        <v>351</v>
      </c>
      <c r="K245" s="33" t="s">
        <v>20</v>
      </c>
      <c r="L245" s="36">
        <v>450.0</v>
      </c>
      <c r="M245" s="51" t="s">
        <v>488</v>
      </c>
    </row>
    <row r="246" ht="22.5" customHeight="1">
      <c r="A246" s="33" t="s">
        <v>489</v>
      </c>
      <c r="B246" s="33" t="s">
        <v>490</v>
      </c>
      <c r="C246" s="29" t="s">
        <v>491</v>
      </c>
      <c r="D246" s="33" t="s">
        <v>15</v>
      </c>
      <c r="E246" s="34" t="s">
        <v>55</v>
      </c>
      <c r="F246" s="34" t="s">
        <v>40</v>
      </c>
      <c r="G246" s="56">
        <v>46006.0</v>
      </c>
      <c r="H246" s="36">
        <v>0.0</v>
      </c>
      <c r="I246" s="52" t="s">
        <v>18</v>
      </c>
      <c r="J246" s="34" t="s">
        <v>351</v>
      </c>
      <c r="K246" s="33" t="s">
        <v>20</v>
      </c>
      <c r="L246" s="36">
        <v>735.0</v>
      </c>
      <c r="M246" s="51" t="s">
        <v>27</v>
      </c>
    </row>
    <row r="247" ht="22.5" customHeight="1">
      <c r="A247" s="33" t="s">
        <v>492</v>
      </c>
      <c r="B247" s="33" t="s">
        <v>493</v>
      </c>
      <c r="C247" s="57"/>
      <c r="D247" s="33" t="s">
        <v>15</v>
      </c>
      <c r="E247" s="34" t="s">
        <v>460</v>
      </c>
      <c r="F247" s="34" t="s">
        <v>36</v>
      </c>
      <c r="G247" s="56">
        <v>46007.0</v>
      </c>
      <c r="H247" s="36">
        <v>90.0</v>
      </c>
      <c r="I247" s="52" t="s">
        <v>18</v>
      </c>
      <c r="J247" s="34" t="s">
        <v>351</v>
      </c>
      <c r="K247" s="33" t="s">
        <v>20</v>
      </c>
      <c r="L247" s="36">
        <v>30.0</v>
      </c>
      <c r="M247" s="51" t="s">
        <v>199</v>
      </c>
    </row>
    <row r="248" ht="22.5" customHeight="1">
      <c r="A248" s="33" t="s">
        <v>122</v>
      </c>
      <c r="B248" s="33" t="s">
        <v>319</v>
      </c>
      <c r="C248" s="57"/>
      <c r="D248" s="33" t="s">
        <v>15</v>
      </c>
      <c r="E248" s="34" t="s">
        <v>55</v>
      </c>
      <c r="F248" s="34" t="s">
        <v>40</v>
      </c>
      <c r="G248" s="56">
        <v>46007.0</v>
      </c>
      <c r="H248" s="36">
        <v>0.0</v>
      </c>
      <c r="I248" s="52" t="s">
        <v>65</v>
      </c>
      <c r="J248" s="34" t="s">
        <v>351</v>
      </c>
      <c r="K248" s="33" t="s">
        <v>20</v>
      </c>
      <c r="L248" s="36">
        <v>90.0</v>
      </c>
      <c r="M248" s="51" t="s">
        <v>27</v>
      </c>
    </row>
    <row r="249" ht="22.5" customHeight="1">
      <c r="A249" s="33" t="s">
        <v>494</v>
      </c>
      <c r="B249" s="33" t="s">
        <v>476</v>
      </c>
      <c r="C249" s="29" t="s">
        <v>495</v>
      </c>
      <c r="D249" s="33" t="s">
        <v>30</v>
      </c>
      <c r="E249" s="34" t="s">
        <v>31</v>
      </c>
      <c r="F249" s="34" t="s">
        <v>17</v>
      </c>
      <c r="G249" s="56">
        <v>46007.0</v>
      </c>
      <c r="H249" s="36">
        <v>0.0</v>
      </c>
      <c r="I249" s="52" t="s">
        <v>47</v>
      </c>
      <c r="J249" s="34" t="s">
        <v>351</v>
      </c>
      <c r="K249" s="33" t="s">
        <v>20</v>
      </c>
      <c r="L249" s="36">
        <v>464.0</v>
      </c>
      <c r="M249" s="51" t="s">
        <v>127</v>
      </c>
    </row>
    <row r="250" ht="22.5" customHeight="1">
      <c r="A250" s="33" t="s">
        <v>496</v>
      </c>
      <c r="B250" s="33" t="s">
        <v>497</v>
      </c>
      <c r="C250" s="57"/>
      <c r="D250" s="33" t="s">
        <v>30</v>
      </c>
      <c r="E250" s="34" t="s">
        <v>31</v>
      </c>
      <c r="F250" s="34" t="s">
        <v>17</v>
      </c>
      <c r="G250" s="56">
        <v>46007.0</v>
      </c>
      <c r="H250" s="36">
        <v>0.0</v>
      </c>
      <c r="I250" s="52" t="s">
        <v>47</v>
      </c>
      <c r="J250" s="34" t="s">
        <v>351</v>
      </c>
      <c r="K250" s="33" t="s">
        <v>20</v>
      </c>
      <c r="L250" s="36">
        <v>239.0</v>
      </c>
      <c r="M250" s="51" t="s">
        <v>127</v>
      </c>
    </row>
    <row r="251" ht="22.5" customHeight="1">
      <c r="A251" s="33" t="s">
        <v>498</v>
      </c>
      <c r="B251" s="33" t="s">
        <v>499</v>
      </c>
      <c r="C251" s="57"/>
      <c r="D251" s="33" t="s">
        <v>15</v>
      </c>
      <c r="E251" s="34" t="s">
        <v>366</v>
      </c>
      <c r="F251" s="34" t="s">
        <v>40</v>
      </c>
      <c r="G251" s="56">
        <v>46008.0</v>
      </c>
      <c r="H251" s="36">
        <v>450.0</v>
      </c>
      <c r="I251" s="52" t="s">
        <v>500</v>
      </c>
      <c r="J251" s="34" t="s">
        <v>351</v>
      </c>
      <c r="K251" s="33" t="s">
        <v>20</v>
      </c>
      <c r="L251" s="36">
        <v>500.0</v>
      </c>
      <c r="M251" s="51" t="s">
        <v>199</v>
      </c>
    </row>
    <row r="252" ht="22.5" customHeight="1">
      <c r="A252" s="33" t="s">
        <v>501</v>
      </c>
      <c r="B252" s="33" t="s">
        <v>502</v>
      </c>
      <c r="C252" s="57"/>
      <c r="D252" s="33" t="s">
        <v>15</v>
      </c>
      <c r="E252" s="34" t="s">
        <v>55</v>
      </c>
      <c r="F252" s="34" t="s">
        <v>40</v>
      </c>
      <c r="G252" s="56">
        <v>46008.0</v>
      </c>
      <c r="H252" s="36">
        <v>50.0</v>
      </c>
      <c r="I252" s="52" t="s">
        <v>18</v>
      </c>
      <c r="J252" s="34" t="s">
        <v>351</v>
      </c>
      <c r="K252" s="33" t="s">
        <v>20</v>
      </c>
      <c r="L252" s="36">
        <v>170.0</v>
      </c>
      <c r="M252" s="51" t="s">
        <v>27</v>
      </c>
    </row>
    <row r="253" ht="22.5" customHeight="1">
      <c r="A253" s="33" t="s">
        <v>503</v>
      </c>
      <c r="B253" s="33" t="s">
        <v>143</v>
      </c>
      <c r="C253" s="57"/>
      <c r="D253" s="33" t="s">
        <v>15</v>
      </c>
      <c r="E253" s="34" t="s">
        <v>55</v>
      </c>
      <c r="F253" s="34" t="s">
        <v>40</v>
      </c>
      <c r="G253" s="56">
        <v>46008.0</v>
      </c>
      <c r="H253" s="36">
        <v>40.0</v>
      </c>
      <c r="I253" s="52" t="s">
        <v>75</v>
      </c>
      <c r="J253" s="34" t="s">
        <v>351</v>
      </c>
      <c r="K253" s="33" t="s">
        <v>20</v>
      </c>
      <c r="L253" s="36">
        <v>0.0</v>
      </c>
      <c r="M253" s="51" t="s">
        <v>27</v>
      </c>
    </row>
    <row r="254" ht="22.5" customHeight="1">
      <c r="A254" s="33" t="s">
        <v>336</v>
      </c>
      <c r="B254" s="33" t="s">
        <v>504</v>
      </c>
      <c r="C254" s="57"/>
      <c r="D254" s="33" t="s">
        <v>15</v>
      </c>
      <c r="E254" s="34" t="s">
        <v>55</v>
      </c>
      <c r="F254" s="34" t="s">
        <v>40</v>
      </c>
      <c r="G254" s="56">
        <v>46008.0</v>
      </c>
      <c r="H254" s="36">
        <v>0.0</v>
      </c>
      <c r="I254" s="52" t="s">
        <v>75</v>
      </c>
      <c r="J254" s="34" t="s">
        <v>351</v>
      </c>
      <c r="K254" s="33" t="s">
        <v>20</v>
      </c>
      <c r="L254" s="36">
        <v>120.0</v>
      </c>
      <c r="M254" s="51" t="s">
        <v>21</v>
      </c>
    </row>
    <row r="255" ht="22.5" customHeight="1">
      <c r="A255" s="33" t="s">
        <v>505</v>
      </c>
      <c r="B255" s="33" t="s">
        <v>506</v>
      </c>
      <c r="C255" s="57"/>
      <c r="D255" s="33" t="s">
        <v>15</v>
      </c>
      <c r="E255" s="34" t="s">
        <v>39</v>
      </c>
      <c r="F255" s="34" t="s">
        <v>40</v>
      </c>
      <c r="G255" s="56">
        <v>46008.0</v>
      </c>
      <c r="H255" s="36">
        <v>150.0</v>
      </c>
      <c r="I255" s="52" t="s">
        <v>18</v>
      </c>
      <c r="J255" s="34" t="s">
        <v>351</v>
      </c>
      <c r="K255" s="33" t="s">
        <v>20</v>
      </c>
      <c r="L255" s="36">
        <v>400.0</v>
      </c>
      <c r="M255" s="51" t="s">
        <v>27</v>
      </c>
    </row>
    <row r="256" ht="22.5" customHeight="1">
      <c r="A256" s="33" t="s">
        <v>507</v>
      </c>
      <c r="B256" s="33" t="s">
        <v>508</v>
      </c>
      <c r="C256" s="57"/>
      <c r="D256" s="33" t="s">
        <v>15</v>
      </c>
      <c r="E256" s="34" t="s">
        <v>55</v>
      </c>
      <c r="F256" s="34" t="s">
        <v>40</v>
      </c>
      <c r="G256" s="56">
        <v>46008.0</v>
      </c>
      <c r="H256" s="36">
        <v>50.0</v>
      </c>
      <c r="I256" s="52" t="s">
        <v>18</v>
      </c>
      <c r="J256" s="34" t="s">
        <v>351</v>
      </c>
      <c r="K256" s="33" t="s">
        <v>20</v>
      </c>
      <c r="L256" s="36">
        <v>110.0</v>
      </c>
      <c r="M256" s="51" t="s">
        <v>27</v>
      </c>
    </row>
    <row r="257" ht="22.5" customHeight="1">
      <c r="A257" s="33" t="s">
        <v>509</v>
      </c>
      <c r="B257" s="33" t="s">
        <v>510</v>
      </c>
      <c r="C257" s="57"/>
      <c r="D257" s="33" t="s">
        <v>15</v>
      </c>
      <c r="E257" s="34" t="s">
        <v>262</v>
      </c>
      <c r="F257" s="34" t="s">
        <v>40</v>
      </c>
      <c r="G257" s="56">
        <v>46009.0</v>
      </c>
      <c r="H257" s="36">
        <v>50.0</v>
      </c>
      <c r="I257" s="52" t="s">
        <v>65</v>
      </c>
      <c r="J257" s="34" t="s">
        <v>351</v>
      </c>
      <c r="K257" s="33" t="s">
        <v>20</v>
      </c>
      <c r="L257" s="36">
        <v>510.0</v>
      </c>
      <c r="M257" s="51" t="s">
        <v>91</v>
      </c>
    </row>
    <row r="258" ht="22.5" customHeight="1">
      <c r="A258" s="33" t="s">
        <v>511</v>
      </c>
      <c r="B258" s="33" t="s">
        <v>512</v>
      </c>
      <c r="C258" s="57"/>
      <c r="D258" s="33" t="s">
        <v>15</v>
      </c>
      <c r="E258" s="34" t="s">
        <v>39</v>
      </c>
      <c r="F258" s="34" t="s">
        <v>40</v>
      </c>
      <c r="G258" s="56">
        <v>46009.0</v>
      </c>
      <c r="H258" s="36">
        <v>50.0</v>
      </c>
      <c r="I258" s="52" t="s">
        <v>61</v>
      </c>
      <c r="J258" s="34" t="s">
        <v>351</v>
      </c>
      <c r="K258" s="33" t="s">
        <v>20</v>
      </c>
      <c r="L258" s="36">
        <v>658.0</v>
      </c>
      <c r="M258" s="51" t="s">
        <v>199</v>
      </c>
    </row>
    <row r="259" ht="22.5" customHeight="1">
      <c r="A259" s="33" t="s">
        <v>513</v>
      </c>
      <c r="B259" s="33" t="s">
        <v>282</v>
      </c>
      <c r="C259" s="57"/>
      <c r="D259" s="33" t="s">
        <v>15</v>
      </c>
      <c r="E259" s="34" t="s">
        <v>60</v>
      </c>
      <c r="F259" s="34" t="s">
        <v>36</v>
      </c>
      <c r="G259" s="56">
        <v>46009.0</v>
      </c>
      <c r="H259" s="36">
        <v>75.0</v>
      </c>
      <c r="I259" s="52" t="s">
        <v>47</v>
      </c>
      <c r="J259" s="34" t="s">
        <v>351</v>
      </c>
      <c r="K259" s="33" t="s">
        <v>20</v>
      </c>
      <c r="L259" s="36">
        <v>80.0</v>
      </c>
      <c r="M259" s="51" t="s">
        <v>27</v>
      </c>
    </row>
    <row r="260" ht="22.5" customHeight="1">
      <c r="A260" s="33" t="s">
        <v>514</v>
      </c>
      <c r="B260" s="33" t="s">
        <v>229</v>
      </c>
      <c r="C260" s="57"/>
      <c r="D260" s="33" t="s">
        <v>15</v>
      </c>
      <c r="E260" s="34" t="s">
        <v>60</v>
      </c>
      <c r="F260" s="34" t="s">
        <v>36</v>
      </c>
      <c r="G260" s="56">
        <v>46009.0</v>
      </c>
      <c r="H260" s="36">
        <v>50.0</v>
      </c>
      <c r="I260" s="52" t="s">
        <v>47</v>
      </c>
      <c r="J260" s="34" t="s">
        <v>351</v>
      </c>
      <c r="K260" s="33" t="s">
        <v>20</v>
      </c>
      <c r="L260" s="36">
        <v>260.0</v>
      </c>
      <c r="M260" s="51" t="s">
        <v>27</v>
      </c>
    </row>
    <row r="261" ht="22.5" customHeight="1">
      <c r="A261" s="33" t="s">
        <v>515</v>
      </c>
      <c r="B261" s="33" t="s">
        <v>349</v>
      </c>
      <c r="C261" s="57"/>
      <c r="D261" s="33" t="s">
        <v>15</v>
      </c>
      <c r="E261" s="34" t="s">
        <v>16</v>
      </c>
      <c r="F261" s="34" t="s">
        <v>17</v>
      </c>
      <c r="G261" s="56">
        <v>46009.0</v>
      </c>
      <c r="H261" s="36">
        <v>50.0</v>
      </c>
      <c r="I261" s="52" t="s">
        <v>61</v>
      </c>
      <c r="J261" s="34" t="s">
        <v>351</v>
      </c>
      <c r="K261" s="33" t="s">
        <v>20</v>
      </c>
      <c r="L261" s="36">
        <v>159.0</v>
      </c>
      <c r="M261" s="51" t="s">
        <v>27</v>
      </c>
    </row>
    <row r="262" ht="22.5" customHeight="1">
      <c r="A262" s="33" t="s">
        <v>516</v>
      </c>
      <c r="B262" s="33" t="s">
        <v>517</v>
      </c>
      <c r="C262" s="57"/>
      <c r="D262" s="33" t="s">
        <v>15</v>
      </c>
      <c r="E262" s="34" t="s">
        <v>64</v>
      </c>
      <c r="F262" s="34" t="s">
        <v>40</v>
      </c>
      <c r="G262" s="56">
        <v>46009.0</v>
      </c>
      <c r="H262" s="36">
        <v>50.0</v>
      </c>
      <c r="I262" s="52" t="s">
        <v>47</v>
      </c>
      <c r="J262" s="34" t="s">
        <v>351</v>
      </c>
      <c r="K262" s="33" t="s">
        <v>20</v>
      </c>
      <c r="L262" s="36">
        <v>109.0</v>
      </c>
      <c r="M262" s="51" t="s">
        <v>27</v>
      </c>
    </row>
    <row r="263" ht="22.5" customHeight="1">
      <c r="A263" s="33" t="s">
        <v>429</v>
      </c>
      <c r="B263" s="33" t="s">
        <v>305</v>
      </c>
      <c r="C263" s="57"/>
      <c r="D263" s="33" t="s">
        <v>30</v>
      </c>
      <c r="E263" s="34" t="s">
        <v>31</v>
      </c>
      <c r="F263" s="34" t="s">
        <v>32</v>
      </c>
      <c r="G263" s="56">
        <v>46009.0</v>
      </c>
      <c r="H263" s="36">
        <v>0.0</v>
      </c>
      <c r="I263" s="52" t="s">
        <v>47</v>
      </c>
      <c r="J263" s="34" t="s">
        <v>351</v>
      </c>
      <c r="K263" s="33" t="s">
        <v>20</v>
      </c>
      <c r="L263" s="36">
        <v>429.0</v>
      </c>
      <c r="M263" s="51" t="s">
        <v>127</v>
      </c>
    </row>
    <row r="264" ht="22.5" customHeight="1">
      <c r="A264" s="33" t="s">
        <v>216</v>
      </c>
      <c r="B264" s="33" t="s">
        <v>518</v>
      </c>
      <c r="C264" s="57"/>
      <c r="D264" s="33" t="s">
        <v>30</v>
      </c>
      <c r="E264" s="34" t="s">
        <v>31</v>
      </c>
      <c r="F264" s="34" t="s">
        <v>17</v>
      </c>
      <c r="G264" s="56">
        <v>46009.0</v>
      </c>
      <c r="H264" s="36">
        <v>0.0</v>
      </c>
      <c r="I264" s="52" t="s">
        <v>75</v>
      </c>
      <c r="J264" s="34" t="s">
        <v>351</v>
      </c>
      <c r="K264" s="33" t="s">
        <v>20</v>
      </c>
      <c r="L264" s="36">
        <v>100.0</v>
      </c>
      <c r="M264" s="51" t="s">
        <v>91</v>
      </c>
    </row>
    <row r="265" ht="22.5" customHeight="1">
      <c r="A265" s="33" t="s">
        <v>519</v>
      </c>
      <c r="B265" s="33" t="s">
        <v>84</v>
      </c>
      <c r="C265" s="57"/>
      <c r="D265" s="33" t="s">
        <v>15</v>
      </c>
      <c r="E265" s="34" t="s">
        <v>260</v>
      </c>
      <c r="F265" s="34" t="s">
        <v>36</v>
      </c>
      <c r="G265" s="56">
        <v>46010.0</v>
      </c>
      <c r="H265" s="36">
        <v>15.0</v>
      </c>
      <c r="I265" s="52" t="s">
        <v>18</v>
      </c>
      <c r="J265" s="34" t="s">
        <v>351</v>
      </c>
      <c r="K265" s="33" t="s">
        <v>20</v>
      </c>
      <c r="L265" s="36">
        <v>65.0</v>
      </c>
      <c r="M265" s="51" t="s">
        <v>199</v>
      </c>
    </row>
    <row r="266" ht="22.5" customHeight="1">
      <c r="A266" s="33" t="s">
        <v>520</v>
      </c>
      <c r="B266" s="33" t="s">
        <v>521</v>
      </c>
      <c r="C266" s="57"/>
      <c r="D266" s="33" t="s">
        <v>15</v>
      </c>
      <c r="E266" s="34" t="s">
        <v>60</v>
      </c>
      <c r="F266" s="34" t="s">
        <v>36</v>
      </c>
      <c r="G266" s="56">
        <v>46010.0</v>
      </c>
      <c r="H266" s="36">
        <v>50.0</v>
      </c>
      <c r="I266" s="52" t="s">
        <v>18</v>
      </c>
      <c r="J266" s="34" t="s">
        <v>351</v>
      </c>
      <c r="K266" s="33" t="s">
        <v>20</v>
      </c>
      <c r="L266" s="36">
        <v>170.0</v>
      </c>
      <c r="M266" s="51" t="s">
        <v>27</v>
      </c>
    </row>
    <row r="267" ht="22.5" customHeight="1">
      <c r="A267" s="33" t="s">
        <v>522</v>
      </c>
      <c r="B267" s="33" t="s">
        <v>523</v>
      </c>
      <c r="C267" s="57"/>
      <c r="D267" s="33" t="s">
        <v>15</v>
      </c>
      <c r="E267" s="34" t="s">
        <v>60</v>
      </c>
      <c r="F267" s="34" t="s">
        <v>36</v>
      </c>
      <c r="G267" s="56">
        <v>46010.0</v>
      </c>
      <c r="H267" s="36">
        <v>50.0</v>
      </c>
      <c r="I267" s="52" t="s">
        <v>65</v>
      </c>
      <c r="J267" s="34" t="s">
        <v>351</v>
      </c>
      <c r="K267" s="33" t="s">
        <v>20</v>
      </c>
      <c r="L267" s="36">
        <v>105.0</v>
      </c>
      <c r="M267" s="51" t="s">
        <v>27</v>
      </c>
    </row>
    <row r="268" ht="22.5" customHeight="1">
      <c r="A268" s="33" t="s">
        <v>524</v>
      </c>
      <c r="B268" s="33" t="s">
        <v>525</v>
      </c>
      <c r="C268" s="57"/>
      <c r="D268" s="33" t="s">
        <v>15</v>
      </c>
      <c r="E268" s="34" t="s">
        <v>210</v>
      </c>
      <c r="F268" s="34" t="s">
        <v>40</v>
      </c>
      <c r="G268" s="56">
        <v>46010.0</v>
      </c>
      <c r="H268" s="36">
        <v>50.0</v>
      </c>
      <c r="I268" s="52" t="s">
        <v>18</v>
      </c>
      <c r="J268" s="34" t="s">
        <v>351</v>
      </c>
      <c r="K268" s="33" t="s">
        <v>20</v>
      </c>
      <c r="L268" s="36">
        <v>70.0</v>
      </c>
      <c r="M268" s="51" t="s">
        <v>27</v>
      </c>
    </row>
    <row r="269" ht="22.5" customHeight="1">
      <c r="A269" s="33" t="s">
        <v>526</v>
      </c>
      <c r="B269" s="33" t="s">
        <v>379</v>
      </c>
      <c r="C269" s="57"/>
      <c r="D269" s="33" t="s">
        <v>15</v>
      </c>
      <c r="E269" s="34" t="s">
        <v>60</v>
      </c>
      <c r="F269" s="34" t="s">
        <v>36</v>
      </c>
      <c r="G269" s="56">
        <v>46010.0</v>
      </c>
      <c r="H269" s="36">
        <v>50.0</v>
      </c>
      <c r="I269" s="52" t="s">
        <v>18</v>
      </c>
      <c r="J269" s="34" t="s">
        <v>351</v>
      </c>
      <c r="K269" s="33" t="s">
        <v>20</v>
      </c>
      <c r="L269" s="36">
        <v>185.0</v>
      </c>
      <c r="M269" s="51" t="s">
        <v>27</v>
      </c>
    </row>
    <row r="270" ht="22.5" customHeight="1">
      <c r="A270" s="33" t="s">
        <v>527</v>
      </c>
      <c r="B270" s="33" t="s">
        <v>528</v>
      </c>
      <c r="C270" s="57"/>
      <c r="D270" s="33" t="s">
        <v>15</v>
      </c>
      <c r="E270" s="34" t="s">
        <v>366</v>
      </c>
      <c r="F270" s="34" t="s">
        <v>40</v>
      </c>
      <c r="G270" s="56">
        <v>46010.0</v>
      </c>
      <c r="H270" s="36">
        <v>50.0</v>
      </c>
      <c r="I270" s="52" t="s">
        <v>47</v>
      </c>
      <c r="J270" s="34" t="s">
        <v>351</v>
      </c>
      <c r="K270" s="33" t="s">
        <v>20</v>
      </c>
      <c r="L270" s="36">
        <v>900.0</v>
      </c>
      <c r="M270" s="51" t="s">
        <v>27</v>
      </c>
    </row>
    <row r="271" ht="22.5" customHeight="1">
      <c r="A271" s="33" t="s">
        <v>529</v>
      </c>
      <c r="B271" s="33" t="s">
        <v>530</v>
      </c>
      <c r="C271" s="57"/>
      <c r="D271" s="33" t="s">
        <v>15</v>
      </c>
      <c r="E271" s="34" t="s">
        <v>55</v>
      </c>
      <c r="F271" s="34" t="s">
        <v>40</v>
      </c>
      <c r="G271" s="56">
        <v>46011.0</v>
      </c>
      <c r="H271" s="36">
        <v>50.0</v>
      </c>
      <c r="I271" s="52" t="s">
        <v>18</v>
      </c>
      <c r="J271" s="34" t="s">
        <v>351</v>
      </c>
      <c r="K271" s="33" t="s">
        <v>20</v>
      </c>
      <c r="L271" s="36">
        <v>130.0</v>
      </c>
      <c r="M271" s="51" t="s">
        <v>199</v>
      </c>
    </row>
    <row r="272" ht="22.5" customHeight="1">
      <c r="A272" s="33" t="s">
        <v>531</v>
      </c>
      <c r="B272" s="33" t="s">
        <v>80</v>
      </c>
      <c r="C272" s="57"/>
      <c r="D272" s="33" t="s">
        <v>15</v>
      </c>
      <c r="E272" s="34" t="s">
        <v>60</v>
      </c>
      <c r="F272" s="34" t="s">
        <v>36</v>
      </c>
      <c r="G272" s="56">
        <v>46011.0</v>
      </c>
      <c r="H272" s="36">
        <v>50.0</v>
      </c>
      <c r="I272" s="52" t="s">
        <v>47</v>
      </c>
      <c r="J272" s="34" t="s">
        <v>351</v>
      </c>
      <c r="K272" s="33" t="s">
        <v>20</v>
      </c>
      <c r="L272" s="36">
        <v>105.0</v>
      </c>
      <c r="M272" s="51" t="s">
        <v>27</v>
      </c>
    </row>
    <row r="273" ht="22.5" customHeight="1">
      <c r="A273" s="33" t="s">
        <v>396</v>
      </c>
      <c r="B273" s="33" t="s">
        <v>397</v>
      </c>
      <c r="C273" s="57"/>
      <c r="D273" s="33" t="s">
        <v>15</v>
      </c>
      <c r="E273" s="34" t="s">
        <v>55</v>
      </c>
      <c r="F273" s="34" t="s">
        <v>40</v>
      </c>
      <c r="G273" s="56">
        <v>46011.0</v>
      </c>
      <c r="H273" s="36">
        <v>40.0</v>
      </c>
      <c r="I273" s="52" t="s">
        <v>61</v>
      </c>
      <c r="J273" s="34" t="s">
        <v>351</v>
      </c>
      <c r="K273" s="33" t="s">
        <v>20</v>
      </c>
      <c r="L273" s="36">
        <v>0.0</v>
      </c>
      <c r="M273" s="51" t="s">
        <v>27</v>
      </c>
    </row>
    <row r="274" ht="22.5" customHeight="1">
      <c r="A274" s="33" t="s">
        <v>532</v>
      </c>
      <c r="B274" s="33" t="s">
        <v>197</v>
      </c>
      <c r="C274" s="57"/>
      <c r="D274" s="33" t="s">
        <v>15</v>
      </c>
      <c r="E274" s="34" t="s">
        <v>31</v>
      </c>
      <c r="F274" s="34" t="s">
        <v>17</v>
      </c>
      <c r="G274" s="56">
        <v>46011.0</v>
      </c>
      <c r="H274" s="36">
        <v>0.0</v>
      </c>
      <c r="I274" s="52" t="s">
        <v>65</v>
      </c>
      <c r="J274" s="34" t="s">
        <v>351</v>
      </c>
      <c r="K274" s="33" t="s">
        <v>20</v>
      </c>
      <c r="L274" s="36">
        <v>180.0</v>
      </c>
      <c r="M274" s="51" t="s">
        <v>21</v>
      </c>
    </row>
    <row r="275" ht="22.5" customHeight="1">
      <c r="A275" s="33" t="s">
        <v>533</v>
      </c>
      <c r="B275" s="33" t="s">
        <v>534</v>
      </c>
      <c r="C275" s="57"/>
      <c r="D275" s="33" t="s">
        <v>30</v>
      </c>
      <c r="E275" s="34" t="s">
        <v>31</v>
      </c>
      <c r="F275" s="34" t="s">
        <v>17</v>
      </c>
      <c r="G275" s="56">
        <v>46011.0</v>
      </c>
      <c r="H275" s="36">
        <v>50.0</v>
      </c>
      <c r="I275" s="52" t="s">
        <v>65</v>
      </c>
      <c r="J275" s="34" t="s">
        <v>535</v>
      </c>
      <c r="K275" s="33" t="s">
        <v>20</v>
      </c>
      <c r="L275" s="36">
        <v>130.0</v>
      </c>
      <c r="M275" s="51" t="s">
        <v>127</v>
      </c>
    </row>
    <row r="276" ht="22.5" customHeight="1">
      <c r="A276" s="33" t="s">
        <v>536</v>
      </c>
      <c r="B276" s="33" t="s">
        <v>537</v>
      </c>
      <c r="C276" s="57"/>
      <c r="D276" s="33" t="s">
        <v>30</v>
      </c>
      <c r="E276" s="34" t="s">
        <v>31</v>
      </c>
      <c r="F276" s="34" t="s">
        <v>17</v>
      </c>
      <c r="G276" s="56">
        <v>46011.0</v>
      </c>
      <c r="H276" s="36">
        <v>50.0</v>
      </c>
      <c r="I276" s="52" t="s">
        <v>75</v>
      </c>
      <c r="J276" s="34" t="s">
        <v>535</v>
      </c>
      <c r="K276" s="33" t="s">
        <v>20</v>
      </c>
      <c r="L276" s="36">
        <v>0.0</v>
      </c>
      <c r="M276" s="51" t="s">
        <v>27</v>
      </c>
    </row>
    <row r="277" ht="22.5" customHeight="1">
      <c r="A277" s="33" t="s">
        <v>216</v>
      </c>
      <c r="B277" s="33" t="s">
        <v>246</v>
      </c>
      <c r="C277" s="57"/>
      <c r="D277" s="33" t="s">
        <v>15</v>
      </c>
      <c r="E277" s="34" t="s">
        <v>55</v>
      </c>
      <c r="F277" s="34" t="s">
        <v>40</v>
      </c>
      <c r="G277" s="56">
        <v>46013.0</v>
      </c>
      <c r="H277" s="36">
        <v>0.0</v>
      </c>
      <c r="I277" s="52" t="s">
        <v>65</v>
      </c>
      <c r="J277" s="34" t="s">
        <v>535</v>
      </c>
      <c r="K277" s="33" t="s">
        <v>20</v>
      </c>
      <c r="L277" s="36">
        <v>395.0</v>
      </c>
      <c r="M277" s="51" t="s">
        <v>21</v>
      </c>
    </row>
    <row r="278" ht="22.5" customHeight="1">
      <c r="A278" s="33" t="s">
        <v>538</v>
      </c>
      <c r="B278" s="33" t="s">
        <v>169</v>
      </c>
      <c r="C278" s="29">
        <v>9.49443146E8</v>
      </c>
      <c r="D278" s="33" t="s">
        <v>15</v>
      </c>
      <c r="E278" s="34" t="s">
        <v>55</v>
      </c>
      <c r="F278" s="34" t="s">
        <v>40</v>
      </c>
      <c r="G278" s="56">
        <v>46013.0</v>
      </c>
      <c r="H278" s="36" t="s">
        <v>539</v>
      </c>
      <c r="I278" s="52" t="s">
        <v>65</v>
      </c>
      <c r="J278" s="34" t="s">
        <v>535</v>
      </c>
      <c r="K278" s="33" t="s">
        <v>20</v>
      </c>
      <c r="L278" s="36">
        <v>0.0</v>
      </c>
      <c r="M278" s="51" t="s">
        <v>27</v>
      </c>
    </row>
    <row r="279" ht="22.5" customHeight="1">
      <c r="A279" s="33" t="s">
        <v>540</v>
      </c>
      <c r="B279" s="33" t="s">
        <v>349</v>
      </c>
      <c r="C279" s="29" t="s">
        <v>541</v>
      </c>
      <c r="D279" s="33" t="s">
        <v>15</v>
      </c>
      <c r="E279" s="34" t="s">
        <v>55</v>
      </c>
      <c r="F279" s="34" t="s">
        <v>40</v>
      </c>
      <c r="G279" s="56">
        <v>46013.0</v>
      </c>
      <c r="H279" s="36">
        <v>50.0</v>
      </c>
      <c r="I279" s="52" t="s">
        <v>18</v>
      </c>
      <c r="J279" s="34" t="s">
        <v>535</v>
      </c>
      <c r="K279" s="33" t="s">
        <v>20</v>
      </c>
      <c r="L279" s="36">
        <v>270.0</v>
      </c>
      <c r="M279" s="51" t="s">
        <v>27</v>
      </c>
    </row>
    <row r="280" ht="22.5" customHeight="1">
      <c r="A280" s="33" t="s">
        <v>348</v>
      </c>
      <c r="B280" s="33" t="s">
        <v>78</v>
      </c>
      <c r="C280" s="29">
        <v>9.22808929E8</v>
      </c>
      <c r="D280" s="33" t="s">
        <v>15</v>
      </c>
      <c r="E280" s="34" t="s">
        <v>430</v>
      </c>
      <c r="F280" s="34" t="s">
        <v>40</v>
      </c>
      <c r="G280" s="56">
        <v>46013.0</v>
      </c>
      <c r="H280" s="36">
        <v>50.0</v>
      </c>
      <c r="I280" s="52" t="s">
        <v>65</v>
      </c>
      <c r="J280" s="34" t="s">
        <v>535</v>
      </c>
      <c r="K280" s="33" t="s">
        <v>20</v>
      </c>
      <c r="L280" s="36">
        <v>170.0</v>
      </c>
      <c r="M280" s="51" t="s">
        <v>27</v>
      </c>
    </row>
    <row r="281" ht="22.5" customHeight="1">
      <c r="A281" s="33" t="s">
        <v>414</v>
      </c>
      <c r="B281" s="33" t="s">
        <v>415</v>
      </c>
      <c r="C281" s="57"/>
      <c r="D281" s="33" t="s">
        <v>15</v>
      </c>
      <c r="E281" s="34" t="s">
        <v>289</v>
      </c>
      <c r="F281" s="34" t="s">
        <v>36</v>
      </c>
      <c r="G281" s="56">
        <v>46014.0</v>
      </c>
      <c r="H281" s="36">
        <v>700.0</v>
      </c>
      <c r="I281" s="52" t="s">
        <v>65</v>
      </c>
      <c r="J281" s="34" t="s">
        <v>535</v>
      </c>
      <c r="K281" s="33" t="s">
        <v>20</v>
      </c>
      <c r="L281" s="36">
        <v>0.0</v>
      </c>
      <c r="M281" s="51" t="s">
        <v>21</v>
      </c>
    </row>
    <row r="282" ht="22.5" customHeight="1">
      <c r="A282" s="33" t="s">
        <v>263</v>
      </c>
      <c r="B282" s="33" t="s">
        <v>169</v>
      </c>
      <c r="C282" s="57"/>
      <c r="D282" s="33" t="s">
        <v>15</v>
      </c>
      <c r="E282" s="34" t="s">
        <v>106</v>
      </c>
      <c r="F282" s="34" t="s">
        <v>133</v>
      </c>
      <c r="G282" s="56">
        <v>46014.0</v>
      </c>
      <c r="H282" s="36">
        <v>50.0</v>
      </c>
      <c r="I282" s="52" t="s">
        <v>18</v>
      </c>
      <c r="J282" s="34" t="s">
        <v>535</v>
      </c>
      <c r="K282" s="33" t="s">
        <v>20</v>
      </c>
      <c r="L282" s="36">
        <v>500.0</v>
      </c>
      <c r="M282" s="51" t="s">
        <v>91</v>
      </c>
    </row>
    <row r="283" ht="22.5" customHeight="1">
      <c r="A283" s="33" t="s">
        <v>542</v>
      </c>
      <c r="B283" s="33" t="s">
        <v>543</v>
      </c>
      <c r="C283" s="57"/>
      <c r="D283" s="33" t="s">
        <v>15</v>
      </c>
      <c r="E283" s="34" t="s">
        <v>60</v>
      </c>
      <c r="F283" s="34" t="s">
        <v>36</v>
      </c>
      <c r="G283" s="56">
        <v>46014.0</v>
      </c>
      <c r="H283" s="36">
        <v>50.0</v>
      </c>
      <c r="I283" s="52" t="s">
        <v>18</v>
      </c>
      <c r="J283" s="34" t="s">
        <v>535</v>
      </c>
      <c r="K283" s="33" t="s">
        <v>20</v>
      </c>
      <c r="L283" s="36">
        <v>105.0</v>
      </c>
      <c r="M283" s="51" t="s">
        <v>199</v>
      </c>
    </row>
    <row r="284" ht="22.5" customHeight="1">
      <c r="A284" s="33" t="s">
        <v>544</v>
      </c>
      <c r="B284" s="33" t="s">
        <v>372</v>
      </c>
      <c r="C284" s="57"/>
      <c r="D284" s="33" t="s">
        <v>15</v>
      </c>
      <c r="E284" s="34" t="s">
        <v>106</v>
      </c>
      <c r="F284" s="34" t="s">
        <v>133</v>
      </c>
      <c r="G284" s="56">
        <v>46014.0</v>
      </c>
      <c r="H284" s="36">
        <v>50.0</v>
      </c>
      <c r="I284" s="52" t="s">
        <v>47</v>
      </c>
      <c r="J284" s="34" t="s">
        <v>535</v>
      </c>
      <c r="K284" s="33" t="s">
        <v>20</v>
      </c>
      <c r="L284" s="36">
        <v>500.0</v>
      </c>
      <c r="M284" s="51" t="s">
        <v>199</v>
      </c>
    </row>
    <row r="285" ht="22.5" customHeight="1">
      <c r="A285" s="33" t="s">
        <v>122</v>
      </c>
      <c r="B285" s="33" t="s">
        <v>204</v>
      </c>
      <c r="C285" s="57"/>
      <c r="D285" s="33" t="s">
        <v>15</v>
      </c>
      <c r="E285" s="34" t="s">
        <v>106</v>
      </c>
      <c r="F285" s="34" t="s">
        <v>133</v>
      </c>
      <c r="G285" s="56">
        <v>46014.0</v>
      </c>
      <c r="H285" s="36">
        <v>50.0</v>
      </c>
      <c r="I285" s="52" t="s">
        <v>47</v>
      </c>
      <c r="J285" s="34" t="s">
        <v>535</v>
      </c>
      <c r="K285" s="33" t="s">
        <v>20</v>
      </c>
      <c r="L285" s="36">
        <v>500.0</v>
      </c>
      <c r="M285" s="51" t="s">
        <v>199</v>
      </c>
    </row>
    <row r="286" ht="22.5" customHeight="1">
      <c r="A286" s="33" t="s">
        <v>545</v>
      </c>
      <c r="B286" s="33" t="s">
        <v>546</v>
      </c>
      <c r="C286" s="57"/>
      <c r="D286" s="33" t="s">
        <v>15</v>
      </c>
      <c r="E286" s="34" t="s">
        <v>289</v>
      </c>
      <c r="F286" s="34" t="s">
        <v>36</v>
      </c>
      <c r="G286" s="56">
        <v>46014.0</v>
      </c>
      <c r="H286" s="36">
        <v>0.0</v>
      </c>
      <c r="I286" s="52" t="s">
        <v>75</v>
      </c>
      <c r="J286" s="34" t="s">
        <v>535</v>
      </c>
      <c r="K286" s="33" t="s">
        <v>20</v>
      </c>
      <c r="L286" s="36">
        <v>1400.0</v>
      </c>
      <c r="M286" s="51" t="s">
        <v>199</v>
      </c>
    </row>
    <row r="287" ht="22.5" customHeight="1">
      <c r="A287" s="33" t="s">
        <v>174</v>
      </c>
      <c r="B287" s="33" t="s">
        <v>547</v>
      </c>
      <c r="C287" s="57"/>
      <c r="D287" s="33" t="s">
        <v>15</v>
      </c>
      <c r="E287" s="34" t="s">
        <v>35</v>
      </c>
      <c r="F287" s="34" t="s">
        <v>133</v>
      </c>
      <c r="G287" s="56">
        <v>46014.0</v>
      </c>
      <c r="H287" s="36">
        <v>50.0</v>
      </c>
      <c r="I287" s="52" t="s">
        <v>18</v>
      </c>
      <c r="J287" s="34" t="s">
        <v>535</v>
      </c>
      <c r="K287" s="33" t="s">
        <v>20</v>
      </c>
      <c r="L287" s="36">
        <v>200.0</v>
      </c>
      <c r="M287" s="51" t="s">
        <v>27</v>
      </c>
    </row>
    <row r="288" ht="22.5" customHeight="1">
      <c r="A288" s="33" t="s">
        <v>509</v>
      </c>
      <c r="B288" s="33" t="s">
        <v>510</v>
      </c>
      <c r="C288" s="57"/>
      <c r="D288" s="33" t="s">
        <v>15</v>
      </c>
      <c r="E288" s="34" t="s">
        <v>35</v>
      </c>
      <c r="F288" s="34" t="s">
        <v>133</v>
      </c>
      <c r="G288" s="56">
        <v>46014.0</v>
      </c>
      <c r="H288" s="36">
        <v>0.0</v>
      </c>
      <c r="I288" s="52" t="s">
        <v>65</v>
      </c>
      <c r="J288" s="34" t="s">
        <v>535</v>
      </c>
      <c r="K288" s="33" t="s">
        <v>20</v>
      </c>
      <c r="L288" s="36">
        <v>600.0</v>
      </c>
      <c r="M288" s="51" t="s">
        <v>21</v>
      </c>
    </row>
    <row r="289" ht="22.5" customHeight="1">
      <c r="A289" s="33" t="s">
        <v>548</v>
      </c>
      <c r="B289" s="33" t="s">
        <v>549</v>
      </c>
      <c r="C289" s="57"/>
      <c r="D289" s="33" t="s">
        <v>15</v>
      </c>
      <c r="E289" s="34" t="s">
        <v>16</v>
      </c>
      <c r="F289" s="34" t="s">
        <v>17</v>
      </c>
      <c r="G289" s="56">
        <v>46015.0</v>
      </c>
      <c r="H289" s="36">
        <v>50.0</v>
      </c>
      <c r="I289" s="52" t="s">
        <v>61</v>
      </c>
      <c r="J289" s="34" t="s">
        <v>535</v>
      </c>
      <c r="K289" s="33" t="s">
        <v>20</v>
      </c>
      <c r="L289" s="36">
        <v>368.0</v>
      </c>
      <c r="M289" s="51" t="s">
        <v>27</v>
      </c>
    </row>
    <row r="290" ht="22.5" customHeight="1">
      <c r="A290" s="33" t="s">
        <v>532</v>
      </c>
      <c r="B290" s="33" t="s">
        <v>197</v>
      </c>
      <c r="C290" s="57"/>
      <c r="D290" s="33" t="s">
        <v>15</v>
      </c>
      <c r="E290" s="34" t="s">
        <v>31</v>
      </c>
      <c r="F290" s="34" t="s">
        <v>17</v>
      </c>
      <c r="G290" s="56">
        <v>46017.0</v>
      </c>
      <c r="H290" s="36">
        <v>180.0</v>
      </c>
      <c r="I290" s="52" t="s">
        <v>65</v>
      </c>
      <c r="J290" s="34" t="s">
        <v>535</v>
      </c>
      <c r="K290" s="33" t="s">
        <v>20</v>
      </c>
      <c r="L290" s="36">
        <v>0.0</v>
      </c>
      <c r="M290" s="51" t="s">
        <v>21</v>
      </c>
    </row>
    <row r="291" ht="22.5" customHeight="1">
      <c r="A291" s="33" t="s">
        <v>550</v>
      </c>
      <c r="B291" s="33" t="s">
        <v>551</v>
      </c>
      <c r="C291" s="57"/>
      <c r="D291" s="33" t="s">
        <v>15</v>
      </c>
      <c r="E291" s="34" t="s">
        <v>426</v>
      </c>
      <c r="F291" s="34" t="s">
        <v>17</v>
      </c>
      <c r="G291" s="56">
        <v>46017.0</v>
      </c>
      <c r="H291" s="36">
        <v>50.0</v>
      </c>
      <c r="I291" s="52" t="s">
        <v>18</v>
      </c>
      <c r="J291" s="34" t="s">
        <v>535</v>
      </c>
      <c r="K291" s="33" t="s">
        <v>20</v>
      </c>
      <c r="L291" s="36">
        <v>260.0</v>
      </c>
      <c r="M291" s="51" t="s">
        <v>27</v>
      </c>
    </row>
    <row r="292" ht="22.5" customHeight="1">
      <c r="A292" s="33" t="s">
        <v>552</v>
      </c>
      <c r="B292" s="33" t="s">
        <v>553</v>
      </c>
      <c r="C292" s="57"/>
      <c r="D292" s="33" t="s">
        <v>15</v>
      </c>
      <c r="E292" s="34" t="s">
        <v>210</v>
      </c>
      <c r="F292" s="34" t="s">
        <v>40</v>
      </c>
      <c r="G292" s="56">
        <v>46017.0</v>
      </c>
      <c r="H292" s="36">
        <v>0.0</v>
      </c>
      <c r="I292" s="52" t="s">
        <v>18</v>
      </c>
      <c r="J292" s="34" t="s">
        <v>535</v>
      </c>
      <c r="K292" s="33" t="s">
        <v>20</v>
      </c>
      <c r="L292" s="36">
        <v>180.0</v>
      </c>
      <c r="M292" s="51" t="s">
        <v>21</v>
      </c>
    </row>
    <row r="293" ht="22.5" customHeight="1">
      <c r="A293" s="33" t="s">
        <v>412</v>
      </c>
      <c r="B293" s="33" t="s">
        <v>413</v>
      </c>
      <c r="C293" s="57"/>
      <c r="D293" s="33" t="s">
        <v>15</v>
      </c>
      <c r="E293" s="34" t="s">
        <v>262</v>
      </c>
      <c r="F293" s="34" t="s">
        <v>40</v>
      </c>
      <c r="G293" s="56">
        <v>46018.0</v>
      </c>
      <c r="H293" s="36">
        <v>0.0</v>
      </c>
      <c r="I293" s="52" t="s">
        <v>65</v>
      </c>
      <c r="J293" s="34" t="s">
        <v>535</v>
      </c>
      <c r="K293" s="33" t="s">
        <v>20</v>
      </c>
      <c r="L293" s="36">
        <v>500.0</v>
      </c>
      <c r="M293" s="51" t="s">
        <v>21</v>
      </c>
    </row>
    <row r="294" ht="22.5" customHeight="1">
      <c r="A294" s="33" t="s">
        <v>166</v>
      </c>
      <c r="B294" s="33" t="s">
        <v>554</v>
      </c>
      <c r="C294" s="57"/>
      <c r="D294" s="33" t="s">
        <v>15</v>
      </c>
      <c r="E294" s="34" t="s">
        <v>55</v>
      </c>
      <c r="F294" s="34" t="s">
        <v>40</v>
      </c>
      <c r="G294" s="56">
        <v>46018.0</v>
      </c>
      <c r="H294" s="36">
        <v>50.0</v>
      </c>
      <c r="I294" s="52" t="s">
        <v>18</v>
      </c>
      <c r="J294" s="34" t="s">
        <v>535</v>
      </c>
      <c r="K294" s="33" t="s">
        <v>20</v>
      </c>
      <c r="L294" s="36">
        <v>240.0</v>
      </c>
      <c r="M294" s="51" t="s">
        <v>27</v>
      </c>
    </row>
    <row r="295" ht="22.5" customHeight="1">
      <c r="A295" s="33" t="s">
        <v>142</v>
      </c>
      <c r="B295" s="33" t="s">
        <v>209</v>
      </c>
      <c r="C295" s="57"/>
      <c r="D295" s="33" t="s">
        <v>15</v>
      </c>
      <c r="E295" s="34" t="s">
        <v>55</v>
      </c>
      <c r="F295" s="34" t="s">
        <v>40</v>
      </c>
      <c r="G295" s="56">
        <v>46018.0</v>
      </c>
      <c r="H295" s="36">
        <v>100.0</v>
      </c>
      <c r="I295" s="52" t="s">
        <v>65</v>
      </c>
      <c r="J295" s="34" t="s">
        <v>535</v>
      </c>
      <c r="K295" s="33" t="s">
        <v>20</v>
      </c>
      <c r="L295" s="36">
        <v>105.0</v>
      </c>
      <c r="M295" s="51" t="s">
        <v>27</v>
      </c>
    </row>
    <row r="296" ht="22.5" customHeight="1">
      <c r="A296" s="33" t="s">
        <v>261</v>
      </c>
      <c r="B296" s="33" t="s">
        <v>84</v>
      </c>
      <c r="C296" s="57"/>
      <c r="D296" s="33" t="s">
        <v>15</v>
      </c>
      <c r="E296" s="34" t="s">
        <v>366</v>
      </c>
      <c r="F296" s="34" t="s">
        <v>40</v>
      </c>
      <c r="G296" s="56">
        <v>46018.0</v>
      </c>
      <c r="H296" s="36">
        <v>0.0</v>
      </c>
      <c r="I296" s="52" t="s">
        <v>65</v>
      </c>
      <c r="J296" s="34" t="s">
        <v>535</v>
      </c>
      <c r="K296" s="33" t="s">
        <v>20</v>
      </c>
      <c r="L296" s="36">
        <v>950.0</v>
      </c>
      <c r="M296" s="51" t="s">
        <v>127</v>
      </c>
    </row>
    <row r="297" ht="22.5" customHeight="1">
      <c r="A297" s="33" t="s">
        <v>261</v>
      </c>
      <c r="B297" s="33" t="s">
        <v>84</v>
      </c>
      <c r="C297" s="57"/>
      <c r="D297" s="33" t="s">
        <v>15</v>
      </c>
      <c r="E297" s="34" t="s">
        <v>262</v>
      </c>
      <c r="F297" s="34" t="s">
        <v>40</v>
      </c>
      <c r="G297" s="56">
        <v>46018.0</v>
      </c>
      <c r="H297" s="36">
        <v>0.0</v>
      </c>
      <c r="I297" s="52" t="s">
        <v>65</v>
      </c>
      <c r="J297" s="34" t="s">
        <v>535</v>
      </c>
      <c r="K297" s="33" t="s">
        <v>20</v>
      </c>
      <c r="L297" s="36">
        <v>190.0</v>
      </c>
      <c r="M297" s="51" t="s">
        <v>21</v>
      </c>
    </row>
    <row r="298" ht="22.5" customHeight="1">
      <c r="A298" s="33" t="s">
        <v>83</v>
      </c>
      <c r="B298" s="33" t="s">
        <v>84</v>
      </c>
      <c r="C298" s="57"/>
      <c r="D298" s="33" t="s">
        <v>15</v>
      </c>
      <c r="E298" s="34" t="s">
        <v>60</v>
      </c>
      <c r="F298" s="34" t="s">
        <v>36</v>
      </c>
      <c r="G298" s="56">
        <v>46018.0</v>
      </c>
      <c r="H298" s="36">
        <v>0.0</v>
      </c>
      <c r="I298" s="52" t="s">
        <v>65</v>
      </c>
      <c r="J298" s="34" t="s">
        <v>535</v>
      </c>
      <c r="K298" s="33" t="s">
        <v>20</v>
      </c>
      <c r="L298" s="36">
        <v>155.0</v>
      </c>
      <c r="M298" s="51" t="s">
        <v>21</v>
      </c>
    </row>
    <row r="299" ht="22.5" customHeight="1">
      <c r="A299" s="33" t="s">
        <v>503</v>
      </c>
      <c r="B299" s="33" t="s">
        <v>555</v>
      </c>
      <c r="C299" s="57"/>
      <c r="D299" s="33" t="s">
        <v>15</v>
      </c>
      <c r="E299" s="34" t="s">
        <v>60</v>
      </c>
      <c r="F299" s="34" t="s">
        <v>36</v>
      </c>
      <c r="G299" s="56">
        <v>46018.0</v>
      </c>
      <c r="H299" s="36">
        <v>199.0</v>
      </c>
      <c r="I299" s="52" t="s">
        <v>18</v>
      </c>
      <c r="J299" s="34" t="s">
        <v>535</v>
      </c>
      <c r="K299" s="33" t="s">
        <v>20</v>
      </c>
      <c r="L299" s="36">
        <v>0.0</v>
      </c>
      <c r="M299" s="51" t="s">
        <v>82</v>
      </c>
    </row>
    <row r="300" ht="22.5" customHeight="1">
      <c r="A300" s="33" t="s">
        <v>556</v>
      </c>
      <c r="B300" s="33" t="s">
        <v>557</v>
      </c>
      <c r="C300" s="57"/>
      <c r="D300" s="33" t="s">
        <v>15</v>
      </c>
      <c r="E300" s="34" t="s">
        <v>16</v>
      </c>
      <c r="F300" s="34" t="s">
        <v>17</v>
      </c>
      <c r="G300" s="56">
        <v>46018.0</v>
      </c>
      <c r="H300" s="36">
        <v>50.0</v>
      </c>
      <c r="I300" s="52" t="s">
        <v>75</v>
      </c>
      <c r="J300" s="34" t="s">
        <v>535</v>
      </c>
      <c r="K300" s="33" t="s">
        <v>20</v>
      </c>
      <c r="L300" s="36">
        <v>219.0</v>
      </c>
      <c r="M300" s="51" t="s">
        <v>27</v>
      </c>
    </row>
    <row r="301" ht="22.5" customHeight="1">
      <c r="A301" s="33" t="s">
        <v>471</v>
      </c>
      <c r="B301" s="33" t="s">
        <v>472</v>
      </c>
      <c r="C301" s="57"/>
      <c r="D301" s="33" t="s">
        <v>30</v>
      </c>
      <c r="E301" s="34" t="s">
        <v>35</v>
      </c>
      <c r="F301" s="34" t="s">
        <v>133</v>
      </c>
      <c r="G301" s="56">
        <v>46018.0</v>
      </c>
      <c r="H301" s="36">
        <v>0.0</v>
      </c>
      <c r="I301" s="52" t="s">
        <v>65</v>
      </c>
      <c r="J301" s="34" t="s">
        <v>535</v>
      </c>
      <c r="K301" s="33" t="s">
        <v>20</v>
      </c>
      <c r="L301" s="36">
        <v>550.0</v>
      </c>
      <c r="M301" s="51" t="s">
        <v>21</v>
      </c>
    </row>
    <row r="302" ht="22.5" customHeight="1">
      <c r="A302" s="33" t="s">
        <v>558</v>
      </c>
      <c r="B302" s="33" t="s">
        <v>559</v>
      </c>
      <c r="C302" s="57"/>
      <c r="D302" s="33" t="s">
        <v>30</v>
      </c>
      <c r="E302" s="34" t="s">
        <v>16</v>
      </c>
      <c r="F302" s="34" t="s">
        <v>17</v>
      </c>
      <c r="G302" s="56">
        <v>46018.0</v>
      </c>
      <c r="H302" s="36">
        <v>100.0</v>
      </c>
      <c r="I302" s="52" t="s">
        <v>18</v>
      </c>
      <c r="J302" s="34" t="s">
        <v>535</v>
      </c>
      <c r="K302" s="33" t="s">
        <v>20</v>
      </c>
      <c r="L302" s="36">
        <v>418.0</v>
      </c>
      <c r="M302" s="51" t="s">
        <v>27</v>
      </c>
    </row>
    <row r="303" ht="22.5" customHeight="1">
      <c r="A303" s="33" t="s">
        <v>560</v>
      </c>
      <c r="B303" s="33" t="s">
        <v>559</v>
      </c>
      <c r="C303" s="57"/>
      <c r="D303" s="33" t="s">
        <v>30</v>
      </c>
      <c r="E303" s="34" t="s">
        <v>561</v>
      </c>
      <c r="F303" s="34" t="s">
        <v>40</v>
      </c>
      <c r="G303" s="56">
        <v>46018.0</v>
      </c>
      <c r="H303" s="36">
        <v>0.0</v>
      </c>
      <c r="I303" s="52" t="s">
        <v>18</v>
      </c>
      <c r="J303" s="34" t="s">
        <v>535</v>
      </c>
      <c r="K303" s="33" t="s">
        <v>20</v>
      </c>
      <c r="L303" s="36">
        <v>150.0</v>
      </c>
      <c r="M303" s="51" t="s">
        <v>127</v>
      </c>
    </row>
    <row r="304" ht="22.5" customHeight="1">
      <c r="A304" s="33" t="s">
        <v>562</v>
      </c>
      <c r="B304" s="33" t="s">
        <v>563</v>
      </c>
      <c r="C304" s="57"/>
      <c r="D304" s="33" t="s">
        <v>15</v>
      </c>
      <c r="E304" s="34" t="s">
        <v>39</v>
      </c>
      <c r="F304" s="34" t="s">
        <v>40</v>
      </c>
      <c r="G304" s="56">
        <v>46020.0</v>
      </c>
      <c r="H304" s="36">
        <v>50.0</v>
      </c>
      <c r="I304" s="52" t="s">
        <v>18</v>
      </c>
      <c r="J304" s="34" t="s">
        <v>535</v>
      </c>
      <c r="K304" s="33" t="s">
        <v>20</v>
      </c>
      <c r="L304" s="36">
        <v>529.0</v>
      </c>
      <c r="M304" s="51" t="s">
        <v>27</v>
      </c>
    </row>
    <row r="305" ht="22.5" customHeight="1">
      <c r="A305" s="33" t="s">
        <v>277</v>
      </c>
      <c r="B305" s="33" t="s">
        <v>564</v>
      </c>
      <c r="C305" s="57"/>
      <c r="D305" s="33" t="s">
        <v>15</v>
      </c>
      <c r="E305" s="34" t="s">
        <v>35</v>
      </c>
      <c r="F305" s="34" t="s">
        <v>133</v>
      </c>
      <c r="G305" s="56">
        <v>46020.0</v>
      </c>
      <c r="H305" s="36">
        <v>400.0</v>
      </c>
      <c r="I305" s="52" t="s">
        <v>18</v>
      </c>
      <c r="J305" s="34" t="s">
        <v>535</v>
      </c>
      <c r="K305" s="33" t="s">
        <v>20</v>
      </c>
      <c r="L305" s="36">
        <v>150.0</v>
      </c>
      <c r="M305" s="51" t="s">
        <v>199</v>
      </c>
    </row>
    <row r="306" ht="22.5" customHeight="1">
      <c r="A306" s="33" t="s">
        <v>320</v>
      </c>
      <c r="B306" s="33" t="s">
        <v>565</v>
      </c>
      <c r="C306" s="57"/>
      <c r="D306" s="33" t="s">
        <v>15</v>
      </c>
      <c r="E306" s="34" t="s">
        <v>31</v>
      </c>
      <c r="F306" s="34" t="s">
        <v>17</v>
      </c>
      <c r="G306" s="56">
        <v>46020.0</v>
      </c>
      <c r="H306" s="36">
        <v>50.0</v>
      </c>
      <c r="I306" s="52" t="s">
        <v>18</v>
      </c>
      <c r="J306" s="34" t="s">
        <v>535</v>
      </c>
      <c r="K306" s="33" t="s">
        <v>20</v>
      </c>
      <c r="L306" s="36"/>
      <c r="M306" s="59"/>
    </row>
    <row r="307" ht="22.5" customHeight="1">
      <c r="A307" s="33" t="s">
        <v>522</v>
      </c>
      <c r="B307" s="33" t="s">
        <v>566</v>
      </c>
      <c r="C307" s="57"/>
      <c r="D307" s="33" t="s">
        <v>15</v>
      </c>
      <c r="E307" s="34" t="s">
        <v>60</v>
      </c>
      <c r="F307" s="34" t="s">
        <v>36</v>
      </c>
      <c r="G307" s="56">
        <v>46020.0</v>
      </c>
      <c r="H307" s="36">
        <v>50.0</v>
      </c>
      <c r="I307" s="52" t="s">
        <v>75</v>
      </c>
      <c r="J307" s="34" t="s">
        <v>535</v>
      </c>
      <c r="K307" s="33" t="s">
        <v>20</v>
      </c>
      <c r="L307" s="36">
        <v>149.0</v>
      </c>
      <c r="M307" s="51" t="s">
        <v>27</v>
      </c>
    </row>
    <row r="308" ht="22.5" customHeight="1">
      <c r="A308" s="33" t="s">
        <v>567</v>
      </c>
      <c r="B308" s="33" t="s">
        <v>568</v>
      </c>
      <c r="C308" s="57"/>
      <c r="D308" s="33" t="s">
        <v>15</v>
      </c>
      <c r="E308" s="34" t="s">
        <v>31</v>
      </c>
      <c r="F308" s="34" t="s">
        <v>17</v>
      </c>
      <c r="G308" s="56">
        <v>46020.0</v>
      </c>
      <c r="H308" s="36">
        <v>50.0</v>
      </c>
      <c r="I308" s="52" t="s">
        <v>65</v>
      </c>
      <c r="J308" s="34" t="s">
        <v>535</v>
      </c>
      <c r="K308" s="33" t="s">
        <v>20</v>
      </c>
      <c r="L308" s="36">
        <v>50.0</v>
      </c>
      <c r="M308" s="51" t="s">
        <v>27</v>
      </c>
    </row>
    <row r="309" ht="22.5" customHeight="1">
      <c r="A309" s="33" t="s">
        <v>569</v>
      </c>
      <c r="B309" s="33" t="s">
        <v>570</v>
      </c>
      <c r="C309" s="57"/>
      <c r="D309" s="33" t="s">
        <v>15</v>
      </c>
      <c r="E309" s="34" t="s">
        <v>60</v>
      </c>
      <c r="F309" s="34" t="s">
        <v>36</v>
      </c>
      <c r="G309" s="56">
        <v>46020.0</v>
      </c>
      <c r="H309" s="36">
        <v>50.0</v>
      </c>
      <c r="I309" s="52" t="s">
        <v>75</v>
      </c>
      <c r="J309" s="34" t="s">
        <v>535</v>
      </c>
      <c r="K309" s="33" t="s">
        <v>20</v>
      </c>
      <c r="L309" s="36">
        <v>105.0</v>
      </c>
      <c r="M309" s="51" t="s">
        <v>27</v>
      </c>
    </row>
    <row r="310" ht="22.5" customHeight="1">
      <c r="A310" s="33" t="s">
        <v>571</v>
      </c>
      <c r="B310" s="33" t="s">
        <v>84</v>
      </c>
      <c r="C310" s="57"/>
      <c r="D310" s="33" t="s">
        <v>15</v>
      </c>
      <c r="E310" s="34" t="s">
        <v>60</v>
      </c>
      <c r="F310" s="34" t="s">
        <v>36</v>
      </c>
      <c r="G310" s="56">
        <v>46020.0</v>
      </c>
      <c r="H310" s="36">
        <v>100.0</v>
      </c>
      <c r="I310" s="52" t="s">
        <v>18</v>
      </c>
      <c r="J310" s="34" t="s">
        <v>535</v>
      </c>
      <c r="K310" s="33" t="s">
        <v>20</v>
      </c>
      <c r="L310" s="36">
        <v>99.0</v>
      </c>
      <c r="M310" s="51" t="s">
        <v>27</v>
      </c>
    </row>
    <row r="311" ht="22.5" customHeight="1">
      <c r="A311" s="33" t="s">
        <v>572</v>
      </c>
      <c r="B311" s="33" t="s">
        <v>573</v>
      </c>
      <c r="C311" s="57"/>
      <c r="D311" s="33" t="s">
        <v>30</v>
      </c>
      <c r="E311" s="34" t="s">
        <v>31</v>
      </c>
      <c r="F311" s="34" t="s">
        <v>36</v>
      </c>
      <c r="G311" s="56">
        <v>46020.0</v>
      </c>
      <c r="H311" s="36">
        <v>0.0</v>
      </c>
      <c r="I311" s="52" t="s">
        <v>65</v>
      </c>
      <c r="J311" s="34" t="s">
        <v>535</v>
      </c>
      <c r="K311" s="33" t="s">
        <v>20</v>
      </c>
      <c r="L311" s="36">
        <v>90.0</v>
      </c>
      <c r="M311" s="51" t="s">
        <v>27</v>
      </c>
    </row>
    <row r="312" ht="22.5" customHeight="1">
      <c r="A312" s="33" t="s">
        <v>574</v>
      </c>
      <c r="B312" s="33" t="s">
        <v>575</v>
      </c>
      <c r="C312" s="57"/>
      <c r="D312" s="33" t="s">
        <v>30</v>
      </c>
      <c r="E312" s="34" t="s">
        <v>16</v>
      </c>
      <c r="F312" s="34" t="s">
        <v>17</v>
      </c>
      <c r="G312" s="56">
        <v>46020.0</v>
      </c>
      <c r="H312" s="36">
        <v>0.0</v>
      </c>
      <c r="I312" s="52" t="s">
        <v>61</v>
      </c>
      <c r="J312" s="34" t="s">
        <v>535</v>
      </c>
      <c r="K312" s="33" t="s">
        <v>20</v>
      </c>
      <c r="L312" s="36">
        <v>269.0</v>
      </c>
      <c r="M312" s="51" t="s">
        <v>127</v>
      </c>
    </row>
    <row r="313" ht="22.5" customHeight="1">
      <c r="A313" s="33" t="s">
        <v>263</v>
      </c>
      <c r="B313" s="33" t="s">
        <v>575</v>
      </c>
      <c r="C313" s="57"/>
      <c r="D313" s="33" t="s">
        <v>30</v>
      </c>
      <c r="E313" s="34" t="s">
        <v>16</v>
      </c>
      <c r="F313" s="34" t="s">
        <v>17</v>
      </c>
      <c r="G313" s="56">
        <v>46020.0</v>
      </c>
      <c r="H313" s="36">
        <v>0.0</v>
      </c>
      <c r="I313" s="52" t="s">
        <v>61</v>
      </c>
      <c r="J313" s="34" t="s">
        <v>535</v>
      </c>
      <c r="K313" s="33" t="s">
        <v>20</v>
      </c>
      <c r="L313" s="36">
        <v>269.0</v>
      </c>
      <c r="M313" s="51" t="s">
        <v>127</v>
      </c>
    </row>
    <row r="314" ht="22.5" customHeight="1">
      <c r="A314" s="33" t="s">
        <v>576</v>
      </c>
      <c r="B314" s="33" t="s">
        <v>577</v>
      </c>
      <c r="C314" s="57"/>
      <c r="D314" s="33" t="s">
        <v>30</v>
      </c>
      <c r="E314" s="34" t="s">
        <v>64</v>
      </c>
      <c r="F314" s="34" t="s">
        <v>40</v>
      </c>
      <c r="G314" s="56">
        <v>46020.0</v>
      </c>
      <c r="H314" s="36">
        <v>0.0</v>
      </c>
      <c r="I314" s="52" t="s">
        <v>61</v>
      </c>
      <c r="J314" s="34" t="s">
        <v>535</v>
      </c>
      <c r="K314" s="33" t="s">
        <v>20</v>
      </c>
      <c r="L314" s="36">
        <v>70.0</v>
      </c>
      <c r="M314" s="51" t="s">
        <v>127</v>
      </c>
    </row>
    <row r="315" ht="22.5" customHeight="1">
      <c r="A315" s="33" t="s">
        <v>375</v>
      </c>
      <c r="B315" s="33" t="s">
        <v>578</v>
      </c>
      <c r="C315" s="57"/>
      <c r="D315" s="33" t="s">
        <v>30</v>
      </c>
      <c r="E315" s="34" t="s">
        <v>392</v>
      </c>
      <c r="F315" s="34" t="s">
        <v>36</v>
      </c>
      <c r="G315" s="56">
        <v>46020.0</v>
      </c>
      <c r="H315" s="36">
        <v>0.0</v>
      </c>
      <c r="I315" s="52" t="s">
        <v>18</v>
      </c>
      <c r="J315" s="34" t="s">
        <v>535</v>
      </c>
      <c r="K315" s="33" t="s">
        <v>20</v>
      </c>
      <c r="L315" s="36">
        <v>80.0</v>
      </c>
      <c r="M315" s="51" t="s">
        <v>127</v>
      </c>
    </row>
    <row r="316" ht="22.5" customHeight="1">
      <c r="A316" s="33" t="s">
        <v>579</v>
      </c>
      <c r="B316" s="33" t="s">
        <v>580</v>
      </c>
      <c r="C316" s="57"/>
      <c r="D316" s="33" t="s">
        <v>30</v>
      </c>
      <c r="E316" s="34" t="s">
        <v>64</v>
      </c>
      <c r="F316" s="34" t="s">
        <v>40</v>
      </c>
      <c r="G316" s="56">
        <v>46020.0</v>
      </c>
      <c r="H316" s="36">
        <v>0.0</v>
      </c>
      <c r="I316" s="52" t="s">
        <v>65</v>
      </c>
      <c r="J316" s="34" t="s">
        <v>535</v>
      </c>
      <c r="K316" s="33" t="s">
        <v>20</v>
      </c>
      <c r="L316" s="36">
        <v>140.0</v>
      </c>
      <c r="M316" s="51" t="s">
        <v>127</v>
      </c>
    </row>
    <row r="317" ht="22.5" customHeight="1">
      <c r="A317" s="33" t="s">
        <v>581</v>
      </c>
      <c r="B317" s="33" t="s">
        <v>38</v>
      </c>
      <c r="C317" s="57"/>
      <c r="D317" s="33" t="s">
        <v>15</v>
      </c>
      <c r="E317" s="34" t="s">
        <v>366</v>
      </c>
      <c r="F317" s="34" t="s">
        <v>36</v>
      </c>
      <c r="G317" s="56">
        <v>46021.0</v>
      </c>
      <c r="H317" s="36">
        <v>0.0</v>
      </c>
      <c r="I317" s="52" t="s">
        <v>65</v>
      </c>
      <c r="J317" s="34" t="s">
        <v>535</v>
      </c>
      <c r="K317" s="33" t="s">
        <v>20</v>
      </c>
      <c r="L317" s="36">
        <v>900.0</v>
      </c>
      <c r="M317" s="51" t="s">
        <v>21</v>
      </c>
    </row>
    <row r="318" ht="22.5" customHeight="1">
      <c r="A318" s="33" t="s">
        <v>582</v>
      </c>
      <c r="B318" s="33" t="s">
        <v>583</v>
      </c>
      <c r="C318" s="57"/>
      <c r="D318" s="33" t="s">
        <v>15</v>
      </c>
      <c r="E318" s="34" t="s">
        <v>60</v>
      </c>
      <c r="F318" s="34" t="s">
        <v>36</v>
      </c>
      <c r="G318" s="56">
        <v>46021.0</v>
      </c>
      <c r="H318" s="36">
        <v>50.0</v>
      </c>
      <c r="I318" s="52" t="s">
        <v>18</v>
      </c>
      <c r="J318" s="34" t="s">
        <v>535</v>
      </c>
      <c r="K318" s="33" t="s">
        <v>20</v>
      </c>
      <c r="L318" s="36">
        <v>105.0</v>
      </c>
      <c r="M318" s="51" t="s">
        <v>27</v>
      </c>
    </row>
    <row r="319" ht="22.5" customHeight="1">
      <c r="A319" s="33" t="s">
        <v>119</v>
      </c>
      <c r="B319" s="33" t="s">
        <v>584</v>
      </c>
      <c r="C319" s="57"/>
      <c r="D319" s="33" t="s">
        <v>15</v>
      </c>
      <c r="E319" s="34" t="s">
        <v>60</v>
      </c>
      <c r="F319" s="34" t="s">
        <v>36</v>
      </c>
      <c r="G319" s="56">
        <v>46021.0</v>
      </c>
      <c r="H319" s="36">
        <v>50.0</v>
      </c>
      <c r="I319" s="52" t="s">
        <v>18</v>
      </c>
      <c r="J319" s="34" t="s">
        <v>535</v>
      </c>
      <c r="K319" s="33" t="s">
        <v>20</v>
      </c>
      <c r="L319" s="36">
        <v>149.0</v>
      </c>
      <c r="M319" s="51" t="s">
        <v>27</v>
      </c>
    </row>
    <row r="320" ht="22.5" customHeight="1">
      <c r="A320" s="33" t="s">
        <v>585</v>
      </c>
      <c r="B320" s="33" t="s">
        <v>586</v>
      </c>
      <c r="C320" s="57"/>
      <c r="D320" s="33" t="s">
        <v>15</v>
      </c>
      <c r="E320" s="34" t="s">
        <v>55</v>
      </c>
      <c r="F320" s="34" t="s">
        <v>36</v>
      </c>
      <c r="G320" s="56">
        <v>46021.0</v>
      </c>
      <c r="H320" s="36">
        <v>0.0</v>
      </c>
      <c r="I320" s="52" t="s">
        <v>18</v>
      </c>
      <c r="J320" s="34" t="s">
        <v>535</v>
      </c>
      <c r="K320" s="33" t="s">
        <v>20</v>
      </c>
      <c r="L320" s="36">
        <v>180.0</v>
      </c>
      <c r="M320" s="51" t="s">
        <v>27</v>
      </c>
    </row>
    <row r="321" ht="22.5" customHeight="1">
      <c r="A321" s="33" t="s">
        <v>587</v>
      </c>
      <c r="B321" s="33" t="s">
        <v>370</v>
      </c>
      <c r="C321" s="57"/>
      <c r="D321" s="33" t="s">
        <v>15</v>
      </c>
      <c r="E321" s="34" t="s">
        <v>561</v>
      </c>
      <c r="F321" s="34" t="s">
        <v>40</v>
      </c>
      <c r="G321" s="56">
        <v>46021.0</v>
      </c>
      <c r="H321" s="36">
        <v>0.0</v>
      </c>
      <c r="I321" s="52" t="s">
        <v>18</v>
      </c>
      <c r="J321" s="34" t="s">
        <v>535</v>
      </c>
      <c r="K321" s="33" t="s">
        <v>20</v>
      </c>
      <c r="L321" s="36">
        <v>950.0</v>
      </c>
      <c r="M321" s="51" t="s">
        <v>82</v>
      </c>
    </row>
    <row r="322" ht="22.5" customHeight="1">
      <c r="A322" s="33" t="s">
        <v>588</v>
      </c>
      <c r="B322" s="33" t="s">
        <v>305</v>
      </c>
      <c r="C322" s="57"/>
      <c r="D322" s="33" t="s">
        <v>30</v>
      </c>
      <c r="E322" s="34" t="s">
        <v>31</v>
      </c>
      <c r="F322" s="34" t="s">
        <v>17</v>
      </c>
      <c r="G322" s="56">
        <v>46021.0</v>
      </c>
      <c r="H322" s="36">
        <v>0.0</v>
      </c>
      <c r="I322" s="52" t="s">
        <v>44</v>
      </c>
      <c r="J322" s="34" t="s">
        <v>535</v>
      </c>
      <c r="K322" s="33" t="s">
        <v>20</v>
      </c>
      <c r="L322" s="36">
        <v>80.0</v>
      </c>
      <c r="M322" s="51" t="s">
        <v>27</v>
      </c>
    </row>
    <row r="323" ht="22.5" customHeight="1">
      <c r="A323" s="33" t="s">
        <v>589</v>
      </c>
      <c r="B323" s="33" t="s">
        <v>116</v>
      </c>
      <c r="C323" s="57"/>
      <c r="D323" s="33" t="s">
        <v>30</v>
      </c>
      <c r="E323" s="34" t="s">
        <v>60</v>
      </c>
      <c r="F323" s="34" t="s">
        <v>36</v>
      </c>
      <c r="G323" s="56">
        <v>46021.0</v>
      </c>
      <c r="H323" s="36">
        <v>50.0</v>
      </c>
      <c r="I323" s="52" t="s">
        <v>47</v>
      </c>
      <c r="J323" s="34" t="s">
        <v>535</v>
      </c>
      <c r="K323" s="33" t="s">
        <v>20</v>
      </c>
      <c r="L323" s="36">
        <v>105.0</v>
      </c>
      <c r="M323" s="51" t="s">
        <v>27</v>
      </c>
    </row>
    <row r="324" ht="22.5" customHeight="1">
      <c r="A324" s="33" t="s">
        <v>532</v>
      </c>
      <c r="B324" s="33" t="s">
        <v>197</v>
      </c>
      <c r="C324" s="57"/>
      <c r="D324" s="33" t="s">
        <v>15</v>
      </c>
      <c r="E324" s="34" t="s">
        <v>31</v>
      </c>
      <c r="F324" s="34" t="s">
        <v>17</v>
      </c>
      <c r="G324" s="56">
        <v>46022.0</v>
      </c>
      <c r="H324" s="36">
        <v>0.0</v>
      </c>
      <c r="I324" s="52" t="s">
        <v>65</v>
      </c>
      <c r="J324" s="34" t="s">
        <v>535</v>
      </c>
      <c r="K324" s="33" t="s">
        <v>20</v>
      </c>
      <c r="L324" s="36">
        <v>180.0</v>
      </c>
      <c r="M324" s="51" t="s">
        <v>21</v>
      </c>
    </row>
    <row r="325" ht="22.5" customHeight="1">
      <c r="A325" s="33" t="s">
        <v>532</v>
      </c>
      <c r="B325" s="33" t="s">
        <v>197</v>
      </c>
      <c r="C325" s="57"/>
      <c r="D325" s="33" t="s">
        <v>15</v>
      </c>
      <c r="E325" s="34" t="s">
        <v>561</v>
      </c>
      <c r="F325" s="34" t="s">
        <v>40</v>
      </c>
      <c r="G325" s="56">
        <v>46022.0</v>
      </c>
      <c r="H325" s="36">
        <v>425.0</v>
      </c>
      <c r="I325" s="52" t="s">
        <v>65</v>
      </c>
      <c r="J325" s="34" t="s">
        <v>535</v>
      </c>
      <c r="K325" s="33" t="s">
        <v>20</v>
      </c>
      <c r="L325" s="36">
        <v>425.0</v>
      </c>
      <c r="M325" s="51" t="s">
        <v>21</v>
      </c>
    </row>
    <row r="326" ht="22.5" customHeight="1">
      <c r="A326" s="33" t="s">
        <v>122</v>
      </c>
      <c r="B326" s="33" t="s">
        <v>590</v>
      </c>
      <c r="C326" s="57"/>
      <c r="D326" s="33" t="s">
        <v>15</v>
      </c>
      <c r="E326" s="34" t="s">
        <v>60</v>
      </c>
      <c r="F326" s="34" t="s">
        <v>36</v>
      </c>
      <c r="G326" s="56">
        <v>46022.0</v>
      </c>
      <c r="H326" s="36">
        <v>100.0</v>
      </c>
      <c r="I326" s="52" t="s">
        <v>61</v>
      </c>
      <c r="J326" s="34" t="s">
        <v>535</v>
      </c>
      <c r="K326" s="33" t="s">
        <v>20</v>
      </c>
      <c r="L326" s="36">
        <v>210.0</v>
      </c>
      <c r="M326" s="51" t="s">
        <v>27</v>
      </c>
    </row>
    <row r="327" ht="22.5" customHeight="1">
      <c r="A327" s="61" t="s">
        <v>591</v>
      </c>
      <c r="B327" s="62"/>
      <c r="C327" s="63"/>
      <c r="D327" s="62"/>
      <c r="E327" s="64"/>
      <c r="F327" s="65"/>
      <c r="G327" s="66"/>
      <c r="H327" s="67"/>
      <c r="I327" s="64"/>
      <c r="J327" s="64"/>
      <c r="K327" s="62"/>
      <c r="L327" s="67"/>
      <c r="M327" s="68"/>
    </row>
    <row r="328" ht="22.5" customHeight="1">
      <c r="A328" s="33" t="s">
        <v>427</v>
      </c>
      <c r="B328" s="33" t="s">
        <v>428</v>
      </c>
      <c r="C328" s="57"/>
      <c r="D328" s="33" t="s">
        <v>15</v>
      </c>
      <c r="E328" s="34" t="s">
        <v>60</v>
      </c>
      <c r="F328" s="34" t="s">
        <v>36</v>
      </c>
      <c r="G328" s="56">
        <v>46024.0</v>
      </c>
      <c r="H328" s="36">
        <v>0.0</v>
      </c>
      <c r="I328" s="52" t="s">
        <v>65</v>
      </c>
      <c r="J328" s="34" t="s">
        <v>535</v>
      </c>
      <c r="K328" s="33" t="s">
        <v>20</v>
      </c>
      <c r="L328" s="36">
        <v>155.0</v>
      </c>
      <c r="M328" s="51" t="s">
        <v>21</v>
      </c>
    </row>
    <row r="329" ht="22.5" customHeight="1">
      <c r="A329" s="33" t="s">
        <v>400</v>
      </c>
      <c r="B329" s="33" t="s">
        <v>401</v>
      </c>
      <c r="C329" s="57"/>
      <c r="D329" s="33" t="s">
        <v>15</v>
      </c>
      <c r="E329" s="34" t="s">
        <v>55</v>
      </c>
      <c r="F329" s="34" t="s">
        <v>40</v>
      </c>
      <c r="G329" s="56">
        <v>46024.0</v>
      </c>
      <c r="H329" s="36">
        <v>50.0</v>
      </c>
      <c r="I329" s="52" t="s">
        <v>65</v>
      </c>
      <c r="J329" s="34" t="s">
        <v>535</v>
      </c>
      <c r="K329" s="33" t="s">
        <v>20</v>
      </c>
      <c r="L329" s="36">
        <v>10.0</v>
      </c>
      <c r="M329" s="51" t="s">
        <v>27</v>
      </c>
    </row>
    <row r="330" ht="22.5" customHeight="1">
      <c r="A330" s="33" t="s">
        <v>441</v>
      </c>
      <c r="B330" s="33" t="s">
        <v>78</v>
      </c>
      <c r="C330" s="57"/>
      <c r="D330" s="33" t="s">
        <v>15</v>
      </c>
      <c r="E330" s="34" t="s">
        <v>64</v>
      </c>
      <c r="F330" s="34" t="s">
        <v>40</v>
      </c>
      <c r="G330" s="56">
        <v>46024.0</v>
      </c>
      <c r="H330" s="36">
        <v>50.0</v>
      </c>
      <c r="I330" s="52" t="s">
        <v>75</v>
      </c>
      <c r="J330" s="34" t="s">
        <v>535</v>
      </c>
      <c r="K330" s="33" t="s">
        <v>20</v>
      </c>
      <c r="L330" s="36">
        <v>20.0</v>
      </c>
      <c r="M330" s="51" t="s">
        <v>27</v>
      </c>
    </row>
    <row r="331" ht="22.5" customHeight="1">
      <c r="A331" s="33" t="s">
        <v>592</v>
      </c>
      <c r="B331" s="33" t="s">
        <v>593</v>
      </c>
      <c r="C331" s="57"/>
      <c r="D331" s="33" t="s">
        <v>15</v>
      </c>
      <c r="E331" s="34" t="s">
        <v>262</v>
      </c>
      <c r="F331" s="34" t="s">
        <v>40</v>
      </c>
      <c r="G331" s="56">
        <v>46025.0</v>
      </c>
      <c r="H331" s="36">
        <v>0.0</v>
      </c>
      <c r="I331" s="52" t="s">
        <v>18</v>
      </c>
      <c r="J331" s="34" t="s">
        <v>535</v>
      </c>
      <c r="K331" s="33" t="s">
        <v>20</v>
      </c>
      <c r="L331" s="36">
        <v>1000.0</v>
      </c>
      <c r="M331" s="51" t="s">
        <v>488</v>
      </c>
    </row>
    <row r="332" ht="22.5" customHeight="1">
      <c r="A332" s="33" t="s">
        <v>594</v>
      </c>
      <c r="B332" s="33" t="s">
        <v>595</v>
      </c>
      <c r="C332" s="57"/>
      <c r="D332" s="33" t="s">
        <v>15</v>
      </c>
      <c r="E332" s="34" t="s">
        <v>226</v>
      </c>
      <c r="F332" s="34" t="s">
        <v>40</v>
      </c>
      <c r="G332" s="56">
        <v>46025.0</v>
      </c>
      <c r="H332" s="36">
        <v>50.0</v>
      </c>
      <c r="I332" s="52" t="s">
        <v>75</v>
      </c>
      <c r="J332" s="34" t="s">
        <v>535</v>
      </c>
      <c r="K332" s="33" t="s">
        <v>20</v>
      </c>
      <c r="L332" s="36">
        <v>128.0</v>
      </c>
      <c r="M332" s="51" t="s">
        <v>27</v>
      </c>
    </row>
    <row r="333" ht="22.5" customHeight="1">
      <c r="A333" s="33" t="s">
        <v>79</v>
      </c>
      <c r="B333" s="33" t="s">
        <v>428</v>
      </c>
      <c r="C333" s="57"/>
      <c r="D333" s="33" t="s">
        <v>15</v>
      </c>
      <c r="E333" s="34" t="s">
        <v>262</v>
      </c>
      <c r="F333" s="34" t="s">
        <v>40</v>
      </c>
      <c r="G333" s="56">
        <v>46027.0</v>
      </c>
      <c r="H333" s="36">
        <v>50.0</v>
      </c>
      <c r="I333" s="52" t="s">
        <v>18</v>
      </c>
      <c r="J333" s="34" t="s">
        <v>535</v>
      </c>
      <c r="K333" s="33" t="s">
        <v>20</v>
      </c>
      <c r="L333" s="36">
        <v>260.0</v>
      </c>
      <c r="M333" s="51" t="s">
        <v>27</v>
      </c>
    </row>
    <row r="334" ht="22.5" customHeight="1">
      <c r="A334" s="33" t="s">
        <v>596</v>
      </c>
      <c r="B334" s="33" t="s">
        <v>418</v>
      </c>
      <c r="C334" s="57"/>
      <c r="D334" s="33" t="s">
        <v>15</v>
      </c>
      <c r="E334" s="34" t="s">
        <v>55</v>
      </c>
      <c r="F334" s="34" t="s">
        <v>40</v>
      </c>
      <c r="G334" s="56">
        <v>46027.0</v>
      </c>
      <c r="H334" s="36">
        <v>50.0</v>
      </c>
      <c r="I334" s="52" t="s">
        <v>18</v>
      </c>
      <c r="J334" s="34" t="s">
        <v>535</v>
      </c>
      <c r="K334" s="33" t="s">
        <v>20</v>
      </c>
      <c r="L334" s="36">
        <v>40.0</v>
      </c>
      <c r="M334" s="51" t="s">
        <v>199</v>
      </c>
    </row>
    <row r="335" ht="22.5" customHeight="1">
      <c r="A335" s="33" t="s">
        <v>579</v>
      </c>
      <c r="B335" s="33" t="s">
        <v>191</v>
      </c>
      <c r="C335" s="57"/>
      <c r="D335" s="33" t="s">
        <v>15</v>
      </c>
      <c r="E335" s="34" t="s">
        <v>332</v>
      </c>
      <c r="F335" s="34" t="s">
        <v>40</v>
      </c>
      <c r="G335" s="56">
        <v>46027.0</v>
      </c>
      <c r="H335" s="36">
        <v>50.0</v>
      </c>
      <c r="I335" s="52" t="s">
        <v>47</v>
      </c>
      <c r="J335" s="34" t="s">
        <v>535</v>
      </c>
      <c r="K335" s="33" t="s">
        <v>20</v>
      </c>
      <c r="L335" s="36">
        <v>35.0</v>
      </c>
      <c r="M335" s="51" t="s">
        <v>199</v>
      </c>
    </row>
    <row r="336" ht="22.5" customHeight="1">
      <c r="A336" s="33" t="s">
        <v>83</v>
      </c>
      <c r="B336" s="33" t="s">
        <v>84</v>
      </c>
      <c r="C336" s="57"/>
      <c r="D336" s="33" t="s">
        <v>15</v>
      </c>
      <c r="E336" s="34" t="s">
        <v>31</v>
      </c>
      <c r="F336" s="34" t="s">
        <v>17</v>
      </c>
      <c r="G336" s="56">
        <v>46028.0</v>
      </c>
      <c r="H336" s="36">
        <v>0.0</v>
      </c>
      <c r="I336" s="52" t="s">
        <v>65</v>
      </c>
      <c r="J336" s="34" t="s">
        <v>535</v>
      </c>
      <c r="K336" s="33" t="s">
        <v>20</v>
      </c>
      <c r="L336" s="36">
        <v>180.0</v>
      </c>
      <c r="M336" s="51" t="s">
        <v>21</v>
      </c>
    </row>
    <row r="337" ht="22.5" customHeight="1">
      <c r="A337" s="33" t="s">
        <v>287</v>
      </c>
      <c r="B337" s="33" t="s">
        <v>597</v>
      </c>
      <c r="C337" s="57"/>
      <c r="D337" s="33" t="s">
        <v>30</v>
      </c>
      <c r="E337" s="34" t="s">
        <v>16</v>
      </c>
      <c r="F337" s="34" t="s">
        <v>17</v>
      </c>
      <c r="G337" s="56">
        <v>46028.0</v>
      </c>
      <c r="H337" s="36">
        <v>0.0</v>
      </c>
      <c r="I337" s="52" t="s">
        <v>47</v>
      </c>
      <c r="J337" s="34" t="s">
        <v>535</v>
      </c>
      <c r="K337" s="33" t="s">
        <v>20</v>
      </c>
      <c r="L337" s="36">
        <v>209.0</v>
      </c>
      <c r="M337" s="51" t="s">
        <v>21</v>
      </c>
    </row>
    <row r="338" ht="22.5" customHeight="1">
      <c r="A338" s="33" t="s">
        <v>375</v>
      </c>
      <c r="B338" s="33" t="s">
        <v>578</v>
      </c>
      <c r="C338" s="57"/>
      <c r="D338" s="33" t="s">
        <v>30</v>
      </c>
      <c r="E338" s="34" t="s">
        <v>39</v>
      </c>
      <c r="F338" s="34" t="s">
        <v>40</v>
      </c>
      <c r="G338" s="56">
        <v>46028.0</v>
      </c>
      <c r="H338" s="36">
        <v>50.0</v>
      </c>
      <c r="I338" s="52" t="s">
        <v>61</v>
      </c>
      <c r="J338" s="34" t="s">
        <v>535</v>
      </c>
      <c r="K338" s="33" t="s">
        <v>20</v>
      </c>
      <c r="L338" s="36">
        <v>500.0</v>
      </c>
      <c r="M338" s="51" t="s">
        <v>27</v>
      </c>
    </row>
    <row r="339" ht="22.5" customHeight="1">
      <c r="A339" s="33" t="s">
        <v>598</v>
      </c>
      <c r="B339" s="33" t="s">
        <v>599</v>
      </c>
      <c r="C339" s="57"/>
      <c r="D339" s="33" t="s">
        <v>30</v>
      </c>
      <c r="E339" s="34" t="s">
        <v>39</v>
      </c>
      <c r="F339" s="34" t="s">
        <v>40</v>
      </c>
      <c r="G339" s="56">
        <v>46028.0</v>
      </c>
      <c r="H339" s="36">
        <v>50.0</v>
      </c>
      <c r="I339" s="52" t="s">
        <v>47</v>
      </c>
      <c r="J339" s="34" t="s">
        <v>535</v>
      </c>
      <c r="K339" s="33" t="s">
        <v>20</v>
      </c>
      <c r="L339" s="36">
        <v>529.0</v>
      </c>
      <c r="M339" s="51" t="s">
        <v>27</v>
      </c>
    </row>
    <row r="340" ht="22.5" customHeight="1">
      <c r="A340" s="33" t="s">
        <v>600</v>
      </c>
      <c r="B340" s="33" t="s">
        <v>282</v>
      </c>
      <c r="C340" s="57"/>
      <c r="D340" s="33" t="s">
        <v>15</v>
      </c>
      <c r="E340" s="34" t="s">
        <v>262</v>
      </c>
      <c r="F340" s="34" t="s">
        <v>40</v>
      </c>
      <c r="G340" s="56">
        <v>46028.0</v>
      </c>
      <c r="H340" s="36">
        <v>500.0</v>
      </c>
      <c r="I340" s="52" t="s">
        <v>18</v>
      </c>
      <c r="J340" s="34" t="s">
        <v>535</v>
      </c>
      <c r="K340" s="33" t="s">
        <v>20</v>
      </c>
      <c r="L340" s="36">
        <v>500.0</v>
      </c>
      <c r="M340" s="51" t="s">
        <v>27</v>
      </c>
    </row>
    <row r="341" ht="22.5" customHeight="1">
      <c r="A341" s="33" t="s">
        <v>601</v>
      </c>
      <c r="B341" s="33" t="s">
        <v>209</v>
      </c>
      <c r="C341" s="57"/>
      <c r="D341" s="33" t="s">
        <v>15</v>
      </c>
      <c r="E341" s="34" t="s">
        <v>106</v>
      </c>
      <c r="F341" s="34" t="s">
        <v>133</v>
      </c>
      <c r="G341" s="56">
        <v>46028.0</v>
      </c>
      <c r="H341" s="36">
        <v>50.0</v>
      </c>
      <c r="I341" s="52" t="s">
        <v>47</v>
      </c>
      <c r="J341" s="34" t="s">
        <v>535</v>
      </c>
      <c r="K341" s="33" t="s">
        <v>20</v>
      </c>
      <c r="L341" s="36">
        <v>500.0</v>
      </c>
      <c r="M341" s="51" t="s">
        <v>199</v>
      </c>
    </row>
    <row r="342" ht="22.5" customHeight="1">
      <c r="A342" s="33" t="s">
        <v>520</v>
      </c>
      <c r="B342" s="33" t="s">
        <v>602</v>
      </c>
      <c r="C342" s="57"/>
      <c r="D342" s="33" t="s">
        <v>15</v>
      </c>
      <c r="E342" s="34" t="s">
        <v>35</v>
      </c>
      <c r="F342" s="34" t="s">
        <v>133</v>
      </c>
      <c r="G342" s="56">
        <v>46028.0</v>
      </c>
      <c r="H342" s="36">
        <v>50.0</v>
      </c>
      <c r="I342" s="52" t="s">
        <v>65</v>
      </c>
      <c r="J342" s="34" t="s">
        <v>535</v>
      </c>
      <c r="K342" s="33" t="s">
        <v>20</v>
      </c>
      <c r="L342" s="36">
        <v>1900.0</v>
      </c>
      <c r="M342" s="51" t="s">
        <v>82</v>
      </c>
    </row>
    <row r="343" ht="22.5" customHeight="1">
      <c r="A343" s="33" t="s">
        <v>603</v>
      </c>
      <c r="B343" s="33" t="s">
        <v>296</v>
      </c>
      <c r="C343" s="57"/>
      <c r="D343" s="33" t="s">
        <v>15</v>
      </c>
      <c r="E343" s="34" t="s">
        <v>35</v>
      </c>
      <c r="F343" s="34" t="s">
        <v>133</v>
      </c>
      <c r="G343" s="56">
        <v>46028.0</v>
      </c>
      <c r="H343" s="36">
        <v>0.0</v>
      </c>
      <c r="I343" s="52" t="s">
        <v>65</v>
      </c>
      <c r="J343" s="34" t="s">
        <v>535</v>
      </c>
      <c r="K343" s="33" t="s">
        <v>20</v>
      </c>
      <c r="L343" s="36">
        <v>550.0</v>
      </c>
      <c r="M343" s="51" t="s">
        <v>91</v>
      </c>
    </row>
    <row r="344" ht="22.5" customHeight="1">
      <c r="A344" s="33" t="s">
        <v>378</v>
      </c>
      <c r="B344" s="33" t="s">
        <v>298</v>
      </c>
      <c r="C344" s="57"/>
      <c r="D344" s="33" t="s">
        <v>15</v>
      </c>
      <c r="E344" s="34" t="s">
        <v>35</v>
      </c>
      <c r="F344" s="34" t="s">
        <v>133</v>
      </c>
      <c r="G344" s="56">
        <v>46028.0</v>
      </c>
      <c r="H344" s="36">
        <v>50.0</v>
      </c>
      <c r="I344" s="52" t="s">
        <v>75</v>
      </c>
      <c r="J344" s="34" t="s">
        <v>535</v>
      </c>
      <c r="K344" s="33" t="s">
        <v>20</v>
      </c>
      <c r="L344" s="36">
        <v>500.0</v>
      </c>
      <c r="M344" s="51" t="s">
        <v>199</v>
      </c>
    </row>
    <row r="345" ht="22.5" customHeight="1">
      <c r="A345" s="33" t="s">
        <v>604</v>
      </c>
      <c r="B345" s="33" t="s">
        <v>84</v>
      </c>
      <c r="C345" s="57"/>
      <c r="D345" s="33" t="s">
        <v>15</v>
      </c>
      <c r="E345" s="34" t="s">
        <v>16</v>
      </c>
      <c r="F345" s="34" t="s">
        <v>17</v>
      </c>
      <c r="G345" s="56">
        <v>46029.0</v>
      </c>
      <c r="H345" s="36">
        <v>0.0</v>
      </c>
      <c r="I345" s="52" t="s">
        <v>61</v>
      </c>
      <c r="J345" s="34" t="s">
        <v>535</v>
      </c>
      <c r="K345" s="33" t="s">
        <v>20</v>
      </c>
      <c r="L345" s="36">
        <v>189.0</v>
      </c>
      <c r="M345" s="51" t="s">
        <v>27</v>
      </c>
    </row>
    <row r="346" ht="22.5" customHeight="1">
      <c r="A346" s="33" t="s">
        <v>542</v>
      </c>
      <c r="B346" s="33" t="s">
        <v>278</v>
      </c>
      <c r="C346" s="57"/>
      <c r="D346" s="33" t="s">
        <v>15</v>
      </c>
      <c r="E346" s="34" t="s">
        <v>366</v>
      </c>
      <c r="F346" s="34" t="s">
        <v>40</v>
      </c>
      <c r="G346" s="56">
        <v>46029.0</v>
      </c>
      <c r="H346" s="36">
        <v>50.0</v>
      </c>
      <c r="I346" s="52" t="s">
        <v>18</v>
      </c>
      <c r="J346" s="34" t="s">
        <v>535</v>
      </c>
      <c r="K346" s="33" t="s">
        <v>20</v>
      </c>
      <c r="L346" s="36">
        <v>900.0</v>
      </c>
      <c r="M346" s="51" t="s">
        <v>27</v>
      </c>
    </row>
    <row r="347" ht="22.5" customHeight="1">
      <c r="A347" s="33" t="s">
        <v>470</v>
      </c>
      <c r="B347" s="33" t="s">
        <v>605</v>
      </c>
      <c r="C347" s="57"/>
      <c r="D347" s="33" t="s">
        <v>15</v>
      </c>
      <c r="E347" s="34" t="s">
        <v>31</v>
      </c>
      <c r="F347" s="34" t="s">
        <v>17</v>
      </c>
      <c r="G347" s="56">
        <v>46030.0</v>
      </c>
      <c r="H347" s="36">
        <v>0.0</v>
      </c>
      <c r="I347" s="52" t="s">
        <v>65</v>
      </c>
      <c r="J347" s="34" t="s">
        <v>535</v>
      </c>
      <c r="K347" s="33" t="s">
        <v>20</v>
      </c>
      <c r="L347" s="36">
        <v>180.0</v>
      </c>
      <c r="M347" s="51" t="s">
        <v>27</v>
      </c>
    </row>
    <row r="348" ht="22.5" customHeight="1">
      <c r="A348" s="33" t="s">
        <v>606</v>
      </c>
      <c r="B348" s="33" t="s">
        <v>607</v>
      </c>
      <c r="C348" s="57"/>
      <c r="D348" s="33" t="s">
        <v>15</v>
      </c>
      <c r="E348" s="34" t="s">
        <v>60</v>
      </c>
      <c r="F348" s="34" t="s">
        <v>36</v>
      </c>
      <c r="G348" s="56">
        <v>46030.0</v>
      </c>
      <c r="H348" s="36">
        <v>50.0</v>
      </c>
      <c r="I348" s="52" t="s">
        <v>75</v>
      </c>
      <c r="J348" s="34" t="s">
        <v>535</v>
      </c>
      <c r="K348" s="33" t="s">
        <v>20</v>
      </c>
      <c r="L348" s="36">
        <v>105.0</v>
      </c>
      <c r="M348" s="51" t="s">
        <v>608</v>
      </c>
    </row>
    <row r="349" ht="22.5" customHeight="1">
      <c r="A349" s="33" t="s">
        <v>429</v>
      </c>
      <c r="B349" s="33" t="s">
        <v>609</v>
      </c>
      <c r="C349" s="57"/>
      <c r="D349" s="33" t="s">
        <v>15</v>
      </c>
      <c r="E349" s="34" t="s">
        <v>16</v>
      </c>
      <c r="F349" s="34" t="s">
        <v>17</v>
      </c>
      <c r="G349" s="56">
        <v>46030.0</v>
      </c>
      <c r="H349" s="36">
        <v>0.0</v>
      </c>
      <c r="I349" s="52" t="s">
        <v>61</v>
      </c>
      <c r="J349" s="34" t="s">
        <v>535</v>
      </c>
      <c r="K349" s="33" t="s">
        <v>20</v>
      </c>
      <c r="L349" s="36">
        <v>324.0</v>
      </c>
      <c r="M349" s="51" t="s">
        <v>27</v>
      </c>
    </row>
    <row r="350" ht="22.5" customHeight="1">
      <c r="A350" s="33" t="s">
        <v>90</v>
      </c>
      <c r="B350" s="33" t="s">
        <v>80</v>
      </c>
      <c r="C350" s="57"/>
      <c r="D350" s="33" t="s">
        <v>30</v>
      </c>
      <c r="E350" s="34" t="s">
        <v>31</v>
      </c>
      <c r="F350" s="34" t="s">
        <v>17</v>
      </c>
      <c r="G350" s="56">
        <v>46030.0</v>
      </c>
      <c r="H350" s="36">
        <v>0.0</v>
      </c>
      <c r="I350" s="52" t="s">
        <v>65</v>
      </c>
      <c r="J350" s="34" t="s">
        <v>535</v>
      </c>
      <c r="K350" s="33" t="s">
        <v>20</v>
      </c>
      <c r="L350" s="36">
        <v>60.0</v>
      </c>
      <c r="M350" s="51" t="s">
        <v>27</v>
      </c>
    </row>
    <row r="351" ht="22.5" customHeight="1">
      <c r="A351" s="33" t="s">
        <v>532</v>
      </c>
      <c r="B351" s="33" t="s">
        <v>197</v>
      </c>
      <c r="C351" s="57"/>
      <c r="D351" s="33" t="s">
        <v>15</v>
      </c>
      <c r="E351" s="34" t="s">
        <v>31</v>
      </c>
      <c r="F351" s="34" t="s">
        <v>17</v>
      </c>
      <c r="G351" s="56">
        <v>46031.0</v>
      </c>
      <c r="H351" s="36">
        <v>0.0</v>
      </c>
      <c r="I351" s="52" t="s">
        <v>65</v>
      </c>
      <c r="J351" s="34" t="s">
        <v>535</v>
      </c>
      <c r="K351" s="33" t="s">
        <v>20</v>
      </c>
      <c r="L351" s="36">
        <v>680.0</v>
      </c>
      <c r="M351" s="51" t="s">
        <v>21</v>
      </c>
    </row>
    <row r="352" ht="22.5" customHeight="1">
      <c r="A352" s="33" t="s">
        <v>119</v>
      </c>
      <c r="B352" s="33" t="s">
        <v>578</v>
      </c>
      <c r="C352" s="57"/>
      <c r="D352" s="33" t="s">
        <v>30</v>
      </c>
      <c r="E352" s="34" t="s">
        <v>31</v>
      </c>
      <c r="F352" s="34" t="s">
        <v>17</v>
      </c>
      <c r="G352" s="56">
        <v>46031.0</v>
      </c>
      <c r="H352" s="36">
        <v>50.0</v>
      </c>
      <c r="I352" s="52" t="s">
        <v>610</v>
      </c>
      <c r="J352" s="34" t="s">
        <v>535</v>
      </c>
      <c r="K352" s="33" t="s">
        <v>20</v>
      </c>
      <c r="L352" s="36">
        <v>288.0</v>
      </c>
      <c r="M352" s="51" t="s">
        <v>199</v>
      </c>
    </row>
    <row r="353" ht="22.5" customHeight="1">
      <c r="A353" s="33" t="s">
        <v>94</v>
      </c>
      <c r="B353" s="33" t="s">
        <v>611</v>
      </c>
      <c r="C353" s="57"/>
      <c r="D353" s="33" t="s">
        <v>15</v>
      </c>
      <c r="E353" s="34" t="s">
        <v>460</v>
      </c>
      <c r="F353" s="34" t="s">
        <v>36</v>
      </c>
      <c r="G353" s="56">
        <v>46031.0</v>
      </c>
      <c r="H353" s="36">
        <v>50.0</v>
      </c>
      <c r="I353" s="52" t="s">
        <v>61</v>
      </c>
      <c r="J353" s="34" t="s">
        <v>535</v>
      </c>
      <c r="K353" s="33" t="s">
        <v>20</v>
      </c>
      <c r="L353" s="36">
        <v>50.0</v>
      </c>
      <c r="M353" s="51" t="s">
        <v>21</v>
      </c>
    </row>
    <row r="354" ht="22.5" customHeight="1">
      <c r="A354" s="33" t="s">
        <v>612</v>
      </c>
      <c r="B354" s="33" t="s">
        <v>613</v>
      </c>
      <c r="C354" s="57"/>
      <c r="D354" s="33" t="s">
        <v>15</v>
      </c>
      <c r="E354" s="34" t="s">
        <v>366</v>
      </c>
      <c r="F354" s="34" t="s">
        <v>40</v>
      </c>
      <c r="G354" s="56">
        <v>46031.0</v>
      </c>
      <c r="H354" s="36">
        <v>0.0</v>
      </c>
      <c r="I354" s="52" t="s">
        <v>18</v>
      </c>
      <c r="J354" s="34" t="s">
        <v>535</v>
      </c>
      <c r="K354" s="33" t="s">
        <v>20</v>
      </c>
      <c r="L354" s="36">
        <v>990.0</v>
      </c>
      <c r="M354" s="51" t="s">
        <v>608</v>
      </c>
    </row>
    <row r="355" ht="22.5" customHeight="1">
      <c r="A355" s="33" t="s">
        <v>612</v>
      </c>
      <c r="B355" s="33" t="s">
        <v>613</v>
      </c>
      <c r="C355" s="57"/>
      <c r="D355" s="33" t="s">
        <v>15</v>
      </c>
      <c r="E355" s="34" t="s">
        <v>39</v>
      </c>
      <c r="F355" s="34" t="s">
        <v>40</v>
      </c>
      <c r="G355" s="56">
        <v>46031.0</v>
      </c>
      <c r="H355" s="36">
        <v>50.0</v>
      </c>
      <c r="I355" s="52" t="s">
        <v>18</v>
      </c>
      <c r="J355" s="34" t="s">
        <v>535</v>
      </c>
      <c r="K355" s="33" t="s">
        <v>20</v>
      </c>
      <c r="L355" s="36">
        <v>529.0</v>
      </c>
      <c r="M355" s="51" t="s">
        <v>27</v>
      </c>
    </row>
    <row r="356" ht="22.5" customHeight="1">
      <c r="A356" s="33" t="s">
        <v>614</v>
      </c>
      <c r="B356" s="33" t="s">
        <v>615</v>
      </c>
      <c r="C356" s="57"/>
      <c r="D356" s="33" t="s">
        <v>15</v>
      </c>
      <c r="E356" s="34" t="s">
        <v>31</v>
      </c>
      <c r="F356" s="34" t="s">
        <v>17</v>
      </c>
      <c r="G356" s="56">
        <v>46032.0</v>
      </c>
      <c r="H356" s="36">
        <v>0.0</v>
      </c>
      <c r="I356" s="52" t="s">
        <v>65</v>
      </c>
      <c r="J356" s="34" t="s">
        <v>535</v>
      </c>
      <c r="K356" s="33" t="s">
        <v>20</v>
      </c>
      <c r="L356" s="36">
        <v>80.0</v>
      </c>
      <c r="M356" s="51" t="s">
        <v>21</v>
      </c>
    </row>
    <row r="357" ht="22.5" customHeight="1">
      <c r="A357" s="33" t="s">
        <v>616</v>
      </c>
      <c r="B357" s="33" t="s">
        <v>530</v>
      </c>
      <c r="C357" s="57"/>
      <c r="D357" s="33" t="s">
        <v>15</v>
      </c>
      <c r="E357" s="34" t="s">
        <v>55</v>
      </c>
      <c r="F357" s="34" t="s">
        <v>40</v>
      </c>
      <c r="G357" s="56">
        <v>46032.0</v>
      </c>
      <c r="H357" s="36">
        <v>50.0</v>
      </c>
      <c r="I357" s="52" t="s">
        <v>65</v>
      </c>
      <c r="J357" s="34" t="s">
        <v>535</v>
      </c>
      <c r="K357" s="33" t="s">
        <v>20</v>
      </c>
      <c r="L357" s="36">
        <v>130.0</v>
      </c>
      <c r="M357" s="51" t="s">
        <v>27</v>
      </c>
    </row>
    <row r="358" ht="22.5" customHeight="1">
      <c r="A358" s="33" t="s">
        <v>617</v>
      </c>
      <c r="B358" s="33" t="s">
        <v>618</v>
      </c>
      <c r="C358" s="57"/>
      <c r="D358" s="33" t="s">
        <v>30</v>
      </c>
      <c r="E358" s="34" t="s">
        <v>16</v>
      </c>
      <c r="F358" s="34" t="s">
        <v>17</v>
      </c>
      <c r="G358" s="56">
        <v>46032.0</v>
      </c>
      <c r="H358" s="36">
        <v>50.0</v>
      </c>
      <c r="I358" s="52" t="s">
        <v>47</v>
      </c>
      <c r="J358" s="34" t="s">
        <v>535</v>
      </c>
      <c r="K358" s="33" t="s">
        <v>20</v>
      </c>
      <c r="L358" s="36">
        <v>119.0</v>
      </c>
      <c r="M358" s="51" t="s">
        <v>91</v>
      </c>
    </row>
    <row r="359" ht="22.5" customHeight="1">
      <c r="A359" s="33" t="s">
        <v>619</v>
      </c>
      <c r="B359" s="33" t="s">
        <v>424</v>
      </c>
      <c r="C359" s="57"/>
      <c r="D359" s="33" t="s">
        <v>30</v>
      </c>
      <c r="E359" s="34" t="s">
        <v>39</v>
      </c>
      <c r="F359" s="34" t="s">
        <v>40</v>
      </c>
      <c r="G359" s="56">
        <v>46032.0</v>
      </c>
      <c r="H359" s="36">
        <v>50.0</v>
      </c>
      <c r="I359" s="52" t="s">
        <v>47</v>
      </c>
      <c r="J359" s="34" t="s">
        <v>535</v>
      </c>
      <c r="K359" s="33" t="s">
        <v>20</v>
      </c>
      <c r="L359" s="36">
        <v>529.0</v>
      </c>
      <c r="M359" s="51" t="s">
        <v>82</v>
      </c>
    </row>
    <row r="360" ht="22.5" customHeight="1">
      <c r="A360" s="33" t="s">
        <v>620</v>
      </c>
      <c r="B360" s="33" t="s">
        <v>135</v>
      </c>
      <c r="C360" s="57"/>
      <c r="D360" s="33" t="s">
        <v>30</v>
      </c>
      <c r="E360" s="34" t="s">
        <v>39</v>
      </c>
      <c r="F360" s="34" t="s">
        <v>40</v>
      </c>
      <c r="G360" s="56">
        <v>46032.0</v>
      </c>
      <c r="H360" s="36">
        <v>50.0</v>
      </c>
      <c r="I360" s="52" t="s">
        <v>47</v>
      </c>
      <c r="J360" s="34" t="s">
        <v>535</v>
      </c>
      <c r="K360" s="33" t="s">
        <v>20</v>
      </c>
      <c r="L360" s="36">
        <v>529.0</v>
      </c>
      <c r="M360" s="51" t="s">
        <v>27</v>
      </c>
    </row>
    <row r="361" ht="22.5" customHeight="1">
      <c r="A361" s="33" t="s">
        <v>621</v>
      </c>
      <c r="B361" s="33" t="s">
        <v>622</v>
      </c>
      <c r="C361" s="57"/>
      <c r="D361" s="33" t="s">
        <v>30</v>
      </c>
      <c r="E361" s="34" t="s">
        <v>262</v>
      </c>
      <c r="F361" s="34" t="s">
        <v>40</v>
      </c>
      <c r="G361" s="56">
        <v>46032.0</v>
      </c>
      <c r="H361" s="36">
        <v>50.0</v>
      </c>
      <c r="I361" s="52" t="s">
        <v>47</v>
      </c>
      <c r="J361" s="34" t="s">
        <v>535</v>
      </c>
      <c r="K361" s="33" t="s">
        <v>20</v>
      </c>
      <c r="L361" s="36">
        <v>1050.0</v>
      </c>
      <c r="M361" s="51" t="s">
        <v>27</v>
      </c>
    </row>
    <row r="362" ht="22.5" customHeight="1">
      <c r="A362" s="33" t="s">
        <v>623</v>
      </c>
      <c r="B362" s="33" t="s">
        <v>624</v>
      </c>
      <c r="C362" s="57"/>
      <c r="D362" s="33" t="s">
        <v>15</v>
      </c>
      <c r="E362" s="34" t="s">
        <v>55</v>
      </c>
      <c r="F362" s="34" t="s">
        <v>36</v>
      </c>
      <c r="G362" s="56">
        <v>46034.0</v>
      </c>
      <c r="H362" s="36">
        <v>50.0</v>
      </c>
      <c r="I362" s="52" t="s">
        <v>18</v>
      </c>
      <c r="J362" s="34" t="s">
        <v>535</v>
      </c>
      <c r="K362" s="33" t="s">
        <v>20</v>
      </c>
      <c r="L362" s="36">
        <v>0.0</v>
      </c>
      <c r="M362" s="51" t="s">
        <v>27</v>
      </c>
    </row>
    <row r="363" ht="22.5" customHeight="1">
      <c r="A363" s="33" t="s">
        <v>326</v>
      </c>
      <c r="B363" s="33" t="s">
        <v>368</v>
      </c>
      <c r="C363" s="57"/>
      <c r="D363" s="33" t="s">
        <v>15</v>
      </c>
      <c r="E363" s="34" t="s">
        <v>60</v>
      </c>
      <c r="F363" s="34" t="s">
        <v>36</v>
      </c>
      <c r="G363" s="56">
        <v>46034.0</v>
      </c>
      <c r="H363" s="36">
        <v>509.0</v>
      </c>
      <c r="I363" s="52" t="s">
        <v>65</v>
      </c>
      <c r="J363" s="34" t="s">
        <v>535</v>
      </c>
      <c r="K363" s="33" t="s">
        <v>20</v>
      </c>
      <c r="L363" s="36">
        <v>0.0</v>
      </c>
      <c r="M363" s="51" t="s">
        <v>27</v>
      </c>
    </row>
    <row r="364" ht="22.5" customHeight="1">
      <c r="A364" s="33" t="s">
        <v>373</v>
      </c>
      <c r="B364" s="33" t="s">
        <v>411</v>
      </c>
      <c r="C364" s="57"/>
      <c r="D364" s="33" t="s">
        <v>15</v>
      </c>
      <c r="E364" s="34" t="s">
        <v>31</v>
      </c>
      <c r="F364" s="34" t="s">
        <v>17</v>
      </c>
      <c r="G364" s="56">
        <v>46034.0</v>
      </c>
      <c r="H364" s="36">
        <v>539.0</v>
      </c>
      <c r="I364" s="52" t="s">
        <v>18</v>
      </c>
      <c r="J364" s="34" t="s">
        <v>535</v>
      </c>
      <c r="K364" s="33" t="s">
        <v>20</v>
      </c>
      <c r="L364" s="36">
        <v>0.0</v>
      </c>
      <c r="M364" s="51" t="s">
        <v>199</v>
      </c>
    </row>
    <row r="365" ht="22.5" customHeight="1">
      <c r="A365" s="33" t="s">
        <v>625</v>
      </c>
      <c r="B365" s="33" t="s">
        <v>349</v>
      </c>
      <c r="C365" s="57"/>
      <c r="D365" s="33" t="s">
        <v>15</v>
      </c>
      <c r="E365" s="34" t="s">
        <v>55</v>
      </c>
      <c r="F365" s="34" t="s">
        <v>40</v>
      </c>
      <c r="G365" s="56">
        <v>46034.0</v>
      </c>
      <c r="H365" s="36">
        <v>50.0</v>
      </c>
      <c r="I365" s="52" t="s">
        <v>65</v>
      </c>
      <c r="J365" s="34" t="s">
        <v>535</v>
      </c>
      <c r="K365" s="33" t="s">
        <v>20</v>
      </c>
      <c r="L365" s="36">
        <v>100.0</v>
      </c>
      <c r="M365" s="51" t="s">
        <v>27</v>
      </c>
    </row>
    <row r="366" ht="22.5" customHeight="1">
      <c r="A366" s="33" t="s">
        <v>626</v>
      </c>
      <c r="B366" s="33" t="s">
        <v>508</v>
      </c>
      <c r="C366" s="57"/>
      <c r="D366" s="33" t="s">
        <v>15</v>
      </c>
      <c r="E366" s="34" t="s">
        <v>332</v>
      </c>
      <c r="F366" s="34" t="s">
        <v>40</v>
      </c>
      <c r="G366" s="56">
        <v>46034.0</v>
      </c>
      <c r="H366" s="36">
        <v>0.0</v>
      </c>
      <c r="I366" s="52" t="s">
        <v>18</v>
      </c>
      <c r="J366" s="34" t="s">
        <v>535</v>
      </c>
      <c r="K366" s="33" t="s">
        <v>20</v>
      </c>
      <c r="L366" s="36">
        <v>85.0</v>
      </c>
      <c r="M366" s="51" t="s">
        <v>21</v>
      </c>
    </row>
    <row r="367" ht="22.5" customHeight="1">
      <c r="A367" s="33" t="s">
        <v>574</v>
      </c>
      <c r="B367" s="33" t="s">
        <v>510</v>
      </c>
      <c r="C367" s="57"/>
      <c r="D367" s="33" t="s">
        <v>30</v>
      </c>
      <c r="E367" s="34" t="s">
        <v>31</v>
      </c>
      <c r="F367" s="34" t="s">
        <v>17</v>
      </c>
      <c r="G367" s="56">
        <v>46034.0</v>
      </c>
      <c r="H367" s="36">
        <v>0.0</v>
      </c>
      <c r="I367" s="52" t="s">
        <v>44</v>
      </c>
      <c r="J367" s="34" t="s">
        <v>535</v>
      </c>
      <c r="K367" s="33" t="s">
        <v>20</v>
      </c>
      <c r="L367" s="36">
        <v>45.0</v>
      </c>
      <c r="M367" s="51" t="s">
        <v>27</v>
      </c>
    </row>
    <row r="368" ht="22.5" customHeight="1">
      <c r="A368" s="33" t="s">
        <v>627</v>
      </c>
      <c r="B368" s="33" t="s">
        <v>537</v>
      </c>
      <c r="C368" s="57"/>
      <c r="D368" s="33" t="s">
        <v>30</v>
      </c>
      <c r="E368" s="34" t="s">
        <v>16</v>
      </c>
      <c r="F368" s="34" t="s">
        <v>17</v>
      </c>
      <c r="G368" s="56">
        <v>46034.0</v>
      </c>
      <c r="H368" s="36">
        <v>50.0</v>
      </c>
      <c r="I368" s="52" t="s">
        <v>65</v>
      </c>
      <c r="J368" s="34" t="s">
        <v>535</v>
      </c>
      <c r="K368" s="33" t="s">
        <v>20</v>
      </c>
      <c r="L368" s="36">
        <v>274.0</v>
      </c>
      <c r="M368" s="51" t="s">
        <v>199</v>
      </c>
    </row>
    <row r="369" ht="22.5" customHeight="1">
      <c r="A369" s="33" t="s">
        <v>445</v>
      </c>
      <c r="B369" s="33" t="s">
        <v>104</v>
      </c>
      <c r="C369" s="57"/>
      <c r="D369" s="33" t="s">
        <v>15</v>
      </c>
      <c r="E369" s="34" t="s">
        <v>16</v>
      </c>
      <c r="F369" s="34" t="s">
        <v>17</v>
      </c>
      <c r="G369" s="56">
        <v>46035.0</v>
      </c>
      <c r="H369" s="36">
        <v>50.0</v>
      </c>
      <c r="I369" s="52" t="s">
        <v>18</v>
      </c>
      <c r="J369" s="34" t="s">
        <v>535</v>
      </c>
      <c r="K369" s="33" t="s">
        <v>20</v>
      </c>
      <c r="L369" s="36">
        <v>309.0</v>
      </c>
      <c r="M369" s="51" t="s">
        <v>27</v>
      </c>
    </row>
    <row r="370" ht="22.5" customHeight="1">
      <c r="A370" s="33" t="s">
        <v>386</v>
      </c>
      <c r="B370" s="33" t="s">
        <v>628</v>
      </c>
      <c r="C370" s="57"/>
      <c r="D370" s="33" t="s">
        <v>15</v>
      </c>
      <c r="E370" s="34" t="s">
        <v>35</v>
      </c>
      <c r="F370" s="34" t="s">
        <v>133</v>
      </c>
      <c r="G370" s="56">
        <v>46035.0</v>
      </c>
      <c r="H370" s="36">
        <v>50.0</v>
      </c>
      <c r="I370" s="52" t="s">
        <v>75</v>
      </c>
      <c r="J370" s="34" t="s">
        <v>535</v>
      </c>
      <c r="K370" s="33" t="s">
        <v>20</v>
      </c>
      <c r="L370" s="36">
        <v>200.0</v>
      </c>
      <c r="M370" s="51" t="s">
        <v>27</v>
      </c>
    </row>
    <row r="371" ht="22.5" customHeight="1">
      <c r="A371" s="33" t="s">
        <v>629</v>
      </c>
      <c r="B371" s="33" t="s">
        <v>630</v>
      </c>
      <c r="C371" s="57"/>
      <c r="D371" s="33" t="s">
        <v>15</v>
      </c>
      <c r="E371" s="34" t="s">
        <v>430</v>
      </c>
      <c r="F371" s="34" t="s">
        <v>40</v>
      </c>
      <c r="G371" s="56">
        <v>46035.0</v>
      </c>
      <c r="H371" s="36">
        <v>0.0</v>
      </c>
      <c r="I371" s="52" t="s">
        <v>65</v>
      </c>
      <c r="J371" s="34" t="s">
        <v>535</v>
      </c>
      <c r="K371" s="33" t="s">
        <v>20</v>
      </c>
      <c r="L371" s="36">
        <v>220.0</v>
      </c>
      <c r="M371" s="51" t="s">
        <v>27</v>
      </c>
    </row>
    <row r="372" ht="22.5" customHeight="1">
      <c r="A372" s="33" t="s">
        <v>594</v>
      </c>
      <c r="B372" s="33" t="s">
        <v>161</v>
      </c>
      <c r="C372" s="57"/>
      <c r="D372" s="33" t="s">
        <v>15</v>
      </c>
      <c r="E372" s="34" t="s">
        <v>55</v>
      </c>
      <c r="F372" s="34" t="s">
        <v>40</v>
      </c>
      <c r="G372" s="56">
        <v>46035.0</v>
      </c>
      <c r="H372" s="36">
        <v>50.0</v>
      </c>
      <c r="I372" s="52" t="s">
        <v>18</v>
      </c>
      <c r="J372" s="34" t="s">
        <v>535</v>
      </c>
      <c r="K372" s="33" t="s">
        <v>20</v>
      </c>
      <c r="L372" s="36">
        <v>100.0</v>
      </c>
      <c r="M372" s="51" t="s">
        <v>27</v>
      </c>
    </row>
    <row r="373" ht="22.5" customHeight="1">
      <c r="A373" s="33" t="s">
        <v>631</v>
      </c>
      <c r="B373" s="33" t="s">
        <v>209</v>
      </c>
      <c r="C373" s="57"/>
      <c r="D373" s="33" t="s">
        <v>15</v>
      </c>
      <c r="E373" s="34" t="s">
        <v>332</v>
      </c>
      <c r="F373" s="34" t="s">
        <v>40</v>
      </c>
      <c r="G373" s="56">
        <v>46035.0</v>
      </c>
      <c r="H373" s="36">
        <v>0.0</v>
      </c>
      <c r="I373" s="52" t="s">
        <v>65</v>
      </c>
      <c r="J373" s="34" t="s">
        <v>535</v>
      </c>
      <c r="K373" s="33" t="s">
        <v>20</v>
      </c>
      <c r="L373" s="36">
        <v>85.0</v>
      </c>
      <c r="M373" s="51" t="s">
        <v>27</v>
      </c>
    </row>
    <row r="374" ht="22.5" customHeight="1">
      <c r="A374" s="33" t="s">
        <v>122</v>
      </c>
      <c r="B374" s="33" t="s">
        <v>319</v>
      </c>
      <c r="C374" s="57"/>
      <c r="D374" s="33" t="s">
        <v>15</v>
      </c>
      <c r="E374" s="34" t="s">
        <v>55</v>
      </c>
      <c r="F374" s="34" t="s">
        <v>40</v>
      </c>
      <c r="G374" s="56">
        <v>46036.0</v>
      </c>
      <c r="H374" s="36">
        <v>50.0</v>
      </c>
      <c r="I374" s="52" t="s">
        <v>65</v>
      </c>
      <c r="J374" s="34" t="s">
        <v>535</v>
      </c>
      <c r="K374" s="33" t="s">
        <v>20</v>
      </c>
      <c r="L374" s="36">
        <v>40.0</v>
      </c>
      <c r="M374" s="51" t="s">
        <v>27</v>
      </c>
    </row>
    <row r="375" ht="22.5" customHeight="1">
      <c r="A375" s="33" t="s">
        <v>205</v>
      </c>
      <c r="B375" s="33" t="s">
        <v>632</v>
      </c>
      <c r="C375" s="57"/>
      <c r="D375" s="33" t="s">
        <v>15</v>
      </c>
      <c r="E375" s="34" t="s">
        <v>60</v>
      </c>
      <c r="F375" s="34" t="s">
        <v>36</v>
      </c>
      <c r="G375" s="56">
        <v>46036.0</v>
      </c>
      <c r="H375" s="36">
        <v>50.0</v>
      </c>
      <c r="I375" s="52" t="s">
        <v>61</v>
      </c>
      <c r="J375" s="34" t="s">
        <v>535</v>
      </c>
      <c r="K375" s="33" t="s">
        <v>20</v>
      </c>
      <c r="L375" s="36">
        <v>290.0</v>
      </c>
      <c r="M375" s="51" t="s">
        <v>199</v>
      </c>
    </row>
    <row r="376" ht="22.5" customHeight="1">
      <c r="A376" s="33" t="s">
        <v>633</v>
      </c>
      <c r="B376" s="33" t="s">
        <v>634</v>
      </c>
      <c r="C376" s="57"/>
      <c r="D376" s="33" t="s">
        <v>30</v>
      </c>
      <c r="E376" s="34" t="s">
        <v>16</v>
      </c>
      <c r="F376" s="34" t="s">
        <v>17</v>
      </c>
      <c r="G376" s="56">
        <v>46036.0</v>
      </c>
      <c r="H376" s="36">
        <v>0.0</v>
      </c>
      <c r="I376" s="52" t="s">
        <v>47</v>
      </c>
      <c r="J376" s="34" t="s">
        <v>535</v>
      </c>
      <c r="K376" s="33" t="s">
        <v>20</v>
      </c>
      <c r="L376" s="36">
        <v>627.0</v>
      </c>
      <c r="M376" s="51" t="s">
        <v>127</v>
      </c>
    </row>
    <row r="377" ht="22.5" customHeight="1">
      <c r="A377" s="33" t="s">
        <v>635</v>
      </c>
      <c r="B377" s="33" t="s">
        <v>214</v>
      </c>
      <c r="C377" s="57"/>
      <c r="D377" s="33" t="s">
        <v>15</v>
      </c>
      <c r="E377" s="34" t="s">
        <v>35</v>
      </c>
      <c r="F377" s="34" t="s">
        <v>133</v>
      </c>
      <c r="G377" s="56">
        <v>46036.0</v>
      </c>
      <c r="H377" s="36">
        <v>0.0</v>
      </c>
      <c r="I377" s="52" t="s">
        <v>47</v>
      </c>
      <c r="J377" s="34" t="s">
        <v>535</v>
      </c>
      <c r="K377" s="33" t="s">
        <v>20</v>
      </c>
      <c r="L377" s="36">
        <v>1100.0</v>
      </c>
      <c r="M377" s="51" t="s">
        <v>21</v>
      </c>
    </row>
    <row r="378" ht="22.5" customHeight="1">
      <c r="A378" s="33" t="s">
        <v>304</v>
      </c>
      <c r="B378" s="33" t="s">
        <v>362</v>
      </c>
      <c r="C378" s="29"/>
      <c r="D378" s="33" t="s">
        <v>15</v>
      </c>
      <c r="E378" s="34" t="s">
        <v>16</v>
      </c>
      <c r="F378" s="34" t="s">
        <v>17</v>
      </c>
      <c r="G378" s="56">
        <v>46037.0</v>
      </c>
      <c r="H378" s="36">
        <v>50.0</v>
      </c>
      <c r="I378" s="52" t="s">
        <v>18</v>
      </c>
      <c r="J378" s="34" t="s">
        <v>535</v>
      </c>
      <c r="K378" s="33" t="s">
        <v>20</v>
      </c>
      <c r="L378" s="36">
        <v>119.0</v>
      </c>
      <c r="M378" s="51" t="s">
        <v>27</v>
      </c>
    </row>
    <row r="379" ht="22.5" customHeight="1">
      <c r="A379" s="33" t="s">
        <v>636</v>
      </c>
      <c r="B379" s="33" t="s">
        <v>349</v>
      </c>
      <c r="C379" s="57"/>
      <c r="D379" s="33" t="s">
        <v>30</v>
      </c>
      <c r="E379" s="34" t="s">
        <v>39</v>
      </c>
      <c r="F379" s="34" t="s">
        <v>40</v>
      </c>
      <c r="G379" s="56">
        <v>46037.0</v>
      </c>
      <c r="H379" s="36">
        <v>0.0</v>
      </c>
      <c r="I379" s="52" t="s">
        <v>18</v>
      </c>
      <c r="J379" s="34" t="s">
        <v>535</v>
      </c>
      <c r="K379" s="33" t="s">
        <v>20</v>
      </c>
      <c r="L379" s="36">
        <v>579.0</v>
      </c>
      <c r="M379" s="51" t="s">
        <v>82</v>
      </c>
    </row>
    <row r="380" ht="22.5" customHeight="1">
      <c r="A380" s="33" t="s">
        <v>637</v>
      </c>
      <c r="B380" s="33" t="s">
        <v>566</v>
      </c>
      <c r="C380" s="57"/>
      <c r="D380" s="33" t="s">
        <v>15</v>
      </c>
      <c r="E380" s="34" t="s">
        <v>383</v>
      </c>
      <c r="F380" s="34" t="s">
        <v>36</v>
      </c>
      <c r="G380" s="56">
        <v>46037.0</v>
      </c>
      <c r="H380" s="36">
        <v>50.0</v>
      </c>
      <c r="I380" s="52" t="s">
        <v>18</v>
      </c>
      <c r="J380" s="34" t="s">
        <v>535</v>
      </c>
      <c r="K380" s="33" t="s">
        <v>20</v>
      </c>
      <c r="L380" s="36">
        <v>150.0</v>
      </c>
      <c r="M380" s="51" t="s">
        <v>21</v>
      </c>
    </row>
    <row r="381" ht="22.5" customHeight="1">
      <c r="A381" s="33" t="s">
        <v>626</v>
      </c>
      <c r="B381" s="33" t="s">
        <v>508</v>
      </c>
      <c r="C381" s="57"/>
      <c r="D381" s="33" t="s">
        <v>15</v>
      </c>
      <c r="E381" s="34" t="s">
        <v>332</v>
      </c>
      <c r="F381" s="34" t="s">
        <v>40</v>
      </c>
      <c r="G381" s="56">
        <v>46037.0</v>
      </c>
      <c r="H381" s="36">
        <v>0.0</v>
      </c>
      <c r="I381" s="52" t="s">
        <v>18</v>
      </c>
      <c r="J381" s="34" t="s">
        <v>535</v>
      </c>
      <c r="K381" s="33" t="s">
        <v>20</v>
      </c>
      <c r="L381" s="36">
        <v>85.0</v>
      </c>
      <c r="M381" s="51" t="s">
        <v>27</v>
      </c>
    </row>
    <row r="382" ht="22.5" customHeight="1">
      <c r="A382" s="33" t="s">
        <v>638</v>
      </c>
      <c r="B382" s="33" t="s">
        <v>238</v>
      </c>
      <c r="C382" s="57"/>
      <c r="D382" s="33" t="s">
        <v>15</v>
      </c>
      <c r="E382" s="34" t="s">
        <v>639</v>
      </c>
      <c r="F382" s="34" t="s">
        <v>17</v>
      </c>
      <c r="G382" s="56">
        <v>46038.0</v>
      </c>
      <c r="H382" s="36">
        <v>50.0</v>
      </c>
      <c r="I382" s="52" t="s">
        <v>18</v>
      </c>
      <c r="J382" s="34" t="s">
        <v>535</v>
      </c>
      <c r="K382" s="33" t="s">
        <v>20</v>
      </c>
      <c r="L382" s="36">
        <v>50.0</v>
      </c>
      <c r="M382" s="51" t="s">
        <v>199</v>
      </c>
    </row>
    <row r="383" ht="22.5" customHeight="1">
      <c r="A383" s="33" t="s">
        <v>137</v>
      </c>
      <c r="B383" s="33" t="s">
        <v>478</v>
      </c>
      <c r="C383" s="57"/>
      <c r="D383" s="33" t="s">
        <v>30</v>
      </c>
      <c r="E383" s="34" t="s">
        <v>60</v>
      </c>
      <c r="F383" s="34" t="s">
        <v>36</v>
      </c>
      <c r="G383" s="56">
        <v>46038.0</v>
      </c>
      <c r="H383" s="36">
        <v>0.0</v>
      </c>
      <c r="I383" s="52" t="s">
        <v>61</v>
      </c>
      <c r="J383" s="34" t="s">
        <v>535</v>
      </c>
      <c r="K383" s="33" t="s">
        <v>20</v>
      </c>
      <c r="L383" s="36">
        <v>200.0</v>
      </c>
      <c r="M383" s="51" t="s">
        <v>27</v>
      </c>
    </row>
    <row r="384" ht="22.5" customHeight="1">
      <c r="A384" s="33" t="s">
        <v>435</v>
      </c>
      <c r="B384" s="33" t="s">
        <v>209</v>
      </c>
      <c r="C384" s="57"/>
      <c r="D384" s="33" t="s">
        <v>30</v>
      </c>
      <c r="E384" s="34" t="s">
        <v>289</v>
      </c>
      <c r="F384" s="34" t="s">
        <v>36</v>
      </c>
      <c r="G384" s="56">
        <v>46038.0</v>
      </c>
      <c r="H384" s="36">
        <v>0.0</v>
      </c>
      <c r="I384" s="52" t="s">
        <v>65</v>
      </c>
      <c r="J384" s="34" t="s">
        <v>535</v>
      </c>
      <c r="K384" s="33" t="s">
        <v>20</v>
      </c>
      <c r="L384" s="36">
        <v>450.0</v>
      </c>
      <c r="M384" s="51" t="s">
        <v>27</v>
      </c>
    </row>
    <row r="385" ht="22.5" customHeight="1">
      <c r="A385" s="33" t="s">
        <v>640</v>
      </c>
      <c r="B385" s="33" t="s">
        <v>641</v>
      </c>
      <c r="C385" s="57"/>
      <c r="D385" s="33" t="s">
        <v>30</v>
      </c>
      <c r="E385" s="34" t="s">
        <v>31</v>
      </c>
      <c r="F385" s="34" t="s">
        <v>17</v>
      </c>
      <c r="G385" s="56">
        <v>46038.0</v>
      </c>
      <c r="H385" s="36">
        <v>0.0</v>
      </c>
      <c r="I385" s="52" t="s">
        <v>47</v>
      </c>
      <c r="J385" s="34" t="s">
        <v>535</v>
      </c>
      <c r="K385" s="33" t="s">
        <v>20</v>
      </c>
      <c r="L385" s="36">
        <v>309.0</v>
      </c>
      <c r="M385" s="51" t="s">
        <v>27</v>
      </c>
    </row>
    <row r="386" ht="22.5" customHeight="1">
      <c r="A386" s="33" t="s">
        <v>642</v>
      </c>
      <c r="B386" s="33" t="s">
        <v>643</v>
      </c>
      <c r="C386" s="57"/>
      <c r="D386" s="33" t="s">
        <v>30</v>
      </c>
      <c r="E386" s="34" t="s">
        <v>39</v>
      </c>
      <c r="F386" s="34" t="s">
        <v>40</v>
      </c>
      <c r="G386" s="56">
        <v>46038.0</v>
      </c>
      <c r="H386" s="36">
        <v>50.0</v>
      </c>
      <c r="I386" s="52" t="s">
        <v>18</v>
      </c>
      <c r="J386" s="34" t="s">
        <v>535</v>
      </c>
      <c r="K386" s="33" t="s">
        <v>20</v>
      </c>
      <c r="L386" s="36">
        <v>529.0</v>
      </c>
      <c r="M386" s="51" t="s">
        <v>27</v>
      </c>
    </row>
    <row r="387" ht="22.5" customHeight="1">
      <c r="A387" s="33" t="s">
        <v>612</v>
      </c>
      <c r="B387" s="33" t="s">
        <v>613</v>
      </c>
      <c r="C387" s="57"/>
      <c r="D387" s="33" t="s">
        <v>15</v>
      </c>
      <c r="E387" s="34" t="s">
        <v>55</v>
      </c>
      <c r="F387" s="34" t="s">
        <v>40</v>
      </c>
      <c r="G387" s="56">
        <v>46038.0</v>
      </c>
      <c r="H387" s="36">
        <v>0.0</v>
      </c>
      <c r="I387" s="52" t="s">
        <v>65</v>
      </c>
      <c r="J387" s="34" t="s">
        <v>535</v>
      </c>
      <c r="K387" s="33" t="s">
        <v>20</v>
      </c>
      <c r="L387" s="36">
        <v>60.0</v>
      </c>
      <c r="M387" s="51" t="s">
        <v>21</v>
      </c>
    </row>
    <row r="388" ht="22.5" customHeight="1">
      <c r="A388" s="33" t="s">
        <v>614</v>
      </c>
      <c r="B388" s="33" t="s">
        <v>615</v>
      </c>
      <c r="C388" s="57"/>
      <c r="D388" s="33" t="s">
        <v>15</v>
      </c>
      <c r="E388" s="34" t="s">
        <v>383</v>
      </c>
      <c r="F388" s="34" t="s">
        <v>36</v>
      </c>
      <c r="G388" s="56">
        <v>46038.0</v>
      </c>
      <c r="H388" s="36">
        <v>50.0</v>
      </c>
      <c r="I388" s="52" t="s">
        <v>65</v>
      </c>
      <c r="J388" s="34" t="s">
        <v>535</v>
      </c>
      <c r="K388" s="33" t="s">
        <v>20</v>
      </c>
      <c r="L388" s="36">
        <v>150.0</v>
      </c>
      <c r="M388" s="51" t="s">
        <v>21</v>
      </c>
    </row>
    <row r="389" ht="22.5" customHeight="1">
      <c r="A389" s="33" t="s">
        <v>469</v>
      </c>
      <c r="B389" s="33" t="s">
        <v>644</v>
      </c>
      <c r="C389" s="57"/>
      <c r="D389" s="33" t="s">
        <v>15</v>
      </c>
      <c r="E389" s="34" t="s">
        <v>60</v>
      </c>
      <c r="F389" s="34" t="s">
        <v>36</v>
      </c>
      <c r="G389" s="56">
        <v>46038.0</v>
      </c>
      <c r="H389" s="36">
        <v>50.0</v>
      </c>
      <c r="I389" s="52" t="s">
        <v>65</v>
      </c>
      <c r="J389" s="34" t="s">
        <v>535</v>
      </c>
      <c r="K389" s="33" t="s">
        <v>20</v>
      </c>
      <c r="L389" s="36">
        <v>150.0</v>
      </c>
      <c r="M389" s="51" t="s">
        <v>27</v>
      </c>
    </row>
    <row r="390" ht="22.5" customHeight="1">
      <c r="A390" s="33" t="s">
        <v>645</v>
      </c>
      <c r="B390" s="33" t="s">
        <v>341</v>
      </c>
      <c r="C390" s="57"/>
      <c r="D390" s="33" t="s">
        <v>15</v>
      </c>
      <c r="E390" s="34" t="s">
        <v>39</v>
      </c>
      <c r="F390" s="34" t="s">
        <v>40</v>
      </c>
      <c r="G390" s="56">
        <v>46038.0</v>
      </c>
      <c r="H390" s="36">
        <v>50.0</v>
      </c>
      <c r="I390" s="52" t="s">
        <v>47</v>
      </c>
      <c r="J390" s="34" t="s">
        <v>535</v>
      </c>
      <c r="K390" s="33" t="s">
        <v>20</v>
      </c>
      <c r="L390" s="36">
        <v>579.0</v>
      </c>
      <c r="M390" s="51" t="s">
        <v>199</v>
      </c>
    </row>
    <row r="391" ht="22.5" customHeight="1">
      <c r="A391" s="33" t="s">
        <v>614</v>
      </c>
      <c r="B391" s="33" t="s">
        <v>615</v>
      </c>
      <c r="C391" s="57"/>
      <c r="D391" s="33" t="s">
        <v>15</v>
      </c>
      <c r="E391" s="34" t="s">
        <v>31</v>
      </c>
      <c r="F391" s="34" t="s">
        <v>17</v>
      </c>
      <c r="G391" s="56">
        <v>46039.0</v>
      </c>
      <c r="H391" s="36">
        <v>80.0</v>
      </c>
      <c r="I391" s="52" t="s">
        <v>65</v>
      </c>
      <c r="J391" s="34" t="s">
        <v>535</v>
      </c>
      <c r="K391" s="33" t="s">
        <v>20</v>
      </c>
      <c r="L391" s="36">
        <v>240.0</v>
      </c>
      <c r="M391" s="51" t="s">
        <v>21</v>
      </c>
    </row>
    <row r="392" ht="22.5" customHeight="1">
      <c r="A392" s="33" t="s">
        <v>621</v>
      </c>
      <c r="B392" s="33" t="s">
        <v>305</v>
      </c>
      <c r="C392" s="57"/>
      <c r="D392" s="33" t="s">
        <v>30</v>
      </c>
      <c r="E392" s="34" t="s">
        <v>16</v>
      </c>
      <c r="F392" s="34" t="s">
        <v>17</v>
      </c>
      <c r="G392" s="56">
        <v>46039.0</v>
      </c>
      <c r="H392" s="36">
        <v>50.0</v>
      </c>
      <c r="I392" s="52" t="s">
        <v>47</v>
      </c>
      <c r="J392" s="34" t="s">
        <v>535</v>
      </c>
      <c r="K392" s="33" t="s">
        <v>20</v>
      </c>
      <c r="L392" s="36">
        <v>209.0</v>
      </c>
      <c r="M392" s="51" t="s">
        <v>27</v>
      </c>
    </row>
    <row r="393" ht="22.5" customHeight="1">
      <c r="A393" s="33" t="s">
        <v>579</v>
      </c>
      <c r="B393" s="33" t="s">
        <v>566</v>
      </c>
      <c r="C393" s="57"/>
      <c r="D393" s="33" t="s">
        <v>15</v>
      </c>
      <c r="E393" s="34" t="s">
        <v>31</v>
      </c>
      <c r="F393" s="34" t="s">
        <v>17</v>
      </c>
      <c r="G393" s="56">
        <v>46041.0</v>
      </c>
      <c r="H393" s="36">
        <v>50.0</v>
      </c>
      <c r="I393" s="52" t="s">
        <v>18</v>
      </c>
      <c r="J393" s="34" t="s">
        <v>535</v>
      </c>
      <c r="K393" s="33" t="s">
        <v>20</v>
      </c>
      <c r="L393" s="36">
        <v>240.0</v>
      </c>
      <c r="M393" s="51" t="s">
        <v>199</v>
      </c>
    </row>
    <row r="394" ht="22.5" customHeight="1">
      <c r="A394" s="33" t="s">
        <v>587</v>
      </c>
      <c r="B394" s="33" t="s">
        <v>370</v>
      </c>
      <c r="C394" s="57"/>
      <c r="D394" s="33" t="s">
        <v>15</v>
      </c>
      <c r="E394" s="34" t="s">
        <v>561</v>
      </c>
      <c r="F394" s="34" t="s">
        <v>40</v>
      </c>
      <c r="G394" s="56">
        <v>46041.0</v>
      </c>
      <c r="H394" s="36">
        <v>0.0</v>
      </c>
      <c r="I394" s="52" t="s">
        <v>65</v>
      </c>
      <c r="J394" s="34" t="s">
        <v>535</v>
      </c>
      <c r="K394" s="33" t="s">
        <v>20</v>
      </c>
      <c r="L394" s="36">
        <v>950.0</v>
      </c>
      <c r="M394" s="51" t="s">
        <v>27</v>
      </c>
    </row>
    <row r="395" ht="22.5" customHeight="1">
      <c r="A395" s="33" t="s">
        <v>263</v>
      </c>
      <c r="B395" s="33" t="s">
        <v>508</v>
      </c>
      <c r="C395" s="57"/>
      <c r="D395" s="33" t="s">
        <v>15</v>
      </c>
      <c r="E395" s="34" t="s">
        <v>443</v>
      </c>
      <c r="F395" s="34" t="s">
        <v>36</v>
      </c>
      <c r="G395" s="56">
        <v>46041.0</v>
      </c>
      <c r="H395" s="36">
        <v>50.0</v>
      </c>
      <c r="I395" s="52" t="s">
        <v>18</v>
      </c>
      <c r="J395" s="34" t="s">
        <v>535</v>
      </c>
      <c r="K395" s="33" t="s">
        <v>20</v>
      </c>
      <c r="L395" s="36">
        <v>130.0</v>
      </c>
      <c r="M395" s="51" t="s">
        <v>27</v>
      </c>
    </row>
    <row r="396" ht="22.5" customHeight="1">
      <c r="A396" s="33" t="s">
        <v>646</v>
      </c>
      <c r="B396" s="33" t="s">
        <v>456</v>
      </c>
      <c r="C396" s="57"/>
      <c r="D396" s="33" t="s">
        <v>15</v>
      </c>
      <c r="E396" s="34" t="s">
        <v>16</v>
      </c>
      <c r="F396" s="34" t="s">
        <v>17</v>
      </c>
      <c r="G396" s="56">
        <v>46041.0</v>
      </c>
      <c r="H396" s="36">
        <v>50.0</v>
      </c>
      <c r="I396" s="52" t="s">
        <v>61</v>
      </c>
      <c r="J396" s="34" t="s">
        <v>535</v>
      </c>
      <c r="K396" s="33" t="s">
        <v>20</v>
      </c>
      <c r="L396" s="36">
        <v>159.0</v>
      </c>
      <c r="M396" s="51" t="s">
        <v>27</v>
      </c>
    </row>
    <row r="397" ht="22.5" customHeight="1">
      <c r="A397" s="33" t="s">
        <v>647</v>
      </c>
      <c r="B397" s="33" t="s">
        <v>648</v>
      </c>
      <c r="C397" s="57"/>
      <c r="D397" s="33" t="s">
        <v>15</v>
      </c>
      <c r="E397" s="34" t="s">
        <v>39</v>
      </c>
      <c r="F397" s="34" t="s">
        <v>40</v>
      </c>
      <c r="G397" s="56">
        <v>46041.0</v>
      </c>
      <c r="H397" s="36">
        <v>50.0</v>
      </c>
      <c r="I397" s="52" t="s">
        <v>18</v>
      </c>
      <c r="J397" s="34" t="s">
        <v>535</v>
      </c>
      <c r="K397" s="33" t="s">
        <v>20</v>
      </c>
      <c r="L397" s="36">
        <v>529.0</v>
      </c>
      <c r="M397" s="51" t="s">
        <v>27</v>
      </c>
    </row>
    <row r="398" ht="22.5" customHeight="1">
      <c r="A398" s="33" t="s">
        <v>649</v>
      </c>
      <c r="B398" s="33" t="s">
        <v>650</v>
      </c>
      <c r="C398" s="57"/>
      <c r="D398" s="33" t="s">
        <v>15</v>
      </c>
      <c r="E398" s="34" t="s">
        <v>31</v>
      </c>
      <c r="F398" s="34" t="s">
        <v>17</v>
      </c>
      <c r="G398" s="56">
        <v>46042.0</v>
      </c>
      <c r="H398" s="36">
        <v>0.0</v>
      </c>
      <c r="I398" s="52" t="s">
        <v>18</v>
      </c>
      <c r="J398" s="34" t="s">
        <v>535</v>
      </c>
      <c r="K398" s="33" t="s">
        <v>20</v>
      </c>
      <c r="L398" s="36">
        <v>180.0</v>
      </c>
      <c r="M398" s="51" t="s">
        <v>21</v>
      </c>
    </row>
    <row r="399" ht="22.5" customHeight="1">
      <c r="A399" s="33" t="s">
        <v>651</v>
      </c>
      <c r="B399" s="33" t="s">
        <v>530</v>
      </c>
      <c r="C399" s="57"/>
      <c r="D399" s="33" t="s">
        <v>15</v>
      </c>
      <c r="E399" s="34" t="s">
        <v>39</v>
      </c>
      <c r="F399" s="34" t="s">
        <v>40</v>
      </c>
      <c r="G399" s="56">
        <v>46042.0</v>
      </c>
      <c r="H399" s="36">
        <v>50.0</v>
      </c>
      <c r="I399" s="52" t="s">
        <v>18</v>
      </c>
      <c r="J399" s="34" t="s">
        <v>535</v>
      </c>
      <c r="K399" s="33" t="s">
        <v>20</v>
      </c>
      <c r="L399" s="36">
        <v>579.0</v>
      </c>
      <c r="M399" s="51" t="s">
        <v>199</v>
      </c>
    </row>
    <row r="400" ht="22.5" customHeight="1">
      <c r="A400" s="33" t="s">
        <v>652</v>
      </c>
      <c r="B400" s="33" t="s">
        <v>575</v>
      </c>
      <c r="C400" s="57"/>
      <c r="D400" s="33" t="s">
        <v>15</v>
      </c>
      <c r="E400" s="34" t="s">
        <v>55</v>
      </c>
      <c r="F400" s="34" t="s">
        <v>40</v>
      </c>
      <c r="G400" s="56">
        <v>46042.0</v>
      </c>
      <c r="H400" s="36">
        <v>50.0</v>
      </c>
      <c r="I400" s="52" t="s">
        <v>65</v>
      </c>
      <c r="J400" s="34" t="s">
        <v>535</v>
      </c>
      <c r="K400" s="33" t="s">
        <v>20</v>
      </c>
      <c r="L400" s="36">
        <v>90.0</v>
      </c>
      <c r="M400" s="51" t="s">
        <v>27</v>
      </c>
    </row>
    <row r="401" ht="22.5" customHeight="1">
      <c r="A401" s="33" t="s">
        <v>69</v>
      </c>
      <c r="B401" s="33" t="s">
        <v>653</v>
      </c>
      <c r="C401" s="57"/>
      <c r="D401" s="33" t="s">
        <v>30</v>
      </c>
      <c r="E401" s="34" t="s">
        <v>366</v>
      </c>
      <c r="F401" s="34" t="s">
        <v>36</v>
      </c>
      <c r="G401" s="56">
        <v>46042.0</v>
      </c>
      <c r="H401" s="36">
        <v>50.0</v>
      </c>
      <c r="I401" s="52" t="s">
        <v>47</v>
      </c>
      <c r="J401" s="34" t="s">
        <v>535</v>
      </c>
      <c r="K401" s="33" t="s">
        <v>20</v>
      </c>
      <c r="L401" s="36">
        <v>960.0</v>
      </c>
      <c r="M401" s="51" t="s">
        <v>27</v>
      </c>
    </row>
    <row r="402" ht="22.5" customHeight="1">
      <c r="A402" s="33" t="s">
        <v>83</v>
      </c>
      <c r="B402" s="33" t="s">
        <v>84</v>
      </c>
      <c r="C402" s="57"/>
      <c r="D402" s="33" t="s">
        <v>15</v>
      </c>
      <c r="E402" s="34" t="s">
        <v>383</v>
      </c>
      <c r="F402" s="34" t="s">
        <v>36</v>
      </c>
      <c r="G402" s="56">
        <v>46042.0</v>
      </c>
      <c r="H402" s="36">
        <v>0.0</v>
      </c>
      <c r="I402" s="52" t="s">
        <v>65</v>
      </c>
      <c r="J402" s="34" t="s">
        <v>535</v>
      </c>
      <c r="K402" s="33" t="s">
        <v>20</v>
      </c>
      <c r="L402" s="36">
        <v>210.0</v>
      </c>
      <c r="M402" s="51" t="s">
        <v>127</v>
      </c>
    </row>
    <row r="403" ht="22.5" customHeight="1">
      <c r="A403" s="33" t="s">
        <v>83</v>
      </c>
      <c r="B403" s="33" t="s">
        <v>84</v>
      </c>
      <c r="C403" s="57"/>
      <c r="D403" s="33" t="s">
        <v>15</v>
      </c>
      <c r="E403" s="34" t="s">
        <v>561</v>
      </c>
      <c r="F403" s="34" t="s">
        <v>40</v>
      </c>
      <c r="G403" s="56">
        <v>46042.0</v>
      </c>
      <c r="H403" s="36">
        <v>0.0</v>
      </c>
      <c r="I403" s="52" t="s">
        <v>65</v>
      </c>
      <c r="J403" s="34" t="s">
        <v>535</v>
      </c>
      <c r="K403" s="33" t="s">
        <v>20</v>
      </c>
      <c r="L403" s="36">
        <v>1150.0</v>
      </c>
      <c r="M403" s="51" t="s">
        <v>127</v>
      </c>
    </row>
    <row r="404" ht="22.5" customHeight="1">
      <c r="A404" s="33" t="s">
        <v>654</v>
      </c>
      <c r="B404" s="33" t="s">
        <v>655</v>
      </c>
      <c r="C404" s="57"/>
      <c r="D404" s="33" t="s">
        <v>30</v>
      </c>
      <c r="E404" s="34" t="s">
        <v>332</v>
      </c>
      <c r="F404" s="34" t="s">
        <v>40</v>
      </c>
      <c r="G404" s="56">
        <v>46042.0</v>
      </c>
      <c r="H404" s="36">
        <v>0.0</v>
      </c>
      <c r="I404" s="52" t="s">
        <v>47</v>
      </c>
      <c r="J404" s="34" t="s">
        <v>535</v>
      </c>
      <c r="K404" s="33" t="s">
        <v>20</v>
      </c>
      <c r="L404" s="36">
        <v>89.0</v>
      </c>
      <c r="M404" s="51" t="s">
        <v>127</v>
      </c>
    </row>
    <row r="405" ht="22.5" customHeight="1">
      <c r="A405" s="33" t="s">
        <v>656</v>
      </c>
      <c r="B405" s="33" t="s">
        <v>508</v>
      </c>
      <c r="C405" s="57"/>
      <c r="D405" s="33" t="s">
        <v>15</v>
      </c>
      <c r="E405" s="34" t="s">
        <v>332</v>
      </c>
      <c r="F405" s="34" t="s">
        <v>40</v>
      </c>
      <c r="G405" s="56">
        <v>46042.0</v>
      </c>
      <c r="H405" s="36">
        <v>0.0</v>
      </c>
      <c r="I405" s="52" t="s">
        <v>65</v>
      </c>
      <c r="J405" s="34" t="s">
        <v>535</v>
      </c>
      <c r="K405" s="33" t="s">
        <v>20</v>
      </c>
      <c r="L405" s="36">
        <v>85.0</v>
      </c>
      <c r="M405" s="51" t="s">
        <v>27</v>
      </c>
    </row>
    <row r="406" ht="22.5" customHeight="1">
      <c r="A406" s="33" t="s">
        <v>657</v>
      </c>
      <c r="B406" s="33" t="s">
        <v>191</v>
      </c>
      <c r="C406" s="57"/>
      <c r="D406" s="33" t="s">
        <v>15</v>
      </c>
      <c r="E406" s="34" t="s">
        <v>60</v>
      </c>
      <c r="F406" s="34" t="s">
        <v>36</v>
      </c>
      <c r="G406" s="56">
        <v>46042.0</v>
      </c>
      <c r="H406" s="36">
        <v>0.0</v>
      </c>
      <c r="I406" s="52" t="s">
        <v>18</v>
      </c>
      <c r="J406" s="34" t="s">
        <v>535</v>
      </c>
      <c r="K406" s="33" t="s">
        <v>20</v>
      </c>
      <c r="L406" s="36">
        <v>180.0</v>
      </c>
      <c r="M406" s="51" t="s">
        <v>21</v>
      </c>
    </row>
    <row r="407" ht="22.5" customHeight="1">
      <c r="A407" s="33" t="s">
        <v>658</v>
      </c>
      <c r="B407" s="33" t="s">
        <v>659</v>
      </c>
      <c r="C407" s="57"/>
      <c r="D407" s="33" t="s">
        <v>15</v>
      </c>
      <c r="E407" s="34" t="s">
        <v>55</v>
      </c>
      <c r="F407" s="34" t="s">
        <v>40</v>
      </c>
      <c r="G407" s="56">
        <v>46043.0</v>
      </c>
      <c r="H407" s="36">
        <v>0.0</v>
      </c>
      <c r="I407" s="52" t="s">
        <v>65</v>
      </c>
      <c r="J407" s="34" t="s">
        <v>535</v>
      </c>
      <c r="K407" s="33" t="s">
        <v>20</v>
      </c>
      <c r="L407" s="36">
        <v>63.0</v>
      </c>
      <c r="M407" s="51" t="s">
        <v>127</v>
      </c>
    </row>
    <row r="408" ht="22.5" customHeight="1">
      <c r="A408" s="33" t="s">
        <v>326</v>
      </c>
      <c r="B408" s="33" t="s">
        <v>368</v>
      </c>
      <c r="C408" s="57"/>
      <c r="D408" s="33" t="s">
        <v>15</v>
      </c>
      <c r="E408" s="34" t="s">
        <v>16</v>
      </c>
      <c r="F408" s="34" t="s">
        <v>17</v>
      </c>
      <c r="G408" s="56">
        <v>46043.0</v>
      </c>
      <c r="H408" s="36">
        <v>378.0</v>
      </c>
      <c r="I408" s="52" t="s">
        <v>65</v>
      </c>
      <c r="J408" s="34" t="s">
        <v>535</v>
      </c>
      <c r="K408" s="33" t="s">
        <v>20</v>
      </c>
      <c r="L408" s="36">
        <v>0.0</v>
      </c>
      <c r="M408" s="51" t="s">
        <v>27</v>
      </c>
    </row>
    <row r="409" ht="22.5" customHeight="1">
      <c r="A409" s="33" t="s">
        <v>660</v>
      </c>
      <c r="B409" s="33" t="s">
        <v>634</v>
      </c>
      <c r="C409" s="57"/>
      <c r="D409" s="33" t="s">
        <v>15</v>
      </c>
      <c r="E409" s="34" t="s">
        <v>55</v>
      </c>
      <c r="F409" s="34" t="s">
        <v>40</v>
      </c>
      <c r="G409" s="56">
        <v>46043.0</v>
      </c>
      <c r="H409" s="36">
        <v>0.0</v>
      </c>
      <c r="I409" s="52" t="s">
        <v>18</v>
      </c>
      <c r="J409" s="34" t="s">
        <v>535</v>
      </c>
      <c r="K409" s="33" t="s">
        <v>20</v>
      </c>
      <c r="L409" s="36">
        <v>60.0</v>
      </c>
      <c r="M409" s="51" t="s">
        <v>27</v>
      </c>
    </row>
    <row r="410" ht="22.5" customHeight="1">
      <c r="A410" s="33" t="s">
        <v>469</v>
      </c>
      <c r="B410" s="33" t="s">
        <v>661</v>
      </c>
      <c r="C410" s="57"/>
      <c r="D410" s="33" t="s">
        <v>15</v>
      </c>
      <c r="E410" s="34" t="s">
        <v>60</v>
      </c>
      <c r="F410" s="34" t="s">
        <v>36</v>
      </c>
      <c r="G410" s="56">
        <v>46043.0</v>
      </c>
      <c r="H410" s="36">
        <v>100.0</v>
      </c>
      <c r="I410" s="52" t="s">
        <v>65</v>
      </c>
      <c r="J410" s="34" t="s">
        <v>535</v>
      </c>
      <c r="K410" s="33" t="s">
        <v>20</v>
      </c>
      <c r="L410" s="36">
        <v>330.0</v>
      </c>
      <c r="M410" s="51" t="s">
        <v>27</v>
      </c>
    </row>
    <row r="411" ht="22.5" customHeight="1">
      <c r="A411" s="33" t="s">
        <v>662</v>
      </c>
      <c r="B411" s="33" t="s">
        <v>530</v>
      </c>
      <c r="C411" s="57"/>
      <c r="D411" s="33" t="s">
        <v>15</v>
      </c>
      <c r="E411" s="34" t="s">
        <v>55</v>
      </c>
      <c r="F411" s="34" t="s">
        <v>40</v>
      </c>
      <c r="G411" s="56">
        <v>46043.0</v>
      </c>
      <c r="H411" s="36">
        <v>140.0</v>
      </c>
      <c r="I411" s="52" t="s">
        <v>61</v>
      </c>
      <c r="J411" s="34" t="s">
        <v>535</v>
      </c>
      <c r="K411" s="33" t="s">
        <v>20</v>
      </c>
      <c r="L411" s="36">
        <v>0.0</v>
      </c>
      <c r="M411" s="51" t="s">
        <v>27</v>
      </c>
    </row>
    <row r="412" ht="22.5" customHeight="1">
      <c r="A412" s="33" t="s">
        <v>579</v>
      </c>
      <c r="B412" s="33" t="s">
        <v>663</v>
      </c>
      <c r="C412" s="57"/>
      <c r="D412" s="33" t="s">
        <v>15</v>
      </c>
      <c r="E412" s="34" t="s">
        <v>55</v>
      </c>
      <c r="F412" s="34" t="s">
        <v>40</v>
      </c>
      <c r="G412" s="56">
        <v>46044.0</v>
      </c>
      <c r="H412" s="36">
        <v>0.0</v>
      </c>
      <c r="I412" s="52" t="s">
        <v>65</v>
      </c>
      <c r="J412" s="34" t="s">
        <v>535</v>
      </c>
      <c r="K412" s="33" t="s">
        <v>20</v>
      </c>
      <c r="L412" s="36">
        <v>399.0</v>
      </c>
      <c r="M412" s="51" t="s">
        <v>127</v>
      </c>
    </row>
    <row r="413" ht="22.5" customHeight="1">
      <c r="A413" s="33" t="s">
        <v>664</v>
      </c>
      <c r="B413" s="33" t="s">
        <v>665</v>
      </c>
      <c r="C413" s="57"/>
      <c r="D413" s="33" t="s">
        <v>15</v>
      </c>
      <c r="E413" s="34" t="s">
        <v>332</v>
      </c>
      <c r="F413" s="34" t="s">
        <v>40</v>
      </c>
      <c r="G413" s="56">
        <v>46044.0</v>
      </c>
      <c r="H413" s="36">
        <v>50.0</v>
      </c>
      <c r="I413" s="52" t="s">
        <v>18</v>
      </c>
      <c r="J413" s="34" t="s">
        <v>535</v>
      </c>
      <c r="K413" s="33" t="s">
        <v>20</v>
      </c>
      <c r="L413" s="36">
        <v>35.0</v>
      </c>
      <c r="M413" s="51" t="s">
        <v>27</v>
      </c>
    </row>
    <row r="414" ht="22.5" customHeight="1">
      <c r="A414" s="33" t="s">
        <v>666</v>
      </c>
      <c r="B414" s="33" t="s">
        <v>305</v>
      </c>
      <c r="C414" s="57"/>
      <c r="D414" s="33" t="s">
        <v>30</v>
      </c>
      <c r="E414" s="34" t="s">
        <v>31</v>
      </c>
      <c r="F414" s="34" t="s">
        <v>17</v>
      </c>
      <c r="G414" s="56">
        <v>46044.0</v>
      </c>
      <c r="H414" s="36">
        <v>50.0</v>
      </c>
      <c r="I414" s="52" t="s">
        <v>47</v>
      </c>
      <c r="J414" s="34" t="s">
        <v>535</v>
      </c>
      <c r="K414" s="33" t="s">
        <v>20</v>
      </c>
      <c r="L414" s="36">
        <v>170.0</v>
      </c>
      <c r="M414" s="51" t="s">
        <v>27</v>
      </c>
    </row>
    <row r="415" ht="22.5" customHeight="1">
      <c r="A415" s="33" t="s">
        <v>69</v>
      </c>
      <c r="B415" s="33" t="s">
        <v>655</v>
      </c>
      <c r="C415" s="57"/>
      <c r="D415" s="33" t="s">
        <v>15</v>
      </c>
      <c r="E415" s="34" t="s">
        <v>31</v>
      </c>
      <c r="F415" s="34" t="s">
        <v>17</v>
      </c>
      <c r="G415" s="56">
        <v>46044.0</v>
      </c>
      <c r="H415" s="36">
        <v>0.0</v>
      </c>
      <c r="I415" s="52" t="s">
        <v>18</v>
      </c>
      <c r="J415" s="34" t="s">
        <v>535</v>
      </c>
      <c r="K415" s="33" t="s">
        <v>20</v>
      </c>
      <c r="L415" s="36">
        <v>60.0</v>
      </c>
      <c r="M415" s="51" t="s">
        <v>21</v>
      </c>
    </row>
    <row r="416" ht="22.5" customHeight="1">
      <c r="A416" s="33" t="s">
        <v>667</v>
      </c>
      <c r="B416" s="33" t="s">
        <v>158</v>
      </c>
      <c r="C416" s="57"/>
      <c r="D416" s="33" t="s">
        <v>15</v>
      </c>
      <c r="E416" s="34" t="s">
        <v>480</v>
      </c>
      <c r="F416" s="34" t="s">
        <v>40</v>
      </c>
      <c r="G416" s="56">
        <v>46044.0</v>
      </c>
      <c r="H416" s="36">
        <v>50.0</v>
      </c>
      <c r="I416" s="52" t="s">
        <v>18</v>
      </c>
      <c r="J416" s="34" t="s">
        <v>535</v>
      </c>
      <c r="K416" s="33" t="s">
        <v>20</v>
      </c>
      <c r="L416" s="36">
        <v>128.0</v>
      </c>
      <c r="M416" s="51" t="s">
        <v>27</v>
      </c>
    </row>
    <row r="417" ht="22.5" customHeight="1">
      <c r="A417" s="33" t="s">
        <v>656</v>
      </c>
      <c r="B417" s="33" t="s">
        <v>508</v>
      </c>
      <c r="C417" s="57"/>
      <c r="D417" s="33" t="s">
        <v>15</v>
      </c>
      <c r="E417" s="34" t="s">
        <v>332</v>
      </c>
      <c r="F417" s="34" t="s">
        <v>40</v>
      </c>
      <c r="G417" s="56">
        <v>46045.0</v>
      </c>
      <c r="H417" s="36">
        <v>0.0</v>
      </c>
      <c r="I417" s="52" t="s">
        <v>65</v>
      </c>
      <c r="J417" s="34" t="s">
        <v>535</v>
      </c>
      <c r="K417" s="33" t="s">
        <v>20</v>
      </c>
      <c r="L417" s="36">
        <v>85.0</v>
      </c>
      <c r="M417" s="51" t="s">
        <v>27</v>
      </c>
    </row>
    <row r="418" ht="22.5" customHeight="1">
      <c r="A418" s="33" t="s">
        <v>572</v>
      </c>
      <c r="B418" s="33" t="s">
        <v>573</v>
      </c>
      <c r="C418" s="57"/>
      <c r="D418" s="33" t="s">
        <v>15</v>
      </c>
      <c r="E418" s="34" t="s">
        <v>60</v>
      </c>
      <c r="F418" s="34" t="s">
        <v>36</v>
      </c>
      <c r="G418" s="56">
        <v>46045.0</v>
      </c>
      <c r="H418" s="36">
        <v>0.0</v>
      </c>
      <c r="I418" s="52" t="s">
        <v>65</v>
      </c>
      <c r="J418" s="34" t="s">
        <v>535</v>
      </c>
      <c r="K418" s="33" t="s">
        <v>20</v>
      </c>
      <c r="L418" s="36">
        <v>70.0</v>
      </c>
      <c r="M418" s="51" t="s">
        <v>27</v>
      </c>
    </row>
    <row r="419" ht="22.5" customHeight="1">
      <c r="A419" s="33" t="s">
        <v>326</v>
      </c>
      <c r="B419" s="33" t="s">
        <v>368</v>
      </c>
      <c r="C419" s="57"/>
      <c r="D419" s="33" t="s">
        <v>15</v>
      </c>
      <c r="E419" s="34" t="s">
        <v>60</v>
      </c>
      <c r="F419" s="34" t="s">
        <v>36</v>
      </c>
      <c r="G419" s="56">
        <v>46045.0</v>
      </c>
      <c r="H419" s="36">
        <v>0.0</v>
      </c>
      <c r="I419" s="52" t="s">
        <v>65</v>
      </c>
      <c r="J419" s="34" t="s">
        <v>535</v>
      </c>
      <c r="K419" s="33" t="s">
        <v>20</v>
      </c>
      <c r="L419" s="36">
        <v>155.0</v>
      </c>
      <c r="M419" s="51" t="s">
        <v>21</v>
      </c>
    </row>
    <row r="420" ht="22.5" customHeight="1">
      <c r="A420" s="33" t="s">
        <v>532</v>
      </c>
      <c r="B420" s="33" t="s">
        <v>197</v>
      </c>
      <c r="C420" s="57"/>
      <c r="D420" s="33" t="s">
        <v>15</v>
      </c>
      <c r="E420" s="34" t="s">
        <v>31</v>
      </c>
      <c r="F420" s="34" t="s">
        <v>17</v>
      </c>
      <c r="G420" s="56">
        <v>46046.0</v>
      </c>
      <c r="H420" s="36">
        <v>100.0</v>
      </c>
      <c r="I420" s="52" t="s">
        <v>65</v>
      </c>
      <c r="J420" s="34" t="s">
        <v>535</v>
      </c>
      <c r="K420" s="33" t="s">
        <v>20</v>
      </c>
      <c r="L420" s="36">
        <v>280.0</v>
      </c>
      <c r="M420" s="51" t="s">
        <v>21</v>
      </c>
    </row>
    <row r="421" ht="22.5" customHeight="1">
      <c r="A421" s="33" t="s">
        <v>668</v>
      </c>
      <c r="B421" s="33" t="s">
        <v>669</v>
      </c>
      <c r="C421" s="57"/>
      <c r="D421" s="33" t="s">
        <v>30</v>
      </c>
      <c r="E421" s="34" t="s">
        <v>39</v>
      </c>
      <c r="F421" s="34" t="s">
        <v>40</v>
      </c>
      <c r="G421" s="56">
        <v>46046.0</v>
      </c>
      <c r="H421" s="36">
        <v>0.0</v>
      </c>
      <c r="I421" s="52" t="s">
        <v>47</v>
      </c>
      <c r="J421" s="34" t="s">
        <v>535</v>
      </c>
      <c r="K421" s="33" t="s">
        <v>20</v>
      </c>
      <c r="L421" s="36">
        <v>579.0</v>
      </c>
      <c r="M421" s="51" t="s">
        <v>27</v>
      </c>
    </row>
    <row r="422" ht="22.5" customHeight="1">
      <c r="A422" s="33" t="s">
        <v>670</v>
      </c>
      <c r="B422" s="33" t="s">
        <v>671</v>
      </c>
      <c r="C422" s="57"/>
      <c r="D422" s="33" t="s">
        <v>30</v>
      </c>
      <c r="E422" s="34" t="s">
        <v>16</v>
      </c>
      <c r="F422" s="34" t="s">
        <v>17</v>
      </c>
      <c r="G422" s="56">
        <v>46046.0</v>
      </c>
      <c r="H422" s="36">
        <v>50.0</v>
      </c>
      <c r="I422" s="52" t="s">
        <v>61</v>
      </c>
      <c r="J422" s="34" t="s">
        <v>535</v>
      </c>
      <c r="K422" s="33" t="s">
        <v>20</v>
      </c>
      <c r="L422" s="36">
        <v>159.0</v>
      </c>
      <c r="M422" s="51" t="s">
        <v>27</v>
      </c>
    </row>
    <row r="423" ht="22.5" customHeight="1">
      <c r="A423" s="33" t="s">
        <v>672</v>
      </c>
      <c r="B423" s="33" t="s">
        <v>673</v>
      </c>
      <c r="C423" s="57"/>
      <c r="D423" s="33" t="s">
        <v>15</v>
      </c>
      <c r="E423" s="34" t="s">
        <v>60</v>
      </c>
      <c r="F423" s="34" t="s">
        <v>36</v>
      </c>
      <c r="G423" s="56">
        <v>46046.0</v>
      </c>
      <c r="H423" s="36">
        <v>0.0</v>
      </c>
      <c r="I423" s="52" t="s">
        <v>18</v>
      </c>
      <c r="J423" s="34" t="s">
        <v>535</v>
      </c>
      <c r="K423" s="33" t="s">
        <v>20</v>
      </c>
      <c r="L423" s="36">
        <v>155.0</v>
      </c>
      <c r="M423" s="51" t="s">
        <v>21</v>
      </c>
    </row>
    <row r="424" ht="22.5" customHeight="1">
      <c r="A424" s="33" t="s">
        <v>674</v>
      </c>
      <c r="B424" s="33" t="s">
        <v>675</v>
      </c>
      <c r="C424" s="57"/>
      <c r="D424" s="33" t="s">
        <v>15</v>
      </c>
      <c r="E424" s="34" t="s">
        <v>366</v>
      </c>
      <c r="F424" s="34" t="s">
        <v>36</v>
      </c>
      <c r="G424" s="56">
        <v>46046.0</v>
      </c>
      <c r="H424" s="36">
        <v>100.0</v>
      </c>
      <c r="I424" s="52" t="s">
        <v>18</v>
      </c>
      <c r="J424" s="34" t="s">
        <v>535</v>
      </c>
      <c r="K424" s="33" t="s">
        <v>20</v>
      </c>
      <c r="L424" s="36">
        <v>920.0</v>
      </c>
      <c r="M424" s="51" t="s">
        <v>127</v>
      </c>
    </row>
    <row r="425" ht="22.5" customHeight="1">
      <c r="A425" s="33" t="s">
        <v>676</v>
      </c>
      <c r="B425" s="33" t="s">
        <v>349</v>
      </c>
      <c r="C425" s="57"/>
      <c r="D425" s="33" t="s">
        <v>15</v>
      </c>
      <c r="E425" s="34" t="s">
        <v>430</v>
      </c>
      <c r="F425" s="34" t="s">
        <v>40</v>
      </c>
      <c r="G425" s="56">
        <v>46046.0</v>
      </c>
      <c r="H425" s="36">
        <v>50.0</v>
      </c>
      <c r="I425" s="52" t="s">
        <v>61</v>
      </c>
      <c r="J425" s="34" t="s">
        <v>535</v>
      </c>
      <c r="K425" s="33" t="s">
        <v>20</v>
      </c>
      <c r="L425" s="36">
        <v>170.0</v>
      </c>
      <c r="M425" s="51" t="s">
        <v>608</v>
      </c>
    </row>
    <row r="426" ht="22.5" customHeight="1">
      <c r="A426" s="33" t="s">
        <v>677</v>
      </c>
      <c r="B426" s="33" t="s">
        <v>678</v>
      </c>
      <c r="C426" s="57"/>
      <c r="D426" s="33" t="s">
        <v>15</v>
      </c>
      <c r="E426" s="34" t="s">
        <v>60</v>
      </c>
      <c r="F426" s="34" t="s">
        <v>36</v>
      </c>
      <c r="G426" s="56">
        <v>46048.0</v>
      </c>
      <c r="H426" s="36">
        <v>50.0</v>
      </c>
      <c r="I426" s="52" t="s">
        <v>61</v>
      </c>
      <c r="J426" s="34" t="s">
        <v>535</v>
      </c>
      <c r="K426" s="33" t="s">
        <v>20</v>
      </c>
      <c r="L426" s="36">
        <v>150.0</v>
      </c>
      <c r="M426" s="51" t="s">
        <v>27</v>
      </c>
    </row>
    <row r="427" ht="22.5" customHeight="1">
      <c r="A427" s="33" t="s">
        <v>679</v>
      </c>
      <c r="B427" s="33" t="s">
        <v>680</v>
      </c>
      <c r="C427" s="57"/>
      <c r="D427" s="33" t="s">
        <v>15</v>
      </c>
      <c r="E427" s="34" t="s">
        <v>55</v>
      </c>
      <c r="F427" s="34" t="s">
        <v>40</v>
      </c>
      <c r="G427" s="56">
        <v>46048.0</v>
      </c>
      <c r="H427" s="36">
        <v>50.0</v>
      </c>
      <c r="I427" s="52" t="s">
        <v>18</v>
      </c>
      <c r="J427" s="34" t="s">
        <v>535</v>
      </c>
      <c r="K427" s="33" t="s">
        <v>20</v>
      </c>
      <c r="L427" s="36">
        <v>10.0</v>
      </c>
      <c r="M427" s="51" t="s">
        <v>27</v>
      </c>
    </row>
    <row r="428" ht="22.5" customHeight="1">
      <c r="A428" s="33" t="s">
        <v>314</v>
      </c>
      <c r="B428" s="33" t="s">
        <v>681</v>
      </c>
      <c r="C428" s="57"/>
      <c r="D428" s="33" t="s">
        <v>15</v>
      </c>
      <c r="E428" s="34" t="s">
        <v>390</v>
      </c>
      <c r="F428" s="34" t="s">
        <v>40</v>
      </c>
      <c r="G428" s="56">
        <v>46048.0</v>
      </c>
      <c r="H428" s="36">
        <v>50.0</v>
      </c>
      <c r="I428" s="52" t="s">
        <v>47</v>
      </c>
      <c r="J428" s="34" t="s">
        <v>535</v>
      </c>
      <c r="K428" s="33" t="s">
        <v>20</v>
      </c>
      <c r="L428" s="36">
        <v>650.0</v>
      </c>
      <c r="M428" s="51" t="s">
        <v>82</v>
      </c>
    </row>
    <row r="429" ht="22.5" customHeight="1">
      <c r="A429" s="33" t="s">
        <v>682</v>
      </c>
      <c r="B429" s="33" t="s">
        <v>349</v>
      </c>
      <c r="C429" s="57"/>
      <c r="D429" s="33" t="s">
        <v>30</v>
      </c>
      <c r="E429" s="34" t="s">
        <v>60</v>
      </c>
      <c r="F429" s="34" t="s">
        <v>36</v>
      </c>
      <c r="G429" s="56">
        <v>46048.0</v>
      </c>
      <c r="H429" s="36">
        <v>50.0</v>
      </c>
      <c r="I429" s="52" t="s">
        <v>61</v>
      </c>
      <c r="J429" s="34" t="s">
        <v>535</v>
      </c>
      <c r="K429" s="33" t="s">
        <v>20</v>
      </c>
      <c r="L429" s="36">
        <v>150.0</v>
      </c>
      <c r="M429" s="51" t="s">
        <v>27</v>
      </c>
    </row>
    <row r="430" ht="22.5" customHeight="1">
      <c r="A430" s="33" t="s">
        <v>216</v>
      </c>
      <c r="B430" s="33" t="s">
        <v>357</v>
      </c>
      <c r="C430" s="57"/>
      <c r="D430" s="33" t="s">
        <v>30</v>
      </c>
      <c r="E430" s="34" t="s">
        <v>16</v>
      </c>
      <c r="F430" s="34" t="s">
        <v>17</v>
      </c>
      <c r="G430" s="56">
        <v>46049.0</v>
      </c>
      <c r="H430" s="36">
        <v>50.0</v>
      </c>
      <c r="I430" s="52" t="s">
        <v>18</v>
      </c>
      <c r="J430" s="34" t="s">
        <v>535</v>
      </c>
      <c r="K430" s="33" t="s">
        <v>20</v>
      </c>
      <c r="L430" s="36">
        <v>159.0</v>
      </c>
      <c r="M430" s="51" t="s">
        <v>27</v>
      </c>
    </row>
    <row r="431" ht="22.5" customHeight="1">
      <c r="A431" s="33" t="s">
        <v>656</v>
      </c>
      <c r="B431" s="33" t="s">
        <v>508</v>
      </c>
      <c r="C431" s="57"/>
      <c r="D431" s="33" t="s">
        <v>15</v>
      </c>
      <c r="E431" s="34" t="s">
        <v>332</v>
      </c>
      <c r="F431" s="34" t="s">
        <v>40</v>
      </c>
      <c r="G431" s="56">
        <v>46049.0</v>
      </c>
      <c r="H431" s="36">
        <v>0.0</v>
      </c>
      <c r="I431" s="52" t="s">
        <v>65</v>
      </c>
      <c r="J431" s="34" t="s">
        <v>535</v>
      </c>
      <c r="K431" s="33" t="s">
        <v>20</v>
      </c>
      <c r="L431" s="36">
        <v>85.0</v>
      </c>
      <c r="M431" s="51" t="s">
        <v>27</v>
      </c>
    </row>
    <row r="432" ht="22.5" customHeight="1">
      <c r="A432" s="33" t="s">
        <v>683</v>
      </c>
      <c r="B432" s="33" t="s">
        <v>681</v>
      </c>
      <c r="C432" s="57"/>
      <c r="D432" s="33" t="s">
        <v>15</v>
      </c>
      <c r="E432" s="34" t="s">
        <v>60</v>
      </c>
      <c r="F432" s="34" t="s">
        <v>36</v>
      </c>
      <c r="G432" s="56">
        <v>46049.0</v>
      </c>
      <c r="H432" s="36">
        <v>50.0</v>
      </c>
      <c r="I432" s="52" t="s">
        <v>75</v>
      </c>
      <c r="J432" s="34" t="s">
        <v>535</v>
      </c>
      <c r="K432" s="33" t="s">
        <v>20</v>
      </c>
      <c r="L432" s="36">
        <v>170.0</v>
      </c>
      <c r="M432" s="51" t="s">
        <v>27</v>
      </c>
    </row>
    <row r="433" ht="22.5" customHeight="1">
      <c r="A433" s="33" t="s">
        <v>684</v>
      </c>
      <c r="B433" s="33" t="s">
        <v>685</v>
      </c>
      <c r="C433" s="57"/>
      <c r="D433" s="33" t="s">
        <v>15</v>
      </c>
      <c r="E433" s="34" t="s">
        <v>55</v>
      </c>
      <c r="F433" s="34" t="s">
        <v>36</v>
      </c>
      <c r="G433" s="56">
        <v>46049.0</v>
      </c>
      <c r="H433" s="36">
        <v>50.0</v>
      </c>
      <c r="I433" s="52" t="s">
        <v>18</v>
      </c>
      <c r="J433" s="34" t="s">
        <v>535</v>
      </c>
      <c r="K433" s="33" t="s">
        <v>20</v>
      </c>
      <c r="L433" s="36">
        <v>0.0</v>
      </c>
      <c r="M433" s="51" t="s">
        <v>27</v>
      </c>
    </row>
    <row r="434" ht="22.5" customHeight="1">
      <c r="A434" s="33" t="s">
        <v>166</v>
      </c>
      <c r="B434" s="33" t="s">
        <v>554</v>
      </c>
      <c r="C434" s="57"/>
      <c r="D434" s="33" t="s">
        <v>15</v>
      </c>
      <c r="E434" s="34" t="s">
        <v>55</v>
      </c>
      <c r="F434" s="34" t="s">
        <v>40</v>
      </c>
      <c r="G434" s="56">
        <v>46049.0</v>
      </c>
      <c r="H434" s="36">
        <v>0.0</v>
      </c>
      <c r="I434" s="52" t="s">
        <v>65</v>
      </c>
      <c r="J434" s="34" t="s">
        <v>535</v>
      </c>
      <c r="K434" s="33" t="s">
        <v>20</v>
      </c>
      <c r="L434" s="36">
        <v>140.0</v>
      </c>
      <c r="M434" s="51" t="s">
        <v>91</v>
      </c>
    </row>
    <row r="435" ht="22.5" customHeight="1">
      <c r="A435" s="33" t="s">
        <v>574</v>
      </c>
      <c r="B435" s="33" t="s">
        <v>686</v>
      </c>
      <c r="C435" s="57"/>
      <c r="D435" s="33" t="s">
        <v>15</v>
      </c>
      <c r="E435" s="34" t="s">
        <v>55</v>
      </c>
      <c r="F435" s="34" t="s">
        <v>40</v>
      </c>
      <c r="G435" s="56">
        <v>46050.0</v>
      </c>
      <c r="H435" s="36">
        <v>50.0</v>
      </c>
      <c r="I435" s="52" t="s">
        <v>18</v>
      </c>
      <c r="J435" s="34" t="s">
        <v>535</v>
      </c>
      <c r="K435" s="33" t="s">
        <v>20</v>
      </c>
      <c r="L435" s="36">
        <v>90.0</v>
      </c>
      <c r="M435" s="51" t="s">
        <v>27</v>
      </c>
    </row>
    <row r="436" ht="22.5" customHeight="1">
      <c r="A436" s="33" t="s">
        <v>687</v>
      </c>
      <c r="B436" s="33" t="s">
        <v>688</v>
      </c>
      <c r="C436" s="57"/>
      <c r="D436" s="33" t="s">
        <v>30</v>
      </c>
      <c r="E436" s="34" t="s">
        <v>64</v>
      </c>
      <c r="F436" s="34" t="s">
        <v>40</v>
      </c>
      <c r="G436" s="56">
        <v>46050.0</v>
      </c>
      <c r="H436" s="36">
        <v>50.0</v>
      </c>
      <c r="I436" s="52" t="s">
        <v>689</v>
      </c>
      <c r="J436" s="34" t="s">
        <v>535</v>
      </c>
      <c r="K436" s="33" t="s">
        <v>20</v>
      </c>
      <c r="L436" s="36">
        <v>20.0</v>
      </c>
      <c r="M436" s="51" t="s">
        <v>27</v>
      </c>
    </row>
    <row r="437" ht="22.5" customHeight="1">
      <c r="A437" s="33" t="s">
        <v>687</v>
      </c>
      <c r="B437" s="33" t="s">
        <v>688</v>
      </c>
      <c r="C437" s="57"/>
      <c r="D437" s="33" t="s">
        <v>30</v>
      </c>
      <c r="E437" s="34" t="s">
        <v>332</v>
      </c>
      <c r="F437" s="34" t="s">
        <v>40</v>
      </c>
      <c r="G437" s="56">
        <v>46050.0</v>
      </c>
      <c r="H437" s="36">
        <v>85.0</v>
      </c>
      <c r="I437" s="52" t="s">
        <v>689</v>
      </c>
      <c r="J437" s="34" t="s">
        <v>535</v>
      </c>
      <c r="K437" s="33" t="s">
        <v>20</v>
      </c>
      <c r="L437" s="36">
        <v>0.0</v>
      </c>
      <c r="M437" s="51" t="s">
        <v>27</v>
      </c>
    </row>
    <row r="438" ht="22.5" customHeight="1">
      <c r="A438" s="33" t="s">
        <v>690</v>
      </c>
      <c r="B438" s="33" t="s">
        <v>84</v>
      </c>
      <c r="C438" s="57"/>
      <c r="D438" s="33" t="s">
        <v>15</v>
      </c>
      <c r="E438" s="34" t="s">
        <v>55</v>
      </c>
      <c r="F438" s="34" t="s">
        <v>40</v>
      </c>
      <c r="G438" s="56">
        <v>46050.0</v>
      </c>
      <c r="H438" s="36">
        <v>50.0</v>
      </c>
      <c r="I438" s="52" t="s">
        <v>18</v>
      </c>
      <c r="J438" s="34" t="s">
        <v>535</v>
      </c>
      <c r="K438" s="33" t="s">
        <v>20</v>
      </c>
      <c r="L438" s="36">
        <v>5.0</v>
      </c>
      <c r="M438" s="51" t="s">
        <v>27</v>
      </c>
    </row>
    <row r="439" ht="22.5" customHeight="1">
      <c r="A439" s="33" t="s">
        <v>287</v>
      </c>
      <c r="B439" s="33" t="s">
        <v>207</v>
      </c>
      <c r="C439" s="57"/>
      <c r="D439" s="33" t="s">
        <v>15</v>
      </c>
      <c r="E439" s="34" t="s">
        <v>639</v>
      </c>
      <c r="F439" s="34" t="s">
        <v>17</v>
      </c>
      <c r="G439" s="56">
        <v>46051.0</v>
      </c>
      <c r="H439" s="36">
        <v>0.0</v>
      </c>
      <c r="I439" s="52" t="s">
        <v>18</v>
      </c>
      <c r="J439" s="34" t="s">
        <v>535</v>
      </c>
      <c r="K439" s="33" t="s">
        <v>20</v>
      </c>
      <c r="L439" s="36">
        <v>100.0</v>
      </c>
      <c r="M439" s="51" t="s">
        <v>21</v>
      </c>
    </row>
    <row r="440" ht="22.5" customHeight="1">
      <c r="A440" s="33" t="s">
        <v>691</v>
      </c>
      <c r="B440" s="33" t="s">
        <v>120</v>
      </c>
      <c r="C440" s="57"/>
      <c r="D440" s="33" t="s">
        <v>15</v>
      </c>
      <c r="E440" s="34" t="s">
        <v>60</v>
      </c>
      <c r="F440" s="34" t="s">
        <v>36</v>
      </c>
      <c r="G440" s="56">
        <v>46051.0</v>
      </c>
      <c r="H440" s="36">
        <v>50.0</v>
      </c>
      <c r="I440" s="52" t="s">
        <v>18</v>
      </c>
      <c r="J440" s="34" t="s">
        <v>535</v>
      </c>
      <c r="K440" s="33" t="s">
        <v>20</v>
      </c>
      <c r="L440" s="36">
        <v>105.0</v>
      </c>
      <c r="M440" s="51" t="s">
        <v>27</v>
      </c>
    </row>
    <row r="441" ht="22.5" customHeight="1">
      <c r="A441" s="33" t="s">
        <v>216</v>
      </c>
      <c r="B441" s="33" t="s">
        <v>678</v>
      </c>
      <c r="C441" s="57"/>
      <c r="D441" s="33" t="s">
        <v>15</v>
      </c>
      <c r="E441" s="34" t="s">
        <v>262</v>
      </c>
      <c r="F441" s="34" t="s">
        <v>40</v>
      </c>
      <c r="G441" s="56">
        <v>46051.0</v>
      </c>
      <c r="H441" s="36">
        <v>50.0</v>
      </c>
      <c r="I441" s="52" t="s">
        <v>18</v>
      </c>
      <c r="J441" s="34" t="s">
        <v>535</v>
      </c>
      <c r="K441" s="33" t="s">
        <v>20</v>
      </c>
      <c r="L441" s="36">
        <v>450.0</v>
      </c>
      <c r="M441" s="51" t="s">
        <v>199</v>
      </c>
    </row>
    <row r="442" ht="22.5" customHeight="1">
      <c r="A442" s="33" t="s">
        <v>692</v>
      </c>
      <c r="B442" s="33" t="s">
        <v>566</v>
      </c>
      <c r="C442" s="57"/>
      <c r="D442" s="33" t="s">
        <v>15</v>
      </c>
      <c r="E442" s="34" t="s">
        <v>55</v>
      </c>
      <c r="F442" s="34" t="s">
        <v>40</v>
      </c>
      <c r="G442" s="56">
        <v>46051.0</v>
      </c>
      <c r="H442" s="36">
        <v>0.0</v>
      </c>
      <c r="I442" s="52" t="s">
        <v>18</v>
      </c>
      <c r="J442" s="34" t="s">
        <v>535</v>
      </c>
      <c r="K442" s="33" t="s">
        <v>20</v>
      </c>
      <c r="L442" s="36">
        <v>85.0</v>
      </c>
      <c r="M442" s="51" t="s">
        <v>21</v>
      </c>
    </row>
    <row r="443" ht="22.5" customHeight="1">
      <c r="A443" s="33" t="s">
        <v>693</v>
      </c>
      <c r="B443" s="33" t="s">
        <v>694</v>
      </c>
      <c r="C443" s="57"/>
      <c r="D443" s="33" t="s">
        <v>15</v>
      </c>
      <c r="E443" s="34" t="s">
        <v>55</v>
      </c>
      <c r="F443" s="34" t="s">
        <v>40</v>
      </c>
      <c r="G443" s="56">
        <v>46051.0</v>
      </c>
      <c r="H443" s="36">
        <v>0.0</v>
      </c>
      <c r="I443" s="52" t="s">
        <v>18</v>
      </c>
      <c r="J443" s="34" t="s">
        <v>535</v>
      </c>
      <c r="K443" s="33" t="s">
        <v>20</v>
      </c>
      <c r="L443" s="36">
        <v>215.0</v>
      </c>
      <c r="M443" s="51" t="s">
        <v>27</v>
      </c>
    </row>
    <row r="444" ht="22.5" customHeight="1">
      <c r="A444" s="33" t="s">
        <v>695</v>
      </c>
      <c r="B444" s="33" t="s">
        <v>38</v>
      </c>
      <c r="C444" s="57"/>
      <c r="D444" s="33" t="s">
        <v>15</v>
      </c>
      <c r="E444" s="34" t="s">
        <v>383</v>
      </c>
      <c r="F444" s="34" t="s">
        <v>36</v>
      </c>
      <c r="G444" s="56">
        <v>46051.0</v>
      </c>
      <c r="H444" s="36">
        <v>50.0</v>
      </c>
      <c r="I444" s="52" t="s">
        <v>47</v>
      </c>
      <c r="J444" s="34" t="s">
        <v>535</v>
      </c>
      <c r="K444" s="33" t="s">
        <v>20</v>
      </c>
      <c r="L444" s="36">
        <v>150.0</v>
      </c>
      <c r="M444" s="51" t="s">
        <v>27</v>
      </c>
    </row>
    <row r="445" ht="22.5" customHeight="1">
      <c r="A445" s="33" t="s">
        <v>604</v>
      </c>
      <c r="B445" s="33" t="s">
        <v>696</v>
      </c>
      <c r="C445" s="57"/>
      <c r="D445" s="33" t="s">
        <v>15</v>
      </c>
      <c r="E445" s="34" t="s">
        <v>60</v>
      </c>
      <c r="F445" s="34" t="s">
        <v>36</v>
      </c>
      <c r="G445" s="56">
        <v>46052.0</v>
      </c>
      <c r="H445" s="36">
        <v>0.0</v>
      </c>
      <c r="I445" s="52" t="s">
        <v>18</v>
      </c>
      <c r="J445" s="34" t="s">
        <v>535</v>
      </c>
      <c r="K445" s="33" t="s">
        <v>20</v>
      </c>
      <c r="L445" s="36">
        <v>155.0</v>
      </c>
      <c r="M445" s="51" t="s">
        <v>199</v>
      </c>
    </row>
    <row r="446" ht="22.5" customHeight="1">
      <c r="A446" s="33" t="s">
        <v>626</v>
      </c>
      <c r="B446" s="33" t="s">
        <v>508</v>
      </c>
      <c r="C446" s="57"/>
      <c r="D446" s="33" t="s">
        <v>15</v>
      </c>
      <c r="E446" s="34" t="s">
        <v>332</v>
      </c>
      <c r="F446" s="34" t="s">
        <v>40</v>
      </c>
      <c r="G446" s="56">
        <v>46052.0</v>
      </c>
      <c r="H446" s="36">
        <v>0.0</v>
      </c>
      <c r="I446" s="52" t="s">
        <v>65</v>
      </c>
      <c r="J446" s="34" t="s">
        <v>535</v>
      </c>
      <c r="K446" s="33" t="s">
        <v>20</v>
      </c>
      <c r="L446" s="36">
        <v>85.0</v>
      </c>
      <c r="M446" s="51" t="s">
        <v>27</v>
      </c>
    </row>
    <row r="447" ht="22.5" customHeight="1">
      <c r="A447" s="33" t="s">
        <v>697</v>
      </c>
      <c r="B447" s="33" t="s">
        <v>169</v>
      </c>
      <c r="C447" s="57"/>
      <c r="D447" s="33" t="s">
        <v>15</v>
      </c>
      <c r="E447" s="34" t="s">
        <v>31</v>
      </c>
      <c r="F447" s="34" t="s">
        <v>17</v>
      </c>
      <c r="G447" s="56">
        <v>46053.0</v>
      </c>
      <c r="H447" s="36">
        <v>50.0</v>
      </c>
      <c r="I447" s="52" t="s">
        <v>18</v>
      </c>
      <c r="J447" s="34" t="s">
        <v>535</v>
      </c>
      <c r="K447" s="33" t="s">
        <v>20</v>
      </c>
      <c r="L447" s="36">
        <v>330.0</v>
      </c>
      <c r="M447" s="51" t="s">
        <v>27</v>
      </c>
    </row>
    <row r="448" ht="22.5" customHeight="1">
      <c r="A448" s="33" t="s">
        <v>604</v>
      </c>
      <c r="B448" s="33" t="s">
        <v>698</v>
      </c>
      <c r="C448" s="57"/>
      <c r="D448" s="33" t="s">
        <v>15</v>
      </c>
      <c r="E448" s="34" t="s">
        <v>60</v>
      </c>
      <c r="F448" s="34" t="s">
        <v>36</v>
      </c>
      <c r="G448" s="56">
        <v>46053.0</v>
      </c>
      <c r="H448" s="36">
        <v>0.0</v>
      </c>
      <c r="I448" s="52" t="s">
        <v>18</v>
      </c>
      <c r="J448" s="34" t="s">
        <v>535</v>
      </c>
      <c r="K448" s="33" t="s">
        <v>20</v>
      </c>
      <c r="L448" s="36">
        <v>155.0</v>
      </c>
      <c r="M448" s="51" t="s">
        <v>27</v>
      </c>
    </row>
    <row r="449" ht="22.5" customHeight="1">
      <c r="A449" s="33" t="s">
        <v>699</v>
      </c>
      <c r="B449" s="33" t="s">
        <v>456</v>
      </c>
      <c r="C449" s="57"/>
      <c r="D449" s="33" t="s">
        <v>15</v>
      </c>
      <c r="E449" s="34" t="s">
        <v>260</v>
      </c>
      <c r="F449" s="34" t="s">
        <v>36</v>
      </c>
      <c r="G449" s="56">
        <v>46053.0</v>
      </c>
      <c r="H449" s="36">
        <v>50.0</v>
      </c>
      <c r="I449" s="52" t="s">
        <v>183</v>
      </c>
      <c r="J449" s="34" t="s">
        <v>535</v>
      </c>
      <c r="K449" s="33" t="s">
        <v>20</v>
      </c>
      <c r="L449" s="36">
        <v>60.0</v>
      </c>
      <c r="M449" s="51" t="s">
        <v>27</v>
      </c>
    </row>
    <row r="450" ht="22.5" customHeight="1">
      <c r="A450" s="33" t="s">
        <v>69</v>
      </c>
      <c r="B450" s="33" t="s">
        <v>45</v>
      </c>
      <c r="C450" s="57"/>
      <c r="D450" s="33" t="s">
        <v>15</v>
      </c>
      <c r="E450" s="34" t="s">
        <v>16</v>
      </c>
      <c r="F450" s="34" t="s">
        <v>17</v>
      </c>
      <c r="G450" s="56">
        <v>46053.0</v>
      </c>
      <c r="H450" s="36">
        <v>50.0</v>
      </c>
      <c r="I450" s="52" t="s">
        <v>47</v>
      </c>
      <c r="J450" s="34" t="s">
        <v>535</v>
      </c>
      <c r="K450" s="33" t="s">
        <v>20</v>
      </c>
      <c r="L450" s="36">
        <v>119.0</v>
      </c>
      <c r="M450" s="51" t="s">
        <v>199</v>
      </c>
    </row>
    <row r="451" ht="22.5" customHeight="1">
      <c r="A451" s="33" t="s">
        <v>604</v>
      </c>
      <c r="B451" s="33" t="s">
        <v>696</v>
      </c>
      <c r="C451" s="57"/>
      <c r="D451" s="33" t="s">
        <v>15</v>
      </c>
      <c r="E451" s="34" t="s">
        <v>31</v>
      </c>
      <c r="F451" s="34" t="s">
        <v>17</v>
      </c>
      <c r="G451" s="56">
        <v>46053.0</v>
      </c>
      <c r="H451" s="36">
        <v>0.0</v>
      </c>
      <c r="I451" s="52" t="s">
        <v>18</v>
      </c>
      <c r="J451" s="34" t="s">
        <v>535</v>
      </c>
      <c r="K451" s="33" t="s">
        <v>20</v>
      </c>
      <c r="L451" s="36">
        <v>180.0</v>
      </c>
      <c r="M451" s="51" t="s">
        <v>27</v>
      </c>
    </row>
    <row r="452" ht="22.5" customHeight="1">
      <c r="A452" s="33" t="s">
        <v>700</v>
      </c>
      <c r="B452" s="33" t="s">
        <v>95</v>
      </c>
      <c r="C452" s="57"/>
      <c r="D452" s="33" t="s">
        <v>15</v>
      </c>
      <c r="E452" s="34" t="s">
        <v>383</v>
      </c>
      <c r="F452" s="34" t="s">
        <v>36</v>
      </c>
      <c r="G452" s="56">
        <v>46053.0</v>
      </c>
      <c r="H452" s="36">
        <v>50.0</v>
      </c>
      <c r="I452" s="52" t="s">
        <v>18</v>
      </c>
      <c r="J452" s="34" t="s">
        <v>535</v>
      </c>
      <c r="K452" s="33" t="s">
        <v>20</v>
      </c>
      <c r="L452" s="36">
        <v>150.0</v>
      </c>
      <c r="M452" s="51" t="s">
        <v>27</v>
      </c>
    </row>
    <row r="453" ht="22.5" customHeight="1">
      <c r="A453" s="33" t="s">
        <v>701</v>
      </c>
      <c r="B453" s="33" t="s">
        <v>702</v>
      </c>
      <c r="C453" s="57"/>
      <c r="D453" s="33" t="s">
        <v>15</v>
      </c>
      <c r="E453" s="34" t="s">
        <v>35</v>
      </c>
      <c r="F453" s="34" t="s">
        <v>133</v>
      </c>
      <c r="G453" s="56">
        <v>46055.0</v>
      </c>
      <c r="H453" s="36">
        <v>0.0</v>
      </c>
      <c r="I453" s="52" t="s">
        <v>65</v>
      </c>
      <c r="J453" s="34" t="s">
        <v>535</v>
      </c>
      <c r="K453" s="33" t="s">
        <v>20</v>
      </c>
      <c r="L453" s="36">
        <v>1500.0</v>
      </c>
      <c r="M453" s="51" t="s">
        <v>127</v>
      </c>
    </row>
    <row r="454" ht="22.5" customHeight="1">
      <c r="A454" s="33" t="s">
        <v>703</v>
      </c>
      <c r="B454" s="33" t="s">
        <v>704</v>
      </c>
      <c r="C454" s="57"/>
      <c r="D454" s="33" t="s">
        <v>15</v>
      </c>
      <c r="E454" s="34" t="s">
        <v>16</v>
      </c>
      <c r="F454" s="34" t="s">
        <v>17</v>
      </c>
      <c r="G454" s="56">
        <v>46055.0</v>
      </c>
      <c r="H454" s="36">
        <v>50.0</v>
      </c>
      <c r="I454" s="52" t="s">
        <v>18</v>
      </c>
      <c r="J454" s="34" t="s">
        <v>535</v>
      </c>
      <c r="K454" s="33" t="s">
        <v>20</v>
      </c>
      <c r="L454" s="36">
        <v>364.0</v>
      </c>
      <c r="M454" s="51" t="s">
        <v>76</v>
      </c>
    </row>
    <row r="455" ht="22.5" customHeight="1">
      <c r="A455" s="33" t="s">
        <v>705</v>
      </c>
      <c r="B455" s="33" t="s">
        <v>551</v>
      </c>
      <c r="C455" s="57"/>
      <c r="D455" s="33" t="s">
        <v>15</v>
      </c>
      <c r="E455" s="34" t="s">
        <v>106</v>
      </c>
      <c r="F455" s="34" t="s">
        <v>133</v>
      </c>
      <c r="G455" s="56">
        <v>46055.0</v>
      </c>
      <c r="H455" s="36">
        <v>50.0</v>
      </c>
      <c r="I455" s="52" t="s">
        <v>47</v>
      </c>
      <c r="J455" s="34" t="s">
        <v>535</v>
      </c>
      <c r="K455" s="33" t="s">
        <v>20</v>
      </c>
      <c r="L455" s="36">
        <v>500.0</v>
      </c>
      <c r="M455" s="51" t="s">
        <v>199</v>
      </c>
    </row>
    <row r="456" ht="22.5" customHeight="1">
      <c r="A456" s="33" t="s">
        <v>706</v>
      </c>
      <c r="B456" s="33" t="s">
        <v>508</v>
      </c>
      <c r="C456" s="57"/>
      <c r="D456" s="33" t="s">
        <v>15</v>
      </c>
      <c r="E456" s="34" t="s">
        <v>332</v>
      </c>
      <c r="F456" s="34" t="s">
        <v>40</v>
      </c>
      <c r="G456" s="56">
        <v>46055.0</v>
      </c>
      <c r="H456" s="36">
        <v>0.0</v>
      </c>
      <c r="I456" s="52" t="s">
        <v>65</v>
      </c>
      <c r="J456" s="34" t="s">
        <v>535</v>
      </c>
      <c r="K456" s="33" t="s">
        <v>20</v>
      </c>
      <c r="L456" s="36">
        <v>85.0</v>
      </c>
      <c r="M456" s="51" t="s">
        <v>27</v>
      </c>
    </row>
    <row r="457" ht="22.5" customHeight="1">
      <c r="A457" s="33" t="s">
        <v>620</v>
      </c>
      <c r="B457" s="33" t="s">
        <v>341</v>
      </c>
      <c r="C457" s="57"/>
      <c r="D457" s="33" t="s">
        <v>30</v>
      </c>
      <c r="E457" s="34" t="s">
        <v>60</v>
      </c>
      <c r="F457" s="34" t="s">
        <v>36</v>
      </c>
      <c r="G457" s="56">
        <v>46055.0</v>
      </c>
      <c r="H457" s="36">
        <v>50.0</v>
      </c>
      <c r="I457" s="52" t="s">
        <v>61</v>
      </c>
      <c r="J457" s="34" t="s">
        <v>535</v>
      </c>
      <c r="K457" s="33" t="s">
        <v>20</v>
      </c>
      <c r="L457" s="36">
        <v>150.0</v>
      </c>
      <c r="M457" s="51" t="s">
        <v>27</v>
      </c>
    </row>
    <row r="458" ht="22.5" customHeight="1">
      <c r="A458" s="33" t="s">
        <v>670</v>
      </c>
      <c r="B458" s="33" t="s">
        <v>707</v>
      </c>
      <c r="C458" s="57"/>
      <c r="D458" s="33" t="s">
        <v>30</v>
      </c>
      <c r="E458" s="34" t="s">
        <v>16</v>
      </c>
      <c r="F458" s="34" t="s">
        <v>17</v>
      </c>
      <c r="G458" s="56">
        <v>46056.0</v>
      </c>
      <c r="H458" s="36">
        <v>50.0</v>
      </c>
      <c r="I458" s="52" t="s">
        <v>47</v>
      </c>
      <c r="J458" s="34" t="s">
        <v>535</v>
      </c>
      <c r="K458" s="33" t="s">
        <v>20</v>
      </c>
      <c r="L458" s="36">
        <v>119.0</v>
      </c>
      <c r="M458" s="51" t="s">
        <v>608</v>
      </c>
    </row>
    <row r="459" ht="22.5" customHeight="1">
      <c r="A459" s="33" t="s">
        <v>708</v>
      </c>
      <c r="B459" s="33" t="s">
        <v>553</v>
      </c>
      <c r="C459" s="57"/>
      <c r="D459" s="33" t="s">
        <v>15</v>
      </c>
      <c r="E459" s="34" t="s">
        <v>106</v>
      </c>
      <c r="F459" s="34" t="s">
        <v>133</v>
      </c>
      <c r="G459" s="56">
        <v>46056.0</v>
      </c>
      <c r="H459" s="36">
        <v>50.0</v>
      </c>
      <c r="I459" s="52" t="s">
        <v>61</v>
      </c>
      <c r="J459" s="34" t="s">
        <v>535</v>
      </c>
      <c r="K459" s="33" t="s">
        <v>20</v>
      </c>
      <c r="L459" s="36">
        <v>500.0</v>
      </c>
      <c r="M459" s="51" t="s">
        <v>27</v>
      </c>
    </row>
    <row r="460" ht="22.5" customHeight="1">
      <c r="A460" s="33" t="s">
        <v>709</v>
      </c>
      <c r="B460" s="33" t="s">
        <v>710</v>
      </c>
      <c r="C460" s="57"/>
      <c r="D460" s="33" t="s">
        <v>15</v>
      </c>
      <c r="E460" s="34" t="s">
        <v>64</v>
      </c>
      <c r="F460" s="34" t="s">
        <v>40</v>
      </c>
      <c r="G460" s="56">
        <v>46057.0</v>
      </c>
      <c r="H460" s="36">
        <v>50.0</v>
      </c>
      <c r="I460" s="52" t="s">
        <v>18</v>
      </c>
      <c r="J460" s="34" t="s">
        <v>535</v>
      </c>
      <c r="K460" s="33" t="s">
        <v>20</v>
      </c>
      <c r="L460" s="36">
        <v>20.0</v>
      </c>
      <c r="M460" s="51" t="s">
        <v>27</v>
      </c>
    </row>
    <row r="461" ht="22.5" customHeight="1">
      <c r="A461" s="33" t="s">
        <v>83</v>
      </c>
      <c r="B461" s="33" t="s">
        <v>84</v>
      </c>
      <c r="C461" s="57"/>
      <c r="D461" s="33" t="s">
        <v>15</v>
      </c>
      <c r="E461" s="34" t="s">
        <v>430</v>
      </c>
      <c r="F461" s="34" t="s">
        <v>40</v>
      </c>
      <c r="G461" s="56">
        <v>46057.0</v>
      </c>
      <c r="H461" s="36">
        <v>0.0</v>
      </c>
      <c r="I461" s="52" t="s">
        <v>65</v>
      </c>
      <c r="J461" s="34" t="s">
        <v>535</v>
      </c>
      <c r="K461" s="33" t="s">
        <v>20</v>
      </c>
      <c r="L461" s="36">
        <v>220.0</v>
      </c>
      <c r="M461" s="51" t="s">
        <v>21</v>
      </c>
    </row>
    <row r="462" ht="22.5" customHeight="1">
      <c r="A462" s="33" t="s">
        <v>175</v>
      </c>
      <c r="B462" s="33" t="s">
        <v>143</v>
      </c>
      <c r="C462" s="57"/>
      <c r="D462" s="33" t="s">
        <v>30</v>
      </c>
      <c r="E462" s="34" t="s">
        <v>35</v>
      </c>
      <c r="F462" s="34" t="s">
        <v>133</v>
      </c>
      <c r="G462" s="56">
        <v>46057.0</v>
      </c>
      <c r="H462" s="36">
        <v>0.0</v>
      </c>
      <c r="I462" s="52" t="s">
        <v>61</v>
      </c>
      <c r="J462" s="34" t="s">
        <v>535</v>
      </c>
      <c r="K462" s="33" t="s">
        <v>20</v>
      </c>
      <c r="L462" s="36">
        <v>500.0</v>
      </c>
      <c r="M462" s="51" t="s">
        <v>27</v>
      </c>
    </row>
    <row r="463" ht="22.5" customHeight="1">
      <c r="A463" s="33" t="s">
        <v>711</v>
      </c>
      <c r="B463" s="33" t="s">
        <v>93</v>
      </c>
      <c r="C463" s="57"/>
      <c r="D463" s="33" t="s">
        <v>15</v>
      </c>
      <c r="E463" s="34" t="s">
        <v>60</v>
      </c>
      <c r="F463" s="34" t="s">
        <v>36</v>
      </c>
      <c r="G463" s="56">
        <v>46057.0</v>
      </c>
      <c r="H463" s="36">
        <v>0.0</v>
      </c>
      <c r="I463" s="52" t="s">
        <v>65</v>
      </c>
      <c r="J463" s="34" t="s">
        <v>535</v>
      </c>
      <c r="K463" s="33" t="s">
        <v>20</v>
      </c>
      <c r="L463" s="36">
        <v>199.0</v>
      </c>
      <c r="M463" s="51" t="s">
        <v>21</v>
      </c>
    </row>
    <row r="464" ht="22.5" customHeight="1">
      <c r="A464" s="33" t="s">
        <v>712</v>
      </c>
      <c r="B464" s="33" t="s">
        <v>713</v>
      </c>
      <c r="C464" s="57"/>
      <c r="D464" s="33" t="s">
        <v>15</v>
      </c>
      <c r="E464" s="34" t="s">
        <v>60</v>
      </c>
      <c r="F464" s="34" t="s">
        <v>36</v>
      </c>
      <c r="G464" s="56">
        <v>46057.0</v>
      </c>
      <c r="H464" s="36">
        <v>50.0</v>
      </c>
      <c r="I464" s="52" t="s">
        <v>47</v>
      </c>
      <c r="J464" s="34" t="s">
        <v>535</v>
      </c>
      <c r="K464" s="33" t="s">
        <v>20</v>
      </c>
      <c r="L464" s="36">
        <v>105.0</v>
      </c>
      <c r="M464" s="51" t="s">
        <v>27</v>
      </c>
    </row>
    <row r="465" ht="22.5" customHeight="1">
      <c r="A465" s="33" t="s">
        <v>714</v>
      </c>
      <c r="B465" s="33" t="s">
        <v>715</v>
      </c>
      <c r="C465" s="57"/>
      <c r="D465" s="33" t="s">
        <v>15</v>
      </c>
      <c r="E465" s="34" t="s">
        <v>716</v>
      </c>
      <c r="F465" s="34" t="s">
        <v>133</v>
      </c>
      <c r="G465" s="56">
        <v>46058.0</v>
      </c>
      <c r="H465" s="36">
        <v>50.0</v>
      </c>
      <c r="I465" s="52" t="s">
        <v>18</v>
      </c>
      <c r="J465" s="34" t="s">
        <v>535</v>
      </c>
      <c r="K465" s="33" t="s">
        <v>20</v>
      </c>
      <c r="L465" s="36">
        <v>500.0</v>
      </c>
      <c r="M465" s="51" t="s">
        <v>27</v>
      </c>
    </row>
    <row r="466" ht="22.5" customHeight="1">
      <c r="A466" s="33" t="s">
        <v>645</v>
      </c>
      <c r="B466" s="33" t="s">
        <v>191</v>
      </c>
      <c r="C466" s="57"/>
      <c r="D466" s="33" t="s">
        <v>15</v>
      </c>
      <c r="E466" s="34" t="s">
        <v>317</v>
      </c>
      <c r="F466" s="34" t="s">
        <v>133</v>
      </c>
      <c r="G466" s="56">
        <v>46058.0</v>
      </c>
      <c r="H466" s="36">
        <v>50.0</v>
      </c>
      <c r="I466" s="52" t="s">
        <v>18</v>
      </c>
      <c r="J466" s="34" t="s">
        <v>535</v>
      </c>
      <c r="K466" s="33" t="s">
        <v>20</v>
      </c>
      <c r="L466" s="36">
        <v>1950.0</v>
      </c>
      <c r="M466" s="51" t="s">
        <v>76</v>
      </c>
    </row>
    <row r="467" ht="22.5" customHeight="1">
      <c r="A467" s="33" t="s">
        <v>717</v>
      </c>
      <c r="B467" s="33" t="s">
        <v>718</v>
      </c>
      <c r="C467" s="57"/>
      <c r="D467" s="33" t="s">
        <v>15</v>
      </c>
      <c r="E467" s="34" t="s">
        <v>35</v>
      </c>
      <c r="F467" s="34" t="s">
        <v>133</v>
      </c>
      <c r="G467" s="56">
        <v>46058.0</v>
      </c>
      <c r="H467" s="36">
        <v>50.0</v>
      </c>
      <c r="I467" s="52" t="s">
        <v>65</v>
      </c>
      <c r="J467" s="34" t="s">
        <v>535</v>
      </c>
      <c r="K467" s="33" t="s">
        <v>20</v>
      </c>
      <c r="L467" s="36">
        <v>500.0</v>
      </c>
      <c r="M467" s="51" t="s">
        <v>27</v>
      </c>
      <c r="O467" s="9"/>
    </row>
    <row r="468" ht="22.5" customHeight="1">
      <c r="A468" s="33" t="s">
        <v>122</v>
      </c>
      <c r="B468" s="33" t="s">
        <v>719</v>
      </c>
      <c r="C468" s="57"/>
      <c r="D468" s="33" t="s">
        <v>15</v>
      </c>
      <c r="E468" s="34" t="s">
        <v>35</v>
      </c>
      <c r="F468" s="34" t="s">
        <v>133</v>
      </c>
      <c r="G468" s="56">
        <v>46058.0</v>
      </c>
      <c r="H468" s="36">
        <v>50.0</v>
      </c>
      <c r="I468" s="52" t="s">
        <v>183</v>
      </c>
      <c r="J468" s="34" t="s">
        <v>535</v>
      </c>
      <c r="K468" s="33" t="s">
        <v>20</v>
      </c>
      <c r="L468" s="36">
        <v>500.0</v>
      </c>
      <c r="M468" s="51" t="s">
        <v>27</v>
      </c>
    </row>
    <row r="469" ht="22.5" customHeight="1">
      <c r="A469" s="33" t="s">
        <v>720</v>
      </c>
      <c r="B469" s="33" t="s">
        <v>721</v>
      </c>
      <c r="C469" s="57"/>
      <c r="D469" s="33" t="s">
        <v>15</v>
      </c>
      <c r="E469" s="34" t="s">
        <v>716</v>
      </c>
      <c r="F469" s="34" t="s">
        <v>133</v>
      </c>
      <c r="G469" s="56">
        <v>46058.0</v>
      </c>
      <c r="H469" s="36">
        <v>50.0</v>
      </c>
      <c r="I469" s="52" t="s">
        <v>18</v>
      </c>
      <c r="J469" s="34" t="s">
        <v>535</v>
      </c>
      <c r="K469" s="33" t="s">
        <v>20</v>
      </c>
      <c r="L469" s="36">
        <v>1050.0</v>
      </c>
      <c r="M469" s="51" t="s">
        <v>199</v>
      </c>
    </row>
    <row r="470" ht="22.5" customHeight="1">
      <c r="A470" s="33" t="s">
        <v>722</v>
      </c>
      <c r="B470" s="33" t="s">
        <v>723</v>
      </c>
      <c r="C470" s="57"/>
      <c r="D470" s="33" t="s">
        <v>15</v>
      </c>
      <c r="E470" s="34" t="s">
        <v>106</v>
      </c>
      <c r="F470" s="34" t="s">
        <v>133</v>
      </c>
      <c r="G470" s="56">
        <v>46058.0</v>
      </c>
      <c r="H470" s="36">
        <v>50.0</v>
      </c>
      <c r="I470" s="52" t="s">
        <v>65</v>
      </c>
      <c r="J470" s="34" t="s">
        <v>535</v>
      </c>
      <c r="K470" s="33" t="s">
        <v>20</v>
      </c>
      <c r="L470" s="36">
        <v>500.0</v>
      </c>
      <c r="M470" s="51" t="s">
        <v>199</v>
      </c>
    </row>
    <row r="471" ht="22.5" customHeight="1">
      <c r="A471" s="33" t="s">
        <v>724</v>
      </c>
      <c r="B471" s="33" t="s">
        <v>678</v>
      </c>
      <c r="C471" s="57"/>
      <c r="D471" s="33" t="s">
        <v>15</v>
      </c>
      <c r="E471" s="34" t="s">
        <v>262</v>
      </c>
      <c r="F471" s="34" t="s">
        <v>40</v>
      </c>
      <c r="G471" s="56">
        <v>46059.0</v>
      </c>
      <c r="H471" s="36">
        <v>50.0</v>
      </c>
      <c r="I471" s="52" t="s">
        <v>18</v>
      </c>
      <c r="J471" s="34" t="s">
        <v>535</v>
      </c>
      <c r="K471" s="33" t="s">
        <v>20</v>
      </c>
      <c r="L471" s="36">
        <v>450.0</v>
      </c>
      <c r="M471" s="51" t="s">
        <v>27</v>
      </c>
    </row>
    <row r="472" ht="22.5" customHeight="1">
      <c r="A472" s="33" t="s">
        <v>725</v>
      </c>
      <c r="B472" s="33" t="s">
        <v>726</v>
      </c>
      <c r="C472" s="57"/>
      <c r="D472" s="33" t="s">
        <v>15</v>
      </c>
      <c r="E472" s="34" t="s">
        <v>39</v>
      </c>
      <c r="F472" s="34" t="s">
        <v>40</v>
      </c>
      <c r="G472" s="56">
        <v>46059.0</v>
      </c>
      <c r="H472" s="36">
        <v>50.0</v>
      </c>
      <c r="I472" s="52" t="s">
        <v>18</v>
      </c>
      <c r="J472" s="34" t="s">
        <v>535</v>
      </c>
      <c r="K472" s="33" t="s">
        <v>20</v>
      </c>
      <c r="L472" s="36">
        <v>289.0</v>
      </c>
      <c r="M472" s="51" t="s">
        <v>608</v>
      </c>
    </row>
    <row r="473" ht="22.5" customHeight="1">
      <c r="A473" s="33" t="s">
        <v>708</v>
      </c>
      <c r="B473" s="33" t="s">
        <v>135</v>
      </c>
      <c r="C473" s="57"/>
      <c r="D473" s="33" t="s">
        <v>15</v>
      </c>
      <c r="E473" s="34" t="s">
        <v>60</v>
      </c>
      <c r="F473" s="34" t="s">
        <v>36</v>
      </c>
      <c r="G473" s="56">
        <v>46060.0</v>
      </c>
      <c r="H473" s="36">
        <v>50.0</v>
      </c>
      <c r="I473" s="52" t="s">
        <v>18</v>
      </c>
      <c r="J473" s="34" t="s">
        <v>535</v>
      </c>
      <c r="K473" s="33" t="s">
        <v>20</v>
      </c>
      <c r="L473" s="36">
        <v>105.0</v>
      </c>
      <c r="M473" s="51" t="s">
        <v>608</v>
      </c>
    </row>
    <row r="474" ht="22.5" customHeight="1">
      <c r="A474" s="33" t="s">
        <v>727</v>
      </c>
      <c r="B474" s="33" t="s">
        <v>728</v>
      </c>
      <c r="C474" s="57"/>
      <c r="D474" s="33" t="s">
        <v>15</v>
      </c>
      <c r="E474" s="34" t="s">
        <v>64</v>
      </c>
      <c r="F474" s="34" t="s">
        <v>40</v>
      </c>
      <c r="G474" s="56">
        <v>46060.0</v>
      </c>
      <c r="H474" s="36">
        <v>50.0</v>
      </c>
      <c r="I474" s="52" t="s">
        <v>61</v>
      </c>
      <c r="J474" s="34" t="s">
        <v>535</v>
      </c>
      <c r="K474" s="33" t="s">
        <v>20</v>
      </c>
      <c r="L474" s="36">
        <v>20.0</v>
      </c>
      <c r="M474" s="51" t="s">
        <v>199</v>
      </c>
    </row>
    <row r="475" ht="22.5" customHeight="1">
      <c r="A475" s="33" t="s">
        <v>729</v>
      </c>
      <c r="B475" s="33" t="s">
        <v>418</v>
      </c>
      <c r="C475" s="57"/>
      <c r="D475" s="33" t="s">
        <v>15</v>
      </c>
      <c r="E475" s="34" t="s">
        <v>60</v>
      </c>
      <c r="F475" s="34" t="s">
        <v>36</v>
      </c>
      <c r="G475" s="56">
        <v>46060.0</v>
      </c>
      <c r="H475" s="36">
        <v>50.0</v>
      </c>
      <c r="I475" s="52" t="s">
        <v>47</v>
      </c>
      <c r="J475" s="34" t="s">
        <v>535</v>
      </c>
      <c r="K475" s="33" t="s">
        <v>20</v>
      </c>
      <c r="L475" s="36">
        <v>260.0</v>
      </c>
      <c r="M475" s="51" t="s">
        <v>127</v>
      </c>
    </row>
    <row r="476" ht="22.5" customHeight="1">
      <c r="A476" s="33" t="s">
        <v>86</v>
      </c>
      <c r="B476" s="33" t="s">
        <v>229</v>
      </c>
      <c r="C476" s="57"/>
      <c r="D476" s="33" t="s">
        <v>15</v>
      </c>
      <c r="E476" s="34" t="s">
        <v>260</v>
      </c>
      <c r="F476" s="34" t="s">
        <v>36</v>
      </c>
      <c r="G476" s="56">
        <v>46060.0</v>
      </c>
      <c r="H476" s="36">
        <v>50.0</v>
      </c>
      <c r="I476" s="52" t="s">
        <v>18</v>
      </c>
      <c r="J476" s="34" t="s">
        <v>535</v>
      </c>
      <c r="K476" s="33" t="s">
        <v>20</v>
      </c>
      <c r="L476" s="36">
        <v>79.0</v>
      </c>
      <c r="M476" s="51" t="s">
        <v>199</v>
      </c>
    </row>
    <row r="477" ht="22.5" customHeight="1">
      <c r="A477" s="33" t="s">
        <v>160</v>
      </c>
      <c r="B477" s="33" t="s">
        <v>730</v>
      </c>
      <c r="C477" s="57"/>
      <c r="D477" s="33" t="s">
        <v>15</v>
      </c>
      <c r="E477" s="34" t="s">
        <v>332</v>
      </c>
      <c r="F477" s="34" t="s">
        <v>40</v>
      </c>
      <c r="G477" s="56">
        <v>46060.0</v>
      </c>
      <c r="H477" s="36">
        <v>50.0</v>
      </c>
      <c r="I477" s="52" t="s">
        <v>61</v>
      </c>
      <c r="J477" s="34" t="s">
        <v>535</v>
      </c>
      <c r="K477" s="33" t="s">
        <v>20</v>
      </c>
      <c r="L477" s="36">
        <v>120.0</v>
      </c>
      <c r="M477" s="51" t="s">
        <v>27</v>
      </c>
    </row>
    <row r="478" ht="22.5" customHeight="1">
      <c r="A478" s="33" t="s">
        <v>731</v>
      </c>
      <c r="B478" s="33" t="s">
        <v>650</v>
      </c>
      <c r="C478" s="57"/>
      <c r="D478" s="33" t="s">
        <v>15</v>
      </c>
      <c r="E478" s="34" t="s">
        <v>39</v>
      </c>
      <c r="F478" s="34" t="s">
        <v>40</v>
      </c>
      <c r="G478" s="56">
        <v>46062.0</v>
      </c>
      <c r="H478" s="36">
        <v>0.0</v>
      </c>
      <c r="I478" s="52" t="s">
        <v>18</v>
      </c>
      <c r="J478" s="34" t="s">
        <v>535</v>
      </c>
      <c r="K478" s="33" t="s">
        <v>20</v>
      </c>
      <c r="L478" s="36">
        <v>500.0</v>
      </c>
      <c r="M478" s="51" t="s">
        <v>27</v>
      </c>
    </row>
    <row r="479" ht="22.5" customHeight="1">
      <c r="A479" s="33" t="s">
        <v>638</v>
      </c>
      <c r="B479" s="33" t="s">
        <v>191</v>
      </c>
      <c r="C479" s="57"/>
      <c r="D479" s="33" t="s">
        <v>15</v>
      </c>
      <c r="E479" s="34" t="s">
        <v>39</v>
      </c>
      <c r="F479" s="34" t="s">
        <v>40</v>
      </c>
      <c r="G479" s="56">
        <v>46062.0</v>
      </c>
      <c r="H479" s="36">
        <v>0.0</v>
      </c>
      <c r="I479" s="52" t="s">
        <v>18</v>
      </c>
      <c r="J479" s="34" t="s">
        <v>535</v>
      </c>
      <c r="K479" s="33" t="s">
        <v>20</v>
      </c>
      <c r="L479" s="36">
        <v>529.0</v>
      </c>
      <c r="M479" s="51" t="s">
        <v>27</v>
      </c>
    </row>
    <row r="480" ht="22.5" customHeight="1">
      <c r="A480" s="33" t="s">
        <v>732</v>
      </c>
      <c r="B480" s="33" t="s">
        <v>733</v>
      </c>
      <c r="C480" s="57"/>
      <c r="D480" s="33" t="s">
        <v>30</v>
      </c>
      <c r="E480" s="34" t="s">
        <v>443</v>
      </c>
      <c r="F480" s="34" t="s">
        <v>40</v>
      </c>
      <c r="G480" s="56">
        <v>46062.0</v>
      </c>
      <c r="H480" s="36">
        <v>50.0</v>
      </c>
      <c r="I480" s="52" t="s">
        <v>47</v>
      </c>
      <c r="J480" s="34" t="s">
        <v>535</v>
      </c>
      <c r="K480" s="33" t="s">
        <v>20</v>
      </c>
      <c r="L480" s="36">
        <v>130.0</v>
      </c>
      <c r="M480" s="51" t="s">
        <v>27</v>
      </c>
    </row>
    <row r="481" ht="22.5" customHeight="1">
      <c r="A481" s="33" t="s">
        <v>367</v>
      </c>
      <c r="B481" s="33" t="s">
        <v>368</v>
      </c>
      <c r="C481" s="57"/>
      <c r="D481" s="33" t="s">
        <v>15</v>
      </c>
      <c r="E481" s="34" t="s">
        <v>60</v>
      </c>
      <c r="F481" s="34" t="s">
        <v>36</v>
      </c>
      <c r="G481" s="56">
        <v>46062.0</v>
      </c>
      <c r="H481" s="36">
        <v>300.0</v>
      </c>
      <c r="I481" s="52" t="s">
        <v>65</v>
      </c>
      <c r="J481" s="34" t="s">
        <v>535</v>
      </c>
      <c r="K481" s="33" t="s">
        <v>20</v>
      </c>
      <c r="L481" s="36">
        <v>300.0</v>
      </c>
      <c r="M481" s="51" t="s">
        <v>27</v>
      </c>
    </row>
    <row r="482" ht="22.5" customHeight="1">
      <c r="A482" s="33" t="s">
        <v>734</v>
      </c>
      <c r="B482" s="33" t="s">
        <v>735</v>
      </c>
      <c r="C482" s="57"/>
      <c r="D482" s="33" t="s">
        <v>15</v>
      </c>
      <c r="E482" s="34" t="s">
        <v>64</v>
      </c>
      <c r="F482" s="34" t="s">
        <v>40</v>
      </c>
      <c r="G482" s="56">
        <v>46062.0</v>
      </c>
      <c r="H482" s="36">
        <v>0.0</v>
      </c>
      <c r="I482" s="52" t="s">
        <v>18</v>
      </c>
      <c r="J482" s="34" t="s">
        <v>535</v>
      </c>
      <c r="K482" s="33" t="s">
        <v>20</v>
      </c>
      <c r="L482" s="36">
        <v>70.0</v>
      </c>
      <c r="M482" s="51" t="s">
        <v>27</v>
      </c>
    </row>
    <row r="483" ht="22.5" customHeight="1">
      <c r="A483" s="33" t="s">
        <v>706</v>
      </c>
      <c r="B483" s="33" t="s">
        <v>508</v>
      </c>
      <c r="C483" s="57"/>
      <c r="D483" s="33" t="s">
        <v>15</v>
      </c>
      <c r="E483" s="34" t="s">
        <v>332</v>
      </c>
      <c r="F483" s="34" t="s">
        <v>40</v>
      </c>
      <c r="G483" s="56">
        <v>46062.0</v>
      </c>
      <c r="H483" s="36">
        <v>0.0</v>
      </c>
      <c r="I483" s="52" t="s">
        <v>65</v>
      </c>
      <c r="J483" s="34" t="s">
        <v>535</v>
      </c>
      <c r="K483" s="33" t="s">
        <v>20</v>
      </c>
      <c r="L483" s="36">
        <v>85.0</v>
      </c>
      <c r="M483" s="51" t="s">
        <v>27</v>
      </c>
    </row>
    <row r="484" ht="22.5" customHeight="1">
      <c r="A484" s="33" t="s">
        <v>736</v>
      </c>
      <c r="B484" s="33" t="s">
        <v>737</v>
      </c>
      <c r="C484" s="57"/>
      <c r="D484" s="33" t="s">
        <v>15</v>
      </c>
      <c r="E484" s="34" t="s">
        <v>31</v>
      </c>
      <c r="F484" s="34" t="s">
        <v>17</v>
      </c>
      <c r="G484" s="56">
        <v>46062.0</v>
      </c>
      <c r="H484" s="36">
        <v>100.0</v>
      </c>
      <c r="I484" s="52" t="s">
        <v>18</v>
      </c>
      <c r="J484" s="34" t="s">
        <v>535</v>
      </c>
      <c r="K484" s="33" t="s">
        <v>20</v>
      </c>
      <c r="L484" s="36">
        <v>80.0</v>
      </c>
      <c r="M484" s="51" t="s">
        <v>27</v>
      </c>
    </row>
    <row r="485" ht="22.5" customHeight="1">
      <c r="A485" s="33" t="s">
        <v>394</v>
      </c>
      <c r="B485" s="33" t="s">
        <v>659</v>
      </c>
      <c r="C485" s="57"/>
      <c r="D485" s="33" t="s">
        <v>15</v>
      </c>
      <c r="E485" s="34" t="s">
        <v>60</v>
      </c>
      <c r="F485" s="34" t="s">
        <v>36</v>
      </c>
      <c r="G485" s="56">
        <v>46063.0</v>
      </c>
      <c r="H485" s="36">
        <v>100.0</v>
      </c>
      <c r="I485" s="52" t="s">
        <v>65</v>
      </c>
      <c r="J485" s="34" t="s">
        <v>535</v>
      </c>
      <c r="K485" s="33" t="s">
        <v>20</v>
      </c>
      <c r="L485" s="36">
        <v>300.0</v>
      </c>
      <c r="M485" s="51" t="s">
        <v>27</v>
      </c>
    </row>
    <row r="486" ht="22.5" customHeight="1">
      <c r="A486" s="33" t="s">
        <v>724</v>
      </c>
      <c r="B486" s="33" t="s">
        <v>738</v>
      </c>
      <c r="C486" s="57"/>
      <c r="D486" s="33" t="s">
        <v>15</v>
      </c>
      <c r="E486" s="34" t="s">
        <v>39</v>
      </c>
      <c r="F486" s="34" t="s">
        <v>40</v>
      </c>
      <c r="G486" s="56">
        <v>46064.0</v>
      </c>
      <c r="H486" s="36">
        <v>50.0</v>
      </c>
      <c r="I486" s="52" t="s">
        <v>61</v>
      </c>
      <c r="J486" s="34" t="s">
        <v>535</v>
      </c>
      <c r="K486" s="33" t="s">
        <v>20</v>
      </c>
      <c r="L486" s="36">
        <v>479.0</v>
      </c>
      <c r="M486" s="51" t="s">
        <v>27</v>
      </c>
    </row>
    <row r="487" ht="22.5" customHeight="1">
      <c r="A487" s="33" t="s">
        <v>579</v>
      </c>
      <c r="B487" s="33" t="s">
        <v>578</v>
      </c>
      <c r="C487" s="57"/>
      <c r="D487" s="33" t="s">
        <v>30</v>
      </c>
      <c r="E487" s="34" t="s">
        <v>16</v>
      </c>
      <c r="F487" s="34" t="s">
        <v>17</v>
      </c>
      <c r="G487" s="56">
        <v>46064.0</v>
      </c>
      <c r="H487" s="36">
        <v>50.0</v>
      </c>
      <c r="I487" s="52" t="s">
        <v>65</v>
      </c>
      <c r="J487" s="34" t="s">
        <v>535</v>
      </c>
      <c r="K487" s="33" t="s">
        <v>20</v>
      </c>
      <c r="L487" s="36">
        <v>170.0</v>
      </c>
      <c r="M487" s="51" t="s">
        <v>27</v>
      </c>
    </row>
    <row r="488" ht="22.5" customHeight="1">
      <c r="A488" s="33" t="s">
        <v>739</v>
      </c>
      <c r="B488" s="33" t="s">
        <v>740</v>
      </c>
      <c r="C488" s="57"/>
      <c r="D488" s="33" t="s">
        <v>30</v>
      </c>
      <c r="E488" s="34" t="s">
        <v>366</v>
      </c>
      <c r="F488" s="34" t="s">
        <v>36</v>
      </c>
      <c r="G488" s="56">
        <v>46064.0</v>
      </c>
      <c r="H488" s="36">
        <v>50.0</v>
      </c>
      <c r="I488" s="52" t="s">
        <v>18</v>
      </c>
      <c r="J488" s="34" t="s">
        <v>535</v>
      </c>
      <c r="K488" s="33" t="s">
        <v>20</v>
      </c>
      <c r="L488" s="36">
        <v>850.0</v>
      </c>
      <c r="M488" s="51" t="s">
        <v>76</v>
      </c>
    </row>
    <row r="489" ht="22.5" customHeight="1">
      <c r="A489" s="33" t="s">
        <v>441</v>
      </c>
      <c r="B489" s="33" t="s">
        <v>580</v>
      </c>
      <c r="C489" s="57"/>
      <c r="D489" s="33" t="s">
        <v>30</v>
      </c>
      <c r="E489" s="34" t="s">
        <v>366</v>
      </c>
      <c r="F489" s="34" t="s">
        <v>36</v>
      </c>
      <c r="G489" s="56">
        <v>46064.0</v>
      </c>
      <c r="H489" s="36">
        <v>50.0</v>
      </c>
      <c r="I489" s="52" t="s">
        <v>18</v>
      </c>
      <c r="J489" s="34" t="s">
        <v>535</v>
      </c>
      <c r="K489" s="33" t="s">
        <v>20</v>
      </c>
      <c r="L489" s="36">
        <v>850.0</v>
      </c>
      <c r="M489" s="51" t="s">
        <v>608</v>
      </c>
    </row>
    <row r="490" ht="22.5" customHeight="1">
      <c r="A490" s="33" t="s">
        <v>741</v>
      </c>
      <c r="B490" s="33" t="s">
        <v>742</v>
      </c>
      <c r="C490" s="57"/>
      <c r="D490" s="33" t="s">
        <v>15</v>
      </c>
      <c r="E490" s="34" t="s">
        <v>260</v>
      </c>
      <c r="F490" s="34" t="s">
        <v>36</v>
      </c>
      <c r="G490" s="56">
        <v>46065.0</v>
      </c>
      <c r="H490" s="36">
        <v>50.0</v>
      </c>
      <c r="I490" s="52" t="s">
        <v>65</v>
      </c>
      <c r="J490" s="34" t="s">
        <v>535</v>
      </c>
      <c r="K490" s="33" t="s">
        <v>20</v>
      </c>
      <c r="L490" s="36">
        <v>149.0</v>
      </c>
      <c r="M490" s="51" t="s">
        <v>199</v>
      </c>
    </row>
    <row r="491" ht="22.5" customHeight="1">
      <c r="A491" s="33" t="s">
        <v>505</v>
      </c>
      <c r="B491" s="33" t="s">
        <v>743</v>
      </c>
      <c r="C491" s="57"/>
      <c r="D491" s="33" t="s">
        <v>15</v>
      </c>
      <c r="E491" s="34" t="s">
        <v>64</v>
      </c>
      <c r="F491" s="34" t="s">
        <v>40</v>
      </c>
      <c r="G491" s="56">
        <v>46065.0</v>
      </c>
      <c r="H491" s="36">
        <v>50.0</v>
      </c>
      <c r="I491" s="52" t="s">
        <v>18</v>
      </c>
      <c r="J491" s="34" t="s">
        <v>535</v>
      </c>
      <c r="K491" s="33" t="s">
        <v>20</v>
      </c>
      <c r="L491" s="36">
        <v>70.0</v>
      </c>
      <c r="M491" s="51" t="s">
        <v>27</v>
      </c>
    </row>
    <row r="492" ht="22.5" customHeight="1">
      <c r="A492" s="33" t="s">
        <v>216</v>
      </c>
      <c r="B492" s="33" t="s">
        <v>653</v>
      </c>
      <c r="C492" s="29"/>
      <c r="D492" s="33" t="s">
        <v>30</v>
      </c>
      <c r="E492" s="34" t="s">
        <v>64</v>
      </c>
      <c r="F492" s="34" t="s">
        <v>40</v>
      </c>
      <c r="G492" s="56">
        <v>46065.0</v>
      </c>
      <c r="H492" s="36">
        <v>0.0</v>
      </c>
      <c r="I492" s="52" t="s">
        <v>65</v>
      </c>
      <c r="J492" s="34" t="s">
        <v>535</v>
      </c>
      <c r="K492" s="33" t="s">
        <v>20</v>
      </c>
      <c r="L492" s="36">
        <v>70.0</v>
      </c>
      <c r="M492" s="51" t="s">
        <v>91</v>
      </c>
    </row>
    <row r="493" ht="22.5" customHeight="1">
      <c r="A493" s="33" t="s">
        <v>744</v>
      </c>
      <c r="B493" s="33" t="s">
        <v>745</v>
      </c>
      <c r="C493" s="29"/>
      <c r="D493" s="33" t="s">
        <v>15</v>
      </c>
      <c r="E493" s="34" t="s">
        <v>55</v>
      </c>
      <c r="F493" s="34" t="s">
        <v>40</v>
      </c>
      <c r="G493" s="56">
        <v>46065.0</v>
      </c>
      <c r="H493" s="36">
        <v>0.0</v>
      </c>
      <c r="I493" s="52" t="s">
        <v>65</v>
      </c>
      <c r="J493" s="34" t="s">
        <v>535</v>
      </c>
      <c r="K493" s="33" t="s">
        <v>20</v>
      </c>
      <c r="L493" s="36">
        <v>547.0</v>
      </c>
      <c r="M493" s="51" t="s">
        <v>127</v>
      </c>
    </row>
    <row r="494" ht="22.5" customHeight="1">
      <c r="A494" s="33" t="s">
        <v>746</v>
      </c>
      <c r="B494" s="33" t="s">
        <v>747</v>
      </c>
      <c r="C494" s="57"/>
      <c r="D494" s="33" t="s">
        <v>15</v>
      </c>
      <c r="E494" s="34" t="s">
        <v>55</v>
      </c>
      <c r="F494" s="34" t="s">
        <v>40</v>
      </c>
      <c r="G494" s="56">
        <v>46066.0</v>
      </c>
      <c r="H494" s="36">
        <v>0.0</v>
      </c>
      <c r="I494" s="52" t="s">
        <v>18</v>
      </c>
      <c r="J494" s="34" t="s">
        <v>535</v>
      </c>
      <c r="K494" s="33" t="s">
        <v>20</v>
      </c>
      <c r="L494" s="36">
        <v>445.0</v>
      </c>
      <c r="M494" s="51" t="s">
        <v>27</v>
      </c>
    </row>
    <row r="495" ht="22.5" customHeight="1">
      <c r="A495" s="33" t="s">
        <v>408</v>
      </c>
      <c r="B495" s="33" t="s">
        <v>153</v>
      </c>
      <c r="C495" s="57"/>
      <c r="D495" s="33" t="s">
        <v>15</v>
      </c>
      <c r="E495" s="34" t="s">
        <v>55</v>
      </c>
      <c r="F495" s="34" t="s">
        <v>40</v>
      </c>
      <c r="G495" s="56">
        <v>46066.0</v>
      </c>
      <c r="H495" s="36">
        <v>60.0</v>
      </c>
      <c r="I495" s="52" t="s">
        <v>65</v>
      </c>
      <c r="J495" s="34" t="s">
        <v>535</v>
      </c>
      <c r="K495" s="33" t="s">
        <v>20</v>
      </c>
      <c r="L495" s="36">
        <v>0.0</v>
      </c>
      <c r="M495" s="51" t="s">
        <v>27</v>
      </c>
    </row>
    <row r="496" ht="22.5" customHeight="1">
      <c r="A496" s="33" t="s">
        <v>656</v>
      </c>
      <c r="B496" s="33" t="s">
        <v>508</v>
      </c>
      <c r="C496" s="57"/>
      <c r="D496" s="33" t="s">
        <v>15</v>
      </c>
      <c r="E496" s="34" t="s">
        <v>332</v>
      </c>
      <c r="F496" s="34" t="s">
        <v>40</v>
      </c>
      <c r="G496" s="56">
        <v>46066.0</v>
      </c>
      <c r="H496" s="36">
        <v>0.0</v>
      </c>
      <c r="I496" s="52" t="s">
        <v>65</v>
      </c>
      <c r="J496" s="34" t="s">
        <v>535</v>
      </c>
      <c r="K496" s="33" t="s">
        <v>20</v>
      </c>
      <c r="L496" s="36">
        <v>85.0</v>
      </c>
      <c r="M496" s="51" t="s">
        <v>91</v>
      </c>
    </row>
    <row r="497" ht="22.5" customHeight="1">
      <c r="A497" s="33" t="s">
        <v>748</v>
      </c>
      <c r="B497" s="33" t="s">
        <v>749</v>
      </c>
      <c r="C497" s="57"/>
      <c r="D497" s="33" t="s">
        <v>15</v>
      </c>
      <c r="E497" s="34" t="s">
        <v>60</v>
      </c>
      <c r="F497" s="34" t="s">
        <v>36</v>
      </c>
      <c r="G497" s="56">
        <v>46066.0</v>
      </c>
      <c r="H497" s="36">
        <v>0.0</v>
      </c>
      <c r="I497" s="52" t="s">
        <v>689</v>
      </c>
      <c r="J497" s="34" t="s">
        <v>535</v>
      </c>
      <c r="K497" s="33" t="s">
        <v>20</v>
      </c>
      <c r="L497" s="36">
        <v>370.0</v>
      </c>
      <c r="M497" s="51" t="s">
        <v>27</v>
      </c>
    </row>
    <row r="498" ht="22.5" customHeight="1">
      <c r="A498" s="33" t="s">
        <v>454</v>
      </c>
      <c r="B498" s="33" t="s">
        <v>750</v>
      </c>
      <c r="C498" s="57"/>
      <c r="D498" s="33" t="s">
        <v>15</v>
      </c>
      <c r="E498" s="34" t="s">
        <v>35</v>
      </c>
      <c r="F498" s="34" t="s">
        <v>133</v>
      </c>
      <c r="G498" s="56">
        <v>46066.0</v>
      </c>
      <c r="H498" s="36">
        <v>50.0</v>
      </c>
      <c r="I498" s="52" t="s">
        <v>689</v>
      </c>
      <c r="J498" s="34" t="s">
        <v>535</v>
      </c>
      <c r="K498" s="33" t="s">
        <v>20</v>
      </c>
      <c r="L498" s="36">
        <v>400.0</v>
      </c>
      <c r="M498" s="51" t="s">
        <v>27</v>
      </c>
    </row>
    <row r="499" ht="22.5" customHeight="1">
      <c r="A499" s="33" t="s">
        <v>69</v>
      </c>
      <c r="B499" s="33" t="s">
        <v>751</v>
      </c>
      <c r="C499" s="57"/>
      <c r="D499" s="33" t="s">
        <v>15</v>
      </c>
      <c r="E499" s="34" t="s">
        <v>35</v>
      </c>
      <c r="F499" s="34" t="s">
        <v>133</v>
      </c>
      <c r="G499" s="56">
        <v>46066.0</v>
      </c>
      <c r="H499" s="36">
        <v>450.0</v>
      </c>
      <c r="I499" s="52" t="s">
        <v>689</v>
      </c>
      <c r="J499" s="34" t="s">
        <v>535</v>
      </c>
      <c r="K499" s="33" t="s">
        <v>20</v>
      </c>
      <c r="L499" s="36">
        <v>0.0</v>
      </c>
      <c r="M499" s="51" t="s">
        <v>27</v>
      </c>
    </row>
    <row r="500" ht="22.5" customHeight="1">
      <c r="A500" s="33" t="s">
        <v>752</v>
      </c>
      <c r="B500" s="33" t="s">
        <v>343</v>
      </c>
      <c r="C500" s="57"/>
      <c r="D500" s="33" t="s">
        <v>15</v>
      </c>
      <c r="E500" s="34" t="s">
        <v>35</v>
      </c>
      <c r="F500" s="34" t="s">
        <v>133</v>
      </c>
      <c r="G500" s="56">
        <v>46066.0</v>
      </c>
      <c r="H500" s="36">
        <v>50.0</v>
      </c>
      <c r="I500" s="52" t="s">
        <v>689</v>
      </c>
      <c r="J500" s="34" t="s">
        <v>535</v>
      </c>
      <c r="K500" s="33" t="s">
        <v>20</v>
      </c>
      <c r="L500" s="36">
        <v>400.0</v>
      </c>
      <c r="M500" s="51" t="s">
        <v>27</v>
      </c>
    </row>
    <row r="501" ht="22.5" customHeight="1">
      <c r="A501" s="33" t="s">
        <v>753</v>
      </c>
      <c r="B501" s="33" t="s">
        <v>191</v>
      </c>
      <c r="C501" s="57"/>
      <c r="D501" s="33" t="s">
        <v>15</v>
      </c>
      <c r="E501" s="34" t="s">
        <v>716</v>
      </c>
      <c r="F501" s="34" t="s">
        <v>133</v>
      </c>
      <c r="G501" s="56">
        <v>46066.0</v>
      </c>
      <c r="H501" s="36">
        <v>50.0</v>
      </c>
      <c r="I501" s="52" t="s">
        <v>65</v>
      </c>
      <c r="J501" s="34" t="s">
        <v>535</v>
      </c>
      <c r="K501" s="33" t="s">
        <v>20</v>
      </c>
      <c r="L501" s="36">
        <v>450.0</v>
      </c>
      <c r="M501" s="51" t="s">
        <v>27</v>
      </c>
    </row>
    <row r="502" ht="22.5" customHeight="1">
      <c r="A502" s="33" t="s">
        <v>754</v>
      </c>
      <c r="B502" s="33" t="s">
        <v>374</v>
      </c>
      <c r="C502" s="29"/>
      <c r="D502" s="33" t="s">
        <v>15</v>
      </c>
      <c r="E502" s="34" t="s">
        <v>55</v>
      </c>
      <c r="F502" s="34" t="s">
        <v>40</v>
      </c>
      <c r="G502" s="56">
        <v>46066.0</v>
      </c>
      <c r="H502" s="36">
        <v>55.0</v>
      </c>
      <c r="I502" s="52" t="s">
        <v>18</v>
      </c>
      <c r="J502" s="34" t="s">
        <v>535</v>
      </c>
      <c r="K502" s="33" t="s">
        <v>20</v>
      </c>
      <c r="L502" s="36">
        <v>85.0</v>
      </c>
      <c r="M502" s="51" t="s">
        <v>27</v>
      </c>
    </row>
    <row r="503" ht="22.5" customHeight="1">
      <c r="A503" s="33" t="s">
        <v>755</v>
      </c>
      <c r="B503" s="33" t="s">
        <v>756</v>
      </c>
      <c r="C503" s="57"/>
      <c r="D503" s="33" t="s">
        <v>15</v>
      </c>
      <c r="E503" s="34" t="s">
        <v>55</v>
      </c>
      <c r="F503" s="34" t="s">
        <v>40</v>
      </c>
      <c r="G503" s="56">
        <v>46066.0</v>
      </c>
      <c r="H503" s="36">
        <v>50.0</v>
      </c>
      <c r="I503" s="52" t="s">
        <v>18</v>
      </c>
      <c r="J503" s="34" t="s">
        <v>535</v>
      </c>
      <c r="K503" s="33" t="s">
        <v>20</v>
      </c>
      <c r="L503" s="36">
        <v>65.0</v>
      </c>
      <c r="M503" s="51" t="s">
        <v>199</v>
      </c>
    </row>
    <row r="504" ht="22.5" customHeight="1">
      <c r="A504" s="33" t="s">
        <v>757</v>
      </c>
      <c r="B504" s="33" t="s">
        <v>758</v>
      </c>
      <c r="C504" s="57"/>
      <c r="D504" s="33" t="s">
        <v>30</v>
      </c>
      <c r="E504" s="34" t="s">
        <v>16</v>
      </c>
      <c r="F504" s="34" t="s">
        <v>17</v>
      </c>
      <c r="G504" s="56">
        <v>46066.0</v>
      </c>
      <c r="H504" s="36">
        <v>50.0</v>
      </c>
      <c r="I504" s="52" t="s">
        <v>689</v>
      </c>
      <c r="J504" s="34" t="s">
        <v>535</v>
      </c>
      <c r="K504" s="33" t="s">
        <v>20</v>
      </c>
      <c r="L504" s="36">
        <v>130.0</v>
      </c>
      <c r="M504" s="51" t="s">
        <v>27</v>
      </c>
    </row>
    <row r="505" ht="22.5" customHeight="1">
      <c r="A505" s="33" t="s">
        <v>759</v>
      </c>
      <c r="B505" s="33" t="s">
        <v>760</v>
      </c>
      <c r="C505" s="57"/>
      <c r="D505" s="33" t="s">
        <v>30</v>
      </c>
      <c r="E505" s="34" t="s">
        <v>55</v>
      </c>
      <c r="F505" s="34" t="s">
        <v>40</v>
      </c>
      <c r="G505" s="56">
        <v>46066.0</v>
      </c>
      <c r="H505" s="36">
        <v>100.0</v>
      </c>
      <c r="I505" s="52" t="s">
        <v>689</v>
      </c>
      <c r="J505" s="34" t="s">
        <v>535</v>
      </c>
      <c r="K505" s="33" t="s">
        <v>20</v>
      </c>
      <c r="L505" s="36">
        <v>223.0</v>
      </c>
      <c r="M505" s="51" t="s">
        <v>91</v>
      </c>
    </row>
    <row r="506" ht="22.5" customHeight="1">
      <c r="A506" s="33" t="s">
        <v>761</v>
      </c>
      <c r="B506" s="33" t="s">
        <v>762</v>
      </c>
      <c r="C506" s="57"/>
      <c r="D506" s="33" t="s">
        <v>15</v>
      </c>
      <c r="E506" s="34" t="s">
        <v>289</v>
      </c>
      <c r="F506" s="34" t="s">
        <v>36</v>
      </c>
      <c r="G506" s="56">
        <v>46067.0</v>
      </c>
      <c r="H506" s="36">
        <v>50.0</v>
      </c>
      <c r="I506" s="52" t="s">
        <v>18</v>
      </c>
      <c r="J506" s="34" t="s">
        <v>535</v>
      </c>
      <c r="K506" s="33" t="s">
        <v>20</v>
      </c>
      <c r="L506" s="36">
        <v>400.0</v>
      </c>
      <c r="M506" s="51" t="s">
        <v>199</v>
      </c>
    </row>
    <row r="507" ht="22.5" customHeight="1">
      <c r="A507" s="33" t="s">
        <v>763</v>
      </c>
      <c r="B507" s="33" t="s">
        <v>764</v>
      </c>
      <c r="C507" s="57"/>
      <c r="D507" s="33" t="s">
        <v>15</v>
      </c>
      <c r="E507" s="34" t="s">
        <v>55</v>
      </c>
      <c r="F507" s="34" t="s">
        <v>40</v>
      </c>
      <c r="G507" s="56">
        <v>46067.0</v>
      </c>
      <c r="H507" s="36">
        <v>50.0</v>
      </c>
      <c r="I507" s="52" t="s">
        <v>75</v>
      </c>
      <c r="J507" s="34" t="s">
        <v>535</v>
      </c>
      <c r="K507" s="33" t="s">
        <v>20</v>
      </c>
      <c r="L507" s="36">
        <v>700.0</v>
      </c>
      <c r="M507" s="51" t="s">
        <v>27</v>
      </c>
    </row>
    <row r="508" ht="22.5" customHeight="1">
      <c r="A508" s="33" t="s">
        <v>765</v>
      </c>
      <c r="B508" s="33" t="s">
        <v>411</v>
      </c>
      <c r="C508" s="57"/>
      <c r="D508" s="33" t="s">
        <v>15</v>
      </c>
      <c r="E508" s="34" t="s">
        <v>55</v>
      </c>
      <c r="F508" s="34" t="s">
        <v>40</v>
      </c>
      <c r="G508" s="56">
        <v>46067.0</v>
      </c>
      <c r="H508" s="36">
        <v>50.0</v>
      </c>
      <c r="I508" s="52" t="s">
        <v>18</v>
      </c>
      <c r="J508" s="34" t="s">
        <v>535</v>
      </c>
      <c r="K508" s="33" t="s">
        <v>20</v>
      </c>
      <c r="L508" s="36">
        <v>855.0</v>
      </c>
      <c r="M508" s="51" t="s">
        <v>199</v>
      </c>
    </row>
    <row r="509" ht="22.5" customHeight="1">
      <c r="A509" s="33" t="s">
        <v>766</v>
      </c>
      <c r="B509" s="33" t="s">
        <v>209</v>
      </c>
      <c r="C509" s="57"/>
      <c r="D509" s="33" t="s">
        <v>15</v>
      </c>
      <c r="E509" s="34" t="s">
        <v>55</v>
      </c>
      <c r="F509" s="34" t="s">
        <v>40</v>
      </c>
      <c r="G509" s="56">
        <v>46067.0</v>
      </c>
      <c r="H509" s="36">
        <v>85.0</v>
      </c>
      <c r="I509" s="52" t="s">
        <v>65</v>
      </c>
      <c r="J509" s="34" t="s">
        <v>535</v>
      </c>
      <c r="K509" s="33" t="s">
        <v>20</v>
      </c>
      <c r="L509" s="36">
        <v>0.0</v>
      </c>
      <c r="M509" s="51" t="s">
        <v>27</v>
      </c>
    </row>
    <row r="510" ht="22.5" customHeight="1">
      <c r="A510" s="33" t="s">
        <v>625</v>
      </c>
      <c r="B510" s="33" t="s">
        <v>767</v>
      </c>
      <c r="C510" s="57"/>
      <c r="D510" s="33" t="s">
        <v>15</v>
      </c>
      <c r="E510" s="34" t="s">
        <v>64</v>
      </c>
      <c r="F510" s="34" t="s">
        <v>40</v>
      </c>
      <c r="G510" s="56">
        <v>46067.0</v>
      </c>
      <c r="H510" s="36">
        <v>50.0</v>
      </c>
      <c r="I510" s="52" t="s">
        <v>18</v>
      </c>
      <c r="J510" s="34" t="s">
        <v>535</v>
      </c>
      <c r="K510" s="33" t="s">
        <v>20</v>
      </c>
      <c r="L510" s="36">
        <v>70.0</v>
      </c>
      <c r="M510" s="51" t="s">
        <v>27</v>
      </c>
    </row>
    <row r="511" ht="22.5" customHeight="1">
      <c r="A511" s="33" t="s">
        <v>684</v>
      </c>
      <c r="B511" s="33" t="s">
        <v>685</v>
      </c>
      <c r="C511" s="57"/>
      <c r="D511" s="33" t="s">
        <v>15</v>
      </c>
      <c r="E511" s="34" t="s">
        <v>55</v>
      </c>
      <c r="F511" s="34" t="s">
        <v>40</v>
      </c>
      <c r="G511" s="56">
        <v>46069.0</v>
      </c>
      <c r="H511" s="36">
        <v>0.0</v>
      </c>
      <c r="I511" s="52" t="s">
        <v>65</v>
      </c>
      <c r="J511" s="34" t="s">
        <v>768</v>
      </c>
      <c r="K511" s="33" t="s">
        <v>20</v>
      </c>
      <c r="L511" s="36">
        <v>50.0</v>
      </c>
      <c r="M511" s="51" t="s">
        <v>21</v>
      </c>
    </row>
    <row r="512" ht="22.5" customHeight="1">
      <c r="A512" s="33" t="s">
        <v>769</v>
      </c>
      <c r="B512" s="33" t="s">
        <v>718</v>
      </c>
      <c r="C512" s="57"/>
      <c r="D512" s="33" t="s">
        <v>15</v>
      </c>
      <c r="E512" s="34" t="s">
        <v>260</v>
      </c>
      <c r="F512" s="34" t="s">
        <v>36</v>
      </c>
      <c r="G512" s="56">
        <v>46069.0</v>
      </c>
      <c r="H512" s="36">
        <v>60.0</v>
      </c>
      <c r="I512" s="52" t="s">
        <v>18</v>
      </c>
      <c r="J512" s="34" t="s">
        <v>768</v>
      </c>
      <c r="K512" s="33" t="s">
        <v>20</v>
      </c>
      <c r="L512" s="36">
        <v>0.0</v>
      </c>
      <c r="M512" s="51" t="s">
        <v>27</v>
      </c>
    </row>
    <row r="513" ht="22.5" customHeight="1">
      <c r="A513" s="33" t="s">
        <v>69</v>
      </c>
      <c r="B513" s="33" t="s">
        <v>770</v>
      </c>
      <c r="C513" s="57"/>
      <c r="D513" s="33" t="s">
        <v>15</v>
      </c>
      <c r="E513" s="34" t="s">
        <v>55</v>
      </c>
      <c r="F513" s="34" t="s">
        <v>40</v>
      </c>
      <c r="G513" s="56">
        <v>46069.0</v>
      </c>
      <c r="H513" s="36">
        <v>50.0</v>
      </c>
      <c r="I513" s="52" t="s">
        <v>47</v>
      </c>
      <c r="J513" s="34" t="s">
        <v>768</v>
      </c>
      <c r="K513" s="33" t="s">
        <v>20</v>
      </c>
      <c r="L513" s="36">
        <v>5.0</v>
      </c>
      <c r="M513" s="51" t="s">
        <v>199</v>
      </c>
    </row>
    <row r="514" ht="22.5" customHeight="1">
      <c r="A514" s="33" t="s">
        <v>69</v>
      </c>
      <c r="B514" s="33" t="s">
        <v>284</v>
      </c>
      <c r="C514" s="57"/>
      <c r="D514" s="33" t="s">
        <v>15</v>
      </c>
      <c r="E514" s="34" t="s">
        <v>31</v>
      </c>
      <c r="F514" s="34" t="s">
        <v>17</v>
      </c>
      <c r="G514" s="56">
        <v>46070.0</v>
      </c>
      <c r="H514" s="36">
        <v>50.0</v>
      </c>
      <c r="I514" s="52" t="s">
        <v>18</v>
      </c>
      <c r="J514" s="34" t="s">
        <v>768</v>
      </c>
      <c r="K514" s="33" t="s">
        <v>20</v>
      </c>
      <c r="L514" s="36">
        <v>0.0</v>
      </c>
      <c r="M514" s="51" t="s">
        <v>27</v>
      </c>
    </row>
    <row r="515" ht="22.5" customHeight="1">
      <c r="A515" s="33"/>
      <c r="B515" s="33"/>
      <c r="C515" s="57"/>
      <c r="D515" s="33"/>
      <c r="E515" s="39"/>
      <c r="F515" s="34"/>
      <c r="G515" s="56"/>
      <c r="H515" s="36"/>
      <c r="I515" s="69"/>
      <c r="J515" s="34" t="s">
        <v>768</v>
      </c>
      <c r="K515" s="33" t="s">
        <v>20</v>
      </c>
      <c r="L515" s="36"/>
      <c r="M515" s="59"/>
    </row>
    <row r="516" ht="22.5" customHeight="1">
      <c r="A516" s="33"/>
      <c r="B516" s="33"/>
      <c r="C516" s="57"/>
      <c r="D516" s="33"/>
      <c r="E516" s="39"/>
      <c r="F516" s="34"/>
      <c r="G516" s="56"/>
      <c r="H516" s="36"/>
      <c r="I516" s="69"/>
      <c r="J516" s="34" t="s">
        <v>768</v>
      </c>
      <c r="K516" s="33" t="s">
        <v>20</v>
      </c>
      <c r="L516" s="36"/>
      <c r="M516" s="59"/>
    </row>
    <row r="517" ht="22.5" customHeight="1">
      <c r="A517" s="33"/>
      <c r="B517" s="33"/>
      <c r="C517" s="57"/>
      <c r="D517" s="33"/>
      <c r="E517" s="39"/>
      <c r="F517" s="34"/>
      <c r="G517" s="56"/>
      <c r="H517" s="36"/>
      <c r="I517" s="69"/>
      <c r="J517" s="34" t="s">
        <v>768</v>
      </c>
      <c r="K517" s="33" t="s">
        <v>20</v>
      </c>
      <c r="L517" s="36"/>
      <c r="M517" s="59"/>
    </row>
    <row r="518" ht="22.5" customHeight="1">
      <c r="A518" s="33"/>
      <c r="B518" s="33"/>
      <c r="C518" s="57"/>
      <c r="D518" s="33"/>
      <c r="E518" s="39"/>
      <c r="F518" s="34"/>
      <c r="G518" s="56"/>
      <c r="H518" s="36"/>
      <c r="I518" s="69"/>
      <c r="J518" s="34" t="s">
        <v>768</v>
      </c>
      <c r="K518" s="33" t="s">
        <v>20</v>
      </c>
      <c r="L518" s="36"/>
      <c r="M518" s="59"/>
    </row>
    <row r="519" ht="22.5" customHeight="1">
      <c r="A519" s="33"/>
      <c r="B519" s="33"/>
      <c r="C519" s="57"/>
      <c r="D519" s="33"/>
      <c r="E519" s="39"/>
      <c r="F519" s="34"/>
      <c r="G519" s="56"/>
      <c r="H519" s="36"/>
      <c r="I519" s="69"/>
      <c r="J519" s="34" t="s">
        <v>768</v>
      </c>
      <c r="K519" s="33" t="s">
        <v>20</v>
      </c>
      <c r="L519" s="36"/>
      <c r="M519" s="59"/>
    </row>
    <row r="520" ht="22.5" customHeight="1">
      <c r="A520" s="33"/>
      <c r="B520" s="33"/>
      <c r="C520" s="57"/>
      <c r="D520" s="33"/>
      <c r="E520" s="39"/>
      <c r="F520" s="34"/>
      <c r="G520" s="56"/>
      <c r="H520" s="36"/>
      <c r="I520" s="69"/>
      <c r="J520" s="34" t="s">
        <v>768</v>
      </c>
      <c r="K520" s="33" t="s">
        <v>20</v>
      </c>
      <c r="L520" s="36"/>
      <c r="M520" s="59"/>
    </row>
    <row r="521" ht="22.5" customHeight="1">
      <c r="A521" s="33"/>
      <c r="B521" s="33"/>
      <c r="C521" s="57"/>
      <c r="D521" s="33"/>
      <c r="E521" s="39"/>
      <c r="F521" s="34"/>
      <c r="G521" s="56"/>
      <c r="H521" s="36"/>
      <c r="I521" s="69"/>
      <c r="J521" s="34" t="s">
        <v>768</v>
      </c>
      <c r="K521" s="33" t="s">
        <v>20</v>
      </c>
      <c r="L521" s="36"/>
      <c r="M521" s="59"/>
    </row>
    <row r="522" ht="22.5" customHeight="1">
      <c r="A522" s="33"/>
      <c r="B522" s="33"/>
      <c r="C522" s="57"/>
      <c r="D522" s="33"/>
      <c r="E522" s="39"/>
      <c r="F522" s="34"/>
      <c r="G522" s="56"/>
      <c r="H522" s="36"/>
      <c r="I522" s="69"/>
      <c r="J522" s="39"/>
      <c r="K522" s="33"/>
      <c r="L522" s="36"/>
      <c r="M522" s="59"/>
    </row>
    <row r="523" ht="22.5" customHeight="1">
      <c r="A523" s="33"/>
      <c r="B523" s="33"/>
      <c r="C523" s="57"/>
      <c r="D523" s="33"/>
      <c r="E523" s="39"/>
      <c r="F523" s="34"/>
      <c r="G523" s="56"/>
      <c r="H523" s="36"/>
      <c r="I523" s="69"/>
      <c r="J523" s="39"/>
      <c r="K523" s="33"/>
      <c r="L523" s="36"/>
      <c r="M523" s="59"/>
    </row>
    <row r="524" ht="22.5" customHeight="1">
      <c r="A524" s="33"/>
      <c r="B524" s="33"/>
      <c r="C524" s="57"/>
      <c r="D524" s="33"/>
      <c r="E524" s="39"/>
      <c r="F524" s="34"/>
      <c r="G524" s="56"/>
      <c r="H524" s="36"/>
      <c r="I524" s="69"/>
      <c r="J524" s="39"/>
      <c r="K524" s="33"/>
      <c r="L524" s="36"/>
      <c r="M524" s="59"/>
    </row>
    <row r="525" ht="22.5" customHeight="1">
      <c r="A525" s="33"/>
      <c r="B525" s="33"/>
      <c r="C525" s="57"/>
      <c r="D525" s="33"/>
      <c r="E525" s="39"/>
      <c r="F525" s="34"/>
      <c r="G525" s="56"/>
      <c r="H525" s="36"/>
      <c r="I525" s="69"/>
      <c r="J525" s="39"/>
      <c r="K525" s="33"/>
      <c r="L525" s="36"/>
      <c r="M525" s="59"/>
    </row>
    <row r="526" ht="22.5" customHeight="1">
      <c r="A526" s="33"/>
      <c r="B526" s="33"/>
      <c r="C526" s="57"/>
      <c r="D526" s="33"/>
      <c r="E526" s="39"/>
      <c r="F526" s="34"/>
      <c r="G526" s="56"/>
      <c r="H526" s="36"/>
      <c r="I526" s="69"/>
      <c r="J526" s="39"/>
      <c r="K526" s="33"/>
      <c r="L526" s="36"/>
      <c r="M526" s="59"/>
    </row>
    <row r="527" ht="22.5" customHeight="1">
      <c r="A527" s="33"/>
      <c r="B527" s="33"/>
      <c r="C527" s="57"/>
      <c r="D527" s="33"/>
      <c r="E527" s="39"/>
      <c r="F527" s="34"/>
      <c r="G527" s="56"/>
      <c r="H527" s="36"/>
      <c r="I527" s="69"/>
      <c r="J527" s="39"/>
      <c r="K527" s="33"/>
      <c r="L527" s="36"/>
      <c r="M527" s="59"/>
    </row>
    <row r="528" ht="22.5" customHeight="1">
      <c r="A528" s="33"/>
      <c r="B528" s="33"/>
      <c r="C528" s="57"/>
      <c r="D528" s="33"/>
      <c r="E528" s="39"/>
      <c r="F528" s="34"/>
      <c r="G528" s="56"/>
      <c r="H528" s="36"/>
      <c r="I528" s="69"/>
      <c r="J528" s="39"/>
      <c r="K528" s="33"/>
      <c r="L528" s="36"/>
      <c r="M528" s="59"/>
    </row>
    <row r="529" ht="22.5" customHeight="1">
      <c r="A529" s="33"/>
      <c r="B529" s="33"/>
      <c r="C529" s="57"/>
      <c r="D529" s="33"/>
      <c r="E529" s="39"/>
      <c r="F529" s="34"/>
      <c r="G529" s="56"/>
      <c r="H529" s="36"/>
      <c r="I529" s="69"/>
      <c r="J529" s="39"/>
      <c r="K529" s="33"/>
      <c r="L529" s="36"/>
      <c r="M529" s="59"/>
    </row>
    <row r="530" ht="22.5" customHeight="1">
      <c r="A530" s="33"/>
      <c r="B530" s="33"/>
      <c r="C530" s="57"/>
      <c r="D530" s="33"/>
      <c r="E530" s="39"/>
      <c r="F530" s="34"/>
      <c r="G530" s="56"/>
      <c r="H530" s="36"/>
      <c r="I530" s="69"/>
      <c r="J530" s="39"/>
      <c r="K530" s="33"/>
      <c r="L530" s="36"/>
      <c r="M530" s="59"/>
    </row>
    <row r="531" ht="22.5" customHeight="1">
      <c r="A531" s="33"/>
      <c r="B531" s="33"/>
      <c r="C531" s="57"/>
      <c r="D531" s="33"/>
      <c r="E531" s="39"/>
      <c r="F531" s="34"/>
      <c r="G531" s="56"/>
      <c r="H531" s="36"/>
      <c r="I531" s="69"/>
      <c r="J531" s="39"/>
      <c r="K531" s="33"/>
      <c r="L531" s="36"/>
      <c r="M531" s="59"/>
    </row>
    <row r="532" ht="22.5" customHeight="1">
      <c r="A532" s="33"/>
      <c r="B532" s="33"/>
      <c r="C532" s="57"/>
      <c r="D532" s="33"/>
      <c r="E532" s="39"/>
      <c r="F532" s="34"/>
      <c r="G532" s="56"/>
      <c r="H532" s="36"/>
      <c r="I532" s="69"/>
      <c r="J532" s="39"/>
      <c r="K532" s="33"/>
      <c r="L532" s="36"/>
      <c r="M532" s="59"/>
    </row>
    <row r="533" ht="22.5" customHeight="1">
      <c r="A533" s="33"/>
      <c r="B533" s="33"/>
      <c r="C533" s="57"/>
      <c r="D533" s="33"/>
      <c r="E533" s="39"/>
      <c r="F533" s="34"/>
      <c r="G533" s="56"/>
      <c r="H533" s="36"/>
      <c r="I533" s="69"/>
      <c r="J533" s="39"/>
      <c r="K533" s="33"/>
      <c r="L533" s="36"/>
      <c r="M533" s="59"/>
    </row>
    <row r="534" ht="22.5" customHeight="1">
      <c r="A534" s="33"/>
      <c r="B534" s="33"/>
      <c r="C534" s="57"/>
      <c r="D534" s="33"/>
      <c r="E534" s="39"/>
      <c r="F534" s="34"/>
      <c r="G534" s="56"/>
      <c r="H534" s="36"/>
      <c r="I534" s="69"/>
      <c r="J534" s="39"/>
      <c r="K534" s="33"/>
      <c r="L534" s="36"/>
      <c r="M534" s="59"/>
    </row>
    <row r="535" ht="22.5" customHeight="1">
      <c r="A535" s="33"/>
      <c r="B535" s="33"/>
      <c r="C535" s="57"/>
      <c r="D535" s="33"/>
      <c r="E535" s="39"/>
      <c r="F535" s="34"/>
      <c r="G535" s="56"/>
      <c r="H535" s="36"/>
      <c r="I535" s="69"/>
      <c r="J535" s="39"/>
      <c r="K535" s="33"/>
      <c r="L535" s="36"/>
      <c r="M535" s="59"/>
    </row>
    <row r="536" ht="22.5" customHeight="1">
      <c r="A536" s="33"/>
      <c r="B536" s="33"/>
      <c r="C536" s="57"/>
      <c r="D536" s="33"/>
      <c r="E536" s="39"/>
      <c r="F536" s="34"/>
      <c r="G536" s="56"/>
      <c r="H536" s="36"/>
      <c r="I536" s="69"/>
      <c r="J536" s="39"/>
      <c r="K536" s="33"/>
      <c r="L536" s="36"/>
      <c r="M536" s="59"/>
    </row>
    <row r="537" ht="22.5" customHeight="1">
      <c r="A537" s="33"/>
      <c r="B537" s="33"/>
      <c r="C537" s="57"/>
      <c r="D537" s="33"/>
      <c r="E537" s="39"/>
      <c r="F537" s="34"/>
      <c r="G537" s="56"/>
      <c r="H537" s="36"/>
      <c r="I537" s="69"/>
      <c r="J537" s="39"/>
      <c r="K537" s="33"/>
      <c r="L537" s="36"/>
      <c r="M537" s="59"/>
    </row>
    <row r="538" ht="22.5" customHeight="1">
      <c r="A538" s="33"/>
      <c r="B538" s="33"/>
      <c r="C538" s="57"/>
      <c r="D538" s="33"/>
      <c r="E538" s="39"/>
      <c r="F538" s="34"/>
      <c r="G538" s="56"/>
      <c r="H538" s="36"/>
      <c r="I538" s="69"/>
      <c r="J538" s="39"/>
      <c r="K538" s="33"/>
      <c r="L538" s="36"/>
      <c r="M538" s="59"/>
    </row>
    <row r="539" ht="22.5" customHeight="1">
      <c r="A539" s="33"/>
      <c r="B539" s="33"/>
      <c r="C539" s="57"/>
      <c r="D539" s="33"/>
      <c r="E539" s="39"/>
      <c r="F539" s="34"/>
      <c r="G539" s="56"/>
      <c r="H539" s="36"/>
      <c r="I539" s="69"/>
      <c r="J539" s="39"/>
      <c r="K539" s="33"/>
      <c r="L539" s="36"/>
      <c r="M539" s="59"/>
    </row>
    <row r="540" ht="22.5" customHeight="1">
      <c r="A540" s="33"/>
      <c r="B540" s="33"/>
      <c r="C540" s="57"/>
      <c r="D540" s="33"/>
      <c r="E540" s="39"/>
      <c r="F540" s="34"/>
      <c r="G540" s="56"/>
      <c r="H540" s="36"/>
      <c r="I540" s="69"/>
      <c r="J540" s="39"/>
      <c r="K540" s="33"/>
      <c r="L540" s="36"/>
      <c r="M540" s="59"/>
    </row>
    <row r="541" ht="22.5" customHeight="1">
      <c r="A541" s="33"/>
      <c r="B541" s="33"/>
      <c r="C541" s="57"/>
      <c r="D541" s="33"/>
      <c r="E541" s="39"/>
      <c r="F541" s="34"/>
      <c r="G541" s="56"/>
      <c r="H541" s="36"/>
      <c r="I541" s="69"/>
      <c r="J541" s="39"/>
      <c r="K541" s="33"/>
      <c r="L541" s="36"/>
      <c r="M541" s="59"/>
    </row>
    <row r="542" ht="22.5" customHeight="1">
      <c r="A542" s="33"/>
      <c r="B542" s="33"/>
      <c r="C542" s="57"/>
      <c r="D542" s="33"/>
      <c r="E542" s="39"/>
      <c r="F542" s="34"/>
      <c r="G542" s="56"/>
      <c r="H542" s="36"/>
      <c r="I542" s="69"/>
      <c r="J542" s="39"/>
      <c r="K542" s="33"/>
      <c r="L542" s="36"/>
      <c r="M542" s="59"/>
    </row>
    <row r="543" ht="22.5" customHeight="1">
      <c r="A543" s="33"/>
      <c r="B543" s="33"/>
      <c r="C543" s="57"/>
      <c r="D543" s="33"/>
      <c r="E543" s="39"/>
      <c r="F543" s="34"/>
      <c r="G543" s="56"/>
      <c r="H543" s="36"/>
      <c r="I543" s="69"/>
      <c r="J543" s="39"/>
      <c r="K543" s="33"/>
      <c r="L543" s="36"/>
      <c r="M543" s="59"/>
    </row>
    <row r="544" ht="22.5" customHeight="1">
      <c r="A544" s="33"/>
      <c r="B544" s="33"/>
      <c r="C544" s="57"/>
      <c r="D544" s="33"/>
      <c r="E544" s="39"/>
      <c r="F544" s="34"/>
      <c r="G544" s="56"/>
      <c r="H544" s="36"/>
      <c r="I544" s="69"/>
      <c r="J544" s="39"/>
      <c r="K544" s="33"/>
      <c r="L544" s="36"/>
      <c r="M544" s="59"/>
    </row>
    <row r="545" ht="22.5" customHeight="1">
      <c r="A545" s="33"/>
      <c r="B545" s="33"/>
      <c r="C545" s="57"/>
      <c r="D545" s="33"/>
      <c r="E545" s="39"/>
      <c r="F545" s="34"/>
      <c r="G545" s="56"/>
      <c r="H545" s="36"/>
      <c r="I545" s="69"/>
      <c r="J545" s="39"/>
      <c r="K545" s="33"/>
      <c r="L545" s="36"/>
      <c r="M545" s="59"/>
    </row>
    <row r="546" ht="22.5" customHeight="1">
      <c r="A546" s="33"/>
      <c r="B546" s="33"/>
      <c r="C546" s="57"/>
      <c r="D546" s="33"/>
      <c r="E546" s="39"/>
      <c r="F546" s="34"/>
      <c r="G546" s="56"/>
      <c r="H546" s="36"/>
      <c r="I546" s="69"/>
      <c r="J546" s="39"/>
      <c r="K546" s="33"/>
      <c r="L546" s="36"/>
      <c r="M546" s="59"/>
    </row>
    <row r="547" ht="22.5" customHeight="1">
      <c r="A547" s="33"/>
      <c r="B547" s="33"/>
      <c r="C547" s="57"/>
      <c r="D547" s="33"/>
      <c r="E547" s="39"/>
      <c r="F547" s="34"/>
      <c r="G547" s="56"/>
      <c r="H547" s="36"/>
      <c r="I547" s="69"/>
      <c r="J547" s="39"/>
      <c r="K547" s="33"/>
      <c r="L547" s="36"/>
      <c r="M547" s="59"/>
    </row>
    <row r="548" ht="22.5" customHeight="1">
      <c r="A548" s="33"/>
      <c r="B548" s="33"/>
      <c r="C548" s="57"/>
      <c r="D548" s="33"/>
      <c r="E548" s="39"/>
      <c r="F548" s="34"/>
      <c r="G548" s="56"/>
      <c r="H548" s="36"/>
      <c r="I548" s="69"/>
      <c r="J548" s="39"/>
      <c r="K548" s="33"/>
      <c r="L548" s="36"/>
      <c r="M548" s="59"/>
    </row>
    <row r="549" ht="22.5" customHeight="1">
      <c r="A549" s="33"/>
      <c r="B549" s="33"/>
      <c r="C549" s="57"/>
      <c r="D549" s="33"/>
      <c r="E549" s="39"/>
      <c r="F549" s="34"/>
      <c r="G549" s="56"/>
      <c r="H549" s="36"/>
      <c r="I549" s="69"/>
      <c r="J549" s="39"/>
      <c r="K549" s="33"/>
      <c r="L549" s="36"/>
      <c r="M549" s="59"/>
    </row>
    <row r="550" ht="22.5" customHeight="1">
      <c r="A550" s="33"/>
      <c r="B550" s="33"/>
      <c r="C550" s="57"/>
      <c r="D550" s="33"/>
      <c r="E550" s="39"/>
      <c r="F550" s="34"/>
      <c r="G550" s="56"/>
      <c r="H550" s="36"/>
      <c r="I550" s="69"/>
      <c r="J550" s="39"/>
      <c r="K550" s="33"/>
      <c r="L550" s="36"/>
      <c r="M550" s="59"/>
    </row>
    <row r="551" ht="22.5" customHeight="1">
      <c r="A551" s="33"/>
      <c r="B551" s="33"/>
      <c r="C551" s="57"/>
      <c r="D551" s="33"/>
      <c r="E551" s="39"/>
      <c r="F551" s="34"/>
      <c r="G551" s="56"/>
      <c r="H551" s="36"/>
      <c r="I551" s="69"/>
      <c r="J551" s="39"/>
      <c r="K551" s="33"/>
      <c r="L551" s="36"/>
      <c r="M551" s="59"/>
    </row>
    <row r="552" ht="22.5" customHeight="1">
      <c r="A552" s="33"/>
      <c r="B552" s="33"/>
      <c r="C552" s="57"/>
      <c r="D552" s="33"/>
      <c r="E552" s="39"/>
      <c r="F552" s="34"/>
      <c r="G552" s="56"/>
      <c r="H552" s="36"/>
      <c r="I552" s="69"/>
      <c r="J552" s="39"/>
      <c r="K552" s="33"/>
      <c r="L552" s="36"/>
      <c r="M552" s="59"/>
    </row>
    <row r="553" ht="22.5" customHeight="1">
      <c r="A553" s="33"/>
      <c r="B553" s="33"/>
      <c r="C553" s="57"/>
      <c r="D553" s="33"/>
      <c r="E553" s="39"/>
      <c r="F553" s="34"/>
      <c r="G553" s="56"/>
      <c r="H553" s="36"/>
      <c r="I553" s="69"/>
      <c r="J553" s="39"/>
      <c r="K553" s="33"/>
      <c r="L553" s="36"/>
      <c r="M553" s="59"/>
    </row>
    <row r="554" ht="22.5" customHeight="1">
      <c r="A554" s="33"/>
      <c r="B554" s="33"/>
      <c r="C554" s="57"/>
      <c r="D554" s="33"/>
      <c r="E554" s="39"/>
      <c r="F554" s="34"/>
      <c r="G554" s="56"/>
      <c r="H554" s="36"/>
      <c r="I554" s="69"/>
      <c r="J554" s="39"/>
      <c r="K554" s="33"/>
      <c r="L554" s="36"/>
      <c r="M554" s="59"/>
    </row>
    <row r="555" ht="22.5" customHeight="1">
      <c r="A555" s="33"/>
      <c r="B555" s="33"/>
      <c r="C555" s="57"/>
      <c r="D555" s="33"/>
      <c r="E555" s="39"/>
      <c r="F555" s="34"/>
      <c r="G555" s="56"/>
      <c r="H555" s="36"/>
      <c r="I555" s="69"/>
      <c r="J555" s="39"/>
      <c r="K555" s="33"/>
      <c r="L555" s="36"/>
      <c r="M555" s="59"/>
    </row>
    <row r="556" ht="22.5" customHeight="1">
      <c r="A556" s="33"/>
      <c r="B556" s="33"/>
      <c r="C556" s="57"/>
      <c r="D556" s="33"/>
      <c r="E556" s="39"/>
      <c r="F556" s="34"/>
      <c r="G556" s="56"/>
      <c r="H556" s="36"/>
      <c r="I556" s="69"/>
      <c r="J556" s="39"/>
      <c r="K556" s="33" t="s">
        <v>20</v>
      </c>
      <c r="L556" s="36"/>
      <c r="M556" s="59"/>
    </row>
    <row r="557" ht="22.5" customHeight="1">
      <c r="A557" s="33"/>
      <c r="B557" s="33"/>
      <c r="C557" s="57"/>
      <c r="D557" s="33"/>
      <c r="E557" s="39"/>
      <c r="F557" s="34"/>
      <c r="G557" s="56"/>
      <c r="H557" s="36"/>
      <c r="I557" s="69"/>
      <c r="J557" s="39"/>
      <c r="K557" s="33" t="s">
        <v>20</v>
      </c>
      <c r="L557" s="36"/>
      <c r="M557" s="59"/>
    </row>
    <row r="558" ht="22.5" customHeight="1">
      <c r="A558" s="33"/>
      <c r="B558" s="33"/>
      <c r="C558" s="57"/>
      <c r="D558" s="33"/>
      <c r="E558" s="39"/>
      <c r="F558" s="34"/>
      <c r="G558" s="56"/>
      <c r="H558" s="36"/>
      <c r="I558" s="69"/>
      <c r="J558" s="39"/>
      <c r="K558" s="33" t="s">
        <v>20</v>
      </c>
      <c r="L558" s="36"/>
      <c r="M558" s="59"/>
    </row>
    <row r="559" ht="22.5" customHeight="1">
      <c r="A559" s="33"/>
      <c r="B559" s="33"/>
      <c r="C559" s="57"/>
      <c r="D559" s="33"/>
      <c r="E559" s="39"/>
      <c r="F559" s="34"/>
      <c r="G559" s="56"/>
      <c r="H559" s="36"/>
      <c r="I559" s="69"/>
      <c r="J559" s="39"/>
      <c r="K559" s="33" t="s">
        <v>20</v>
      </c>
      <c r="L559" s="36"/>
      <c r="M559" s="59"/>
    </row>
    <row r="560" ht="22.5" customHeight="1">
      <c r="A560" s="33"/>
      <c r="B560" s="33"/>
      <c r="C560" s="57"/>
      <c r="D560" s="33"/>
      <c r="E560" s="39"/>
      <c r="F560" s="34"/>
      <c r="G560" s="56"/>
      <c r="H560" s="36"/>
      <c r="I560" s="69"/>
      <c r="J560" s="39"/>
      <c r="K560" s="33" t="s">
        <v>20</v>
      </c>
      <c r="L560" s="36"/>
      <c r="M560" s="59"/>
    </row>
    <row r="561" ht="22.5" customHeight="1">
      <c r="A561" s="33"/>
      <c r="B561" s="33"/>
      <c r="C561" s="57"/>
      <c r="D561" s="33"/>
      <c r="E561" s="39"/>
      <c r="F561" s="34"/>
      <c r="G561" s="56"/>
      <c r="H561" s="36"/>
      <c r="I561" s="69"/>
      <c r="J561" s="39"/>
      <c r="K561" s="33" t="s">
        <v>20</v>
      </c>
      <c r="L561" s="36"/>
      <c r="M561" s="59"/>
    </row>
    <row r="562" ht="22.5" customHeight="1">
      <c r="A562" s="33"/>
      <c r="B562" s="33"/>
      <c r="C562" s="57"/>
      <c r="D562" s="33"/>
      <c r="E562" s="39"/>
      <c r="F562" s="34"/>
      <c r="G562" s="56"/>
      <c r="H562" s="36"/>
      <c r="I562" s="69"/>
      <c r="J562" s="39"/>
      <c r="K562" s="33" t="s">
        <v>20</v>
      </c>
      <c r="L562" s="36"/>
      <c r="M562" s="59"/>
    </row>
    <row r="563" ht="22.5" customHeight="1">
      <c r="A563" s="33"/>
      <c r="B563" s="33"/>
      <c r="C563" s="57"/>
      <c r="D563" s="33"/>
      <c r="E563" s="39"/>
      <c r="F563" s="34"/>
      <c r="G563" s="56"/>
      <c r="H563" s="36"/>
      <c r="I563" s="69"/>
      <c r="J563" s="39"/>
      <c r="K563" s="33" t="s">
        <v>20</v>
      </c>
      <c r="L563" s="36"/>
      <c r="M563" s="59"/>
    </row>
    <row r="564" ht="22.5" customHeight="1">
      <c r="A564" s="33"/>
      <c r="B564" s="33"/>
      <c r="C564" s="57"/>
      <c r="D564" s="33"/>
      <c r="E564" s="39"/>
      <c r="F564" s="34"/>
      <c r="G564" s="56"/>
      <c r="H564" s="36"/>
      <c r="I564" s="69"/>
      <c r="J564" s="39"/>
      <c r="K564" s="33" t="s">
        <v>20</v>
      </c>
      <c r="L564" s="36"/>
      <c r="M564" s="59"/>
    </row>
    <row r="565" ht="22.5" customHeight="1">
      <c r="A565" s="33"/>
      <c r="B565" s="33"/>
      <c r="C565" s="57"/>
      <c r="D565" s="33"/>
      <c r="E565" s="39"/>
      <c r="F565" s="34"/>
      <c r="G565" s="56"/>
      <c r="H565" s="36"/>
      <c r="I565" s="69"/>
      <c r="J565" s="39"/>
      <c r="K565" s="33" t="s">
        <v>20</v>
      </c>
      <c r="L565" s="36"/>
      <c r="M565" s="59"/>
    </row>
    <row r="566" ht="22.5" customHeight="1">
      <c r="A566" s="33"/>
      <c r="B566" s="33"/>
      <c r="C566" s="57"/>
      <c r="D566" s="33"/>
      <c r="E566" s="39"/>
      <c r="F566" s="34"/>
      <c r="G566" s="56"/>
      <c r="H566" s="36"/>
      <c r="I566" s="69"/>
      <c r="J566" s="39"/>
      <c r="K566" s="33" t="s">
        <v>20</v>
      </c>
      <c r="L566" s="36"/>
      <c r="M566" s="59"/>
    </row>
    <row r="567" ht="22.5" customHeight="1">
      <c r="C567" s="57"/>
      <c r="E567" s="39"/>
      <c r="F567" s="34"/>
      <c r="G567" s="70"/>
      <c r="H567" s="36"/>
      <c r="I567" s="69"/>
      <c r="J567" s="34" t="s">
        <v>19</v>
      </c>
      <c r="K567" s="33" t="s">
        <v>20</v>
      </c>
      <c r="L567" s="36"/>
      <c r="M567" s="58"/>
    </row>
    <row r="568" ht="22.5" customHeight="1">
      <c r="C568" s="57"/>
      <c r="E568" s="34" t="s">
        <v>31</v>
      </c>
      <c r="F568" s="34" t="s">
        <v>74</v>
      </c>
      <c r="G568" s="70"/>
      <c r="H568" s="36">
        <v>0.0</v>
      </c>
      <c r="I568" s="52" t="s">
        <v>771</v>
      </c>
      <c r="J568" s="34" t="s">
        <v>19</v>
      </c>
      <c r="K568" s="33" t="s">
        <v>20</v>
      </c>
      <c r="L568" s="36">
        <v>0.0</v>
      </c>
      <c r="M568" s="58"/>
    </row>
    <row r="569" ht="22.5" customHeight="1">
      <c r="C569" s="57"/>
      <c r="E569" s="34" t="s">
        <v>31</v>
      </c>
      <c r="F569" s="34" t="s">
        <v>74</v>
      </c>
      <c r="G569" s="70"/>
      <c r="H569" s="36">
        <v>0.0</v>
      </c>
      <c r="I569" s="71"/>
      <c r="J569" s="34" t="s">
        <v>19</v>
      </c>
      <c r="K569" s="33" t="s">
        <v>20</v>
      </c>
      <c r="L569" s="36">
        <v>0.0</v>
      </c>
      <c r="M569" s="58"/>
    </row>
    <row r="570">
      <c r="C570" s="72"/>
      <c r="E570" s="12"/>
      <c r="F570" s="12"/>
      <c r="G570" s="73"/>
      <c r="H570" s="74"/>
      <c r="I570" s="75"/>
      <c r="J570" s="12"/>
      <c r="K570" s="15"/>
      <c r="L570" s="14"/>
      <c r="M570" s="76"/>
    </row>
    <row r="571">
      <c r="C571" s="72"/>
      <c r="E571" s="12"/>
      <c r="F571" s="12"/>
      <c r="G571" s="73"/>
      <c r="H571" s="74"/>
      <c r="I571" s="75"/>
      <c r="J571" s="12"/>
      <c r="K571" s="15"/>
      <c r="L571" s="14"/>
      <c r="M571" s="76"/>
    </row>
    <row r="572">
      <c r="C572" s="72"/>
      <c r="E572" s="12"/>
      <c r="F572" s="12"/>
      <c r="G572" s="73"/>
      <c r="H572" s="74"/>
      <c r="I572" s="75"/>
      <c r="J572" s="12"/>
      <c r="K572" s="15"/>
      <c r="L572" s="14"/>
      <c r="M572" s="76"/>
    </row>
    <row r="573">
      <c r="C573" s="72"/>
      <c r="E573" s="12"/>
      <c r="F573" s="12"/>
      <c r="G573" s="73"/>
      <c r="H573" s="74"/>
      <c r="I573" s="75"/>
      <c r="J573" s="12"/>
      <c r="K573" s="15"/>
      <c r="L573" s="14"/>
      <c r="M573" s="76"/>
    </row>
    <row r="574">
      <c r="C574" s="72"/>
      <c r="E574" s="12"/>
      <c r="F574" s="12"/>
      <c r="G574" s="73"/>
      <c r="H574" s="74"/>
      <c r="I574" s="75"/>
      <c r="J574" s="12"/>
      <c r="K574" s="15"/>
      <c r="L574" s="14"/>
      <c r="M574" s="76"/>
    </row>
    <row r="575">
      <c r="C575" s="72"/>
      <c r="E575" s="12"/>
      <c r="F575" s="12"/>
      <c r="G575" s="73"/>
      <c r="H575" s="74"/>
      <c r="I575" s="75"/>
      <c r="J575" s="12"/>
      <c r="K575" s="15"/>
      <c r="L575" s="14"/>
      <c r="M575" s="76"/>
    </row>
    <row r="576">
      <c r="C576" s="72"/>
      <c r="E576" s="12"/>
      <c r="F576" s="12"/>
      <c r="G576" s="73"/>
      <c r="H576" s="74"/>
      <c r="I576" s="75"/>
      <c r="J576" s="12"/>
      <c r="K576" s="15"/>
      <c r="L576" s="14"/>
      <c r="M576" s="76"/>
    </row>
    <row r="577">
      <c r="C577" s="72"/>
      <c r="E577" s="12"/>
      <c r="F577" s="12"/>
      <c r="G577" s="73"/>
      <c r="H577" s="74"/>
      <c r="I577" s="75"/>
      <c r="J577" s="12"/>
      <c r="K577" s="15"/>
      <c r="L577" s="14"/>
      <c r="M577" s="76"/>
    </row>
    <row r="578">
      <c r="C578" s="72"/>
      <c r="E578" s="12"/>
      <c r="F578" s="12"/>
      <c r="G578" s="73"/>
      <c r="H578" s="74"/>
      <c r="I578" s="75"/>
      <c r="J578" s="12"/>
      <c r="K578" s="15"/>
      <c r="L578" s="14"/>
      <c r="M578" s="76"/>
    </row>
    <row r="579">
      <c r="C579" s="72"/>
      <c r="E579" s="12"/>
      <c r="F579" s="12"/>
      <c r="G579" s="73"/>
      <c r="H579" s="74"/>
      <c r="I579" s="75"/>
      <c r="J579" s="12"/>
      <c r="K579" s="15"/>
      <c r="L579" s="14"/>
      <c r="M579" s="76"/>
    </row>
    <row r="580">
      <c r="C580" s="72"/>
      <c r="E580" s="12"/>
      <c r="F580" s="12"/>
      <c r="G580" s="73"/>
      <c r="H580" s="74"/>
      <c r="I580" s="75"/>
      <c r="J580" s="12"/>
      <c r="K580" s="15"/>
      <c r="L580" s="14"/>
      <c r="M580" s="76"/>
    </row>
    <row r="581">
      <c r="C581" s="72"/>
      <c r="E581" s="12"/>
      <c r="F581" s="12"/>
      <c r="G581" s="73"/>
      <c r="H581" s="74"/>
      <c r="I581" s="75"/>
      <c r="J581" s="12"/>
      <c r="K581" s="15"/>
      <c r="L581" s="14"/>
      <c r="M581" s="76"/>
    </row>
    <row r="582">
      <c r="C582" s="72"/>
      <c r="E582" s="12"/>
      <c r="F582" s="12"/>
      <c r="G582" s="73"/>
      <c r="H582" s="74"/>
      <c r="I582" s="75"/>
      <c r="J582" s="12"/>
      <c r="K582" s="15"/>
      <c r="L582" s="14"/>
      <c r="M582" s="76"/>
    </row>
    <row r="583">
      <c r="C583" s="72"/>
      <c r="E583" s="12"/>
      <c r="F583" s="12"/>
      <c r="G583" s="73"/>
      <c r="H583" s="74"/>
      <c r="I583" s="75"/>
      <c r="J583" s="12"/>
      <c r="K583" s="15"/>
      <c r="L583" s="14"/>
      <c r="M583" s="76"/>
    </row>
    <row r="584">
      <c r="C584" s="72"/>
      <c r="E584" s="12"/>
      <c r="F584" s="12"/>
      <c r="G584" s="73"/>
      <c r="H584" s="74"/>
      <c r="I584" s="75"/>
      <c r="J584" s="12"/>
      <c r="K584" s="15"/>
      <c r="L584" s="14"/>
      <c r="M584" s="76"/>
    </row>
    <row r="585">
      <c r="C585" s="72"/>
      <c r="E585" s="12"/>
      <c r="F585" s="12"/>
      <c r="G585" s="73"/>
      <c r="H585" s="74"/>
      <c r="I585" s="75"/>
      <c r="J585" s="12"/>
      <c r="K585" s="15"/>
      <c r="L585" s="14"/>
      <c r="M585" s="76"/>
    </row>
    <row r="586">
      <c r="C586" s="72"/>
      <c r="E586" s="12"/>
      <c r="F586" s="12"/>
      <c r="G586" s="73"/>
      <c r="H586" s="74"/>
      <c r="I586" s="75"/>
      <c r="J586" s="12"/>
      <c r="K586" s="15"/>
      <c r="L586" s="14"/>
      <c r="M586" s="76"/>
    </row>
    <row r="587">
      <c r="C587" s="72"/>
      <c r="E587" s="12"/>
      <c r="F587" s="12"/>
      <c r="G587" s="73"/>
      <c r="H587" s="74"/>
      <c r="I587" s="75"/>
      <c r="J587" s="12"/>
      <c r="K587" s="15"/>
      <c r="L587" s="14"/>
      <c r="M587" s="76"/>
    </row>
    <row r="588">
      <c r="C588" s="72"/>
      <c r="E588" s="12"/>
      <c r="F588" s="12"/>
      <c r="G588" s="73"/>
      <c r="H588" s="74"/>
      <c r="I588" s="75"/>
      <c r="J588" s="12"/>
      <c r="K588" s="15"/>
      <c r="L588" s="14"/>
      <c r="M588" s="76"/>
    </row>
    <row r="589">
      <c r="C589" s="72"/>
      <c r="E589" s="12"/>
      <c r="F589" s="12"/>
      <c r="G589" s="73"/>
      <c r="H589" s="74"/>
      <c r="I589" s="75"/>
      <c r="J589" s="12"/>
      <c r="K589" s="15"/>
      <c r="L589" s="14"/>
      <c r="M589" s="76"/>
    </row>
    <row r="590">
      <c r="C590" s="72"/>
      <c r="E590" s="12"/>
      <c r="F590" s="12"/>
      <c r="G590" s="73"/>
      <c r="H590" s="74"/>
      <c r="I590" s="75"/>
      <c r="J590" s="12"/>
      <c r="K590" s="15"/>
      <c r="L590" s="14"/>
      <c r="M590" s="76"/>
    </row>
    <row r="591">
      <c r="C591" s="72"/>
      <c r="E591" s="12"/>
      <c r="F591" s="12"/>
      <c r="G591" s="73"/>
      <c r="H591" s="74"/>
      <c r="I591" s="75"/>
      <c r="J591" s="12"/>
      <c r="K591" s="15"/>
      <c r="L591" s="14"/>
      <c r="M591" s="76"/>
    </row>
    <row r="592">
      <c r="C592" s="72"/>
      <c r="E592" s="12"/>
      <c r="F592" s="12"/>
      <c r="G592" s="73"/>
      <c r="H592" s="74"/>
      <c r="I592" s="75"/>
      <c r="J592" s="12"/>
      <c r="K592" s="15"/>
      <c r="L592" s="14"/>
      <c r="M592" s="76"/>
    </row>
    <row r="593">
      <c r="C593" s="72"/>
      <c r="E593" s="12"/>
      <c r="F593" s="12"/>
      <c r="G593" s="73"/>
      <c r="H593" s="74"/>
      <c r="I593" s="75"/>
      <c r="J593" s="12"/>
      <c r="K593" s="15"/>
      <c r="L593" s="14"/>
      <c r="M593" s="76"/>
    </row>
    <row r="594">
      <c r="C594" s="72"/>
      <c r="E594" s="12"/>
      <c r="F594" s="12"/>
      <c r="G594" s="73"/>
      <c r="H594" s="74"/>
      <c r="I594" s="75"/>
      <c r="J594" s="12"/>
      <c r="K594" s="15"/>
      <c r="L594" s="14"/>
      <c r="M594" s="76"/>
    </row>
    <row r="595">
      <c r="C595" s="72"/>
      <c r="E595" s="12"/>
      <c r="F595" s="12"/>
      <c r="G595" s="73"/>
      <c r="H595" s="74"/>
      <c r="I595" s="75"/>
      <c r="J595" s="12"/>
      <c r="K595" s="15"/>
      <c r="L595" s="14"/>
      <c r="M595" s="76"/>
    </row>
    <row r="596">
      <c r="C596" s="72"/>
      <c r="E596" s="12"/>
      <c r="F596" s="12"/>
      <c r="G596" s="73"/>
      <c r="H596" s="74"/>
      <c r="I596" s="75"/>
      <c r="J596" s="12"/>
      <c r="K596" s="15"/>
      <c r="L596" s="14"/>
      <c r="M596" s="76"/>
    </row>
    <row r="597">
      <c r="C597" s="72"/>
      <c r="E597" s="12"/>
      <c r="F597" s="12"/>
      <c r="G597" s="73"/>
      <c r="H597" s="74"/>
      <c r="I597" s="75"/>
      <c r="J597" s="12"/>
      <c r="K597" s="15"/>
      <c r="L597" s="14"/>
      <c r="M597" s="76"/>
    </row>
    <row r="598">
      <c r="C598" s="72"/>
      <c r="E598" s="12"/>
      <c r="F598" s="12"/>
      <c r="G598" s="73"/>
      <c r="H598" s="74"/>
      <c r="I598" s="75"/>
      <c r="J598" s="12"/>
      <c r="K598" s="15"/>
      <c r="L598" s="14"/>
      <c r="M598" s="76"/>
    </row>
    <row r="599">
      <c r="C599" s="72"/>
      <c r="E599" s="12"/>
      <c r="F599" s="12"/>
      <c r="G599" s="73"/>
      <c r="H599" s="74"/>
      <c r="I599" s="75"/>
      <c r="J599" s="12"/>
      <c r="K599" s="15"/>
      <c r="L599" s="14"/>
      <c r="M599" s="76"/>
    </row>
    <row r="600">
      <c r="C600" s="72"/>
      <c r="E600" s="12"/>
      <c r="F600" s="12"/>
      <c r="G600" s="73"/>
      <c r="H600" s="74"/>
      <c r="I600" s="75"/>
      <c r="J600" s="12"/>
      <c r="K600" s="15"/>
      <c r="L600" s="14"/>
      <c r="M600" s="76"/>
    </row>
    <row r="601">
      <c r="C601" s="72"/>
      <c r="E601" s="12"/>
      <c r="F601" s="12"/>
      <c r="G601" s="73"/>
      <c r="H601" s="74"/>
      <c r="I601" s="75"/>
      <c r="J601" s="12"/>
      <c r="K601" s="15"/>
      <c r="L601" s="14"/>
      <c r="M601" s="76"/>
    </row>
    <row r="602">
      <c r="C602" s="72"/>
      <c r="E602" s="12"/>
      <c r="F602" s="12"/>
      <c r="G602" s="73"/>
      <c r="H602" s="74"/>
      <c r="I602" s="75"/>
      <c r="J602" s="12"/>
      <c r="K602" s="15"/>
      <c r="L602" s="14"/>
      <c r="M602" s="76"/>
    </row>
    <row r="603">
      <c r="C603" s="72"/>
      <c r="E603" s="12"/>
      <c r="F603" s="12"/>
      <c r="G603" s="73"/>
      <c r="H603" s="74"/>
      <c r="I603" s="75"/>
      <c r="J603" s="12"/>
      <c r="K603" s="15"/>
      <c r="L603" s="14"/>
      <c r="M603" s="76"/>
    </row>
    <row r="604">
      <c r="C604" s="72"/>
      <c r="E604" s="12"/>
      <c r="F604" s="12"/>
      <c r="G604" s="73"/>
      <c r="H604" s="74"/>
      <c r="I604" s="75"/>
      <c r="J604" s="12"/>
      <c r="K604" s="15"/>
      <c r="L604" s="14"/>
      <c r="M604" s="76"/>
    </row>
    <row r="605">
      <c r="C605" s="72"/>
      <c r="E605" s="12"/>
      <c r="F605" s="12"/>
      <c r="G605" s="73"/>
      <c r="H605" s="74"/>
      <c r="I605" s="75"/>
      <c r="J605" s="12"/>
      <c r="K605" s="15"/>
      <c r="L605" s="14"/>
      <c r="M605" s="76"/>
    </row>
    <row r="606">
      <c r="C606" s="72"/>
      <c r="E606" s="12"/>
      <c r="F606" s="12"/>
      <c r="G606" s="73"/>
      <c r="H606" s="74"/>
      <c r="I606" s="75"/>
      <c r="J606" s="12"/>
      <c r="K606" s="15"/>
      <c r="L606" s="14"/>
      <c r="M606" s="76"/>
    </row>
    <row r="607">
      <c r="C607" s="72"/>
      <c r="E607" s="12"/>
      <c r="F607" s="12"/>
      <c r="G607" s="73"/>
      <c r="H607" s="74"/>
      <c r="I607" s="75"/>
      <c r="J607" s="12"/>
      <c r="K607" s="15"/>
      <c r="L607" s="14"/>
      <c r="M607" s="76"/>
    </row>
    <row r="608">
      <c r="C608" s="72"/>
      <c r="E608" s="12"/>
      <c r="F608" s="12"/>
      <c r="G608" s="73"/>
      <c r="H608" s="74"/>
      <c r="I608" s="75"/>
      <c r="J608" s="12"/>
      <c r="K608" s="15"/>
      <c r="L608" s="14"/>
      <c r="M608" s="76"/>
    </row>
    <row r="609">
      <c r="C609" s="72"/>
      <c r="E609" s="12"/>
      <c r="F609" s="12"/>
      <c r="G609" s="73"/>
      <c r="H609" s="74"/>
      <c r="I609" s="75"/>
      <c r="J609" s="12"/>
      <c r="K609" s="15"/>
      <c r="L609" s="14"/>
      <c r="M609" s="76"/>
    </row>
    <row r="610">
      <c r="C610" s="72"/>
      <c r="E610" s="12"/>
      <c r="F610" s="12"/>
      <c r="G610" s="73"/>
      <c r="H610" s="74"/>
      <c r="I610" s="75"/>
      <c r="J610" s="12"/>
      <c r="K610" s="15"/>
      <c r="L610" s="14"/>
      <c r="M610" s="76"/>
    </row>
    <row r="611">
      <c r="C611" s="72"/>
      <c r="E611" s="12"/>
      <c r="F611" s="12"/>
      <c r="G611" s="73"/>
      <c r="H611" s="74"/>
      <c r="I611" s="75"/>
      <c r="J611" s="12"/>
      <c r="K611" s="15"/>
      <c r="L611" s="14"/>
      <c r="M611" s="76"/>
    </row>
    <row r="612">
      <c r="C612" s="72"/>
      <c r="E612" s="12"/>
      <c r="F612" s="12"/>
      <c r="G612" s="73"/>
      <c r="H612" s="74"/>
      <c r="I612" s="75"/>
      <c r="J612" s="12"/>
      <c r="K612" s="15"/>
      <c r="L612" s="14"/>
      <c r="M612" s="76"/>
    </row>
    <row r="613">
      <c r="C613" s="72"/>
      <c r="E613" s="12"/>
      <c r="F613" s="12"/>
      <c r="G613" s="73"/>
      <c r="H613" s="74"/>
      <c r="I613" s="75"/>
      <c r="J613" s="12"/>
      <c r="K613" s="15"/>
      <c r="L613" s="14"/>
      <c r="M613" s="76"/>
    </row>
    <row r="614">
      <c r="C614" s="72"/>
      <c r="E614" s="12"/>
      <c r="F614" s="12"/>
      <c r="G614" s="73"/>
      <c r="H614" s="74"/>
      <c r="I614" s="75"/>
      <c r="J614" s="12"/>
      <c r="K614" s="15"/>
      <c r="L614" s="14"/>
      <c r="M614" s="76"/>
    </row>
    <row r="615">
      <c r="C615" s="72"/>
      <c r="E615" s="12"/>
      <c r="F615" s="12"/>
      <c r="G615" s="73"/>
      <c r="H615" s="74"/>
      <c r="I615" s="75"/>
      <c r="J615" s="12"/>
      <c r="K615" s="15"/>
      <c r="L615" s="14"/>
      <c r="M615" s="76"/>
    </row>
    <row r="616">
      <c r="C616" s="72"/>
      <c r="E616" s="12"/>
      <c r="F616" s="12"/>
      <c r="G616" s="73"/>
      <c r="H616" s="74"/>
      <c r="I616" s="75"/>
      <c r="J616" s="12"/>
      <c r="K616" s="15"/>
      <c r="L616" s="14"/>
      <c r="M616" s="76"/>
    </row>
    <row r="617">
      <c r="C617" s="72"/>
      <c r="E617" s="12"/>
      <c r="F617" s="12"/>
      <c r="G617" s="73"/>
      <c r="H617" s="74"/>
      <c r="I617" s="75"/>
      <c r="J617" s="12"/>
      <c r="K617" s="15"/>
      <c r="L617" s="14"/>
      <c r="M617" s="76"/>
    </row>
    <row r="618">
      <c r="C618" s="72"/>
      <c r="E618" s="12"/>
      <c r="F618" s="12"/>
      <c r="G618" s="73"/>
      <c r="H618" s="74"/>
      <c r="I618" s="75"/>
      <c r="J618" s="12"/>
      <c r="K618" s="15"/>
      <c r="L618" s="14"/>
      <c r="M618" s="76"/>
    </row>
    <row r="619">
      <c r="C619" s="72"/>
      <c r="E619" s="12"/>
      <c r="F619" s="12"/>
      <c r="G619" s="73"/>
      <c r="H619" s="74"/>
      <c r="I619" s="75"/>
      <c r="J619" s="12"/>
      <c r="K619" s="15"/>
      <c r="L619" s="14"/>
      <c r="M619" s="76"/>
    </row>
    <row r="620">
      <c r="C620" s="72"/>
      <c r="E620" s="12"/>
      <c r="F620" s="12"/>
      <c r="G620" s="73"/>
      <c r="H620" s="74"/>
      <c r="I620" s="75"/>
      <c r="J620" s="12"/>
      <c r="K620" s="15"/>
      <c r="L620" s="14"/>
      <c r="M620" s="76"/>
    </row>
    <row r="621">
      <c r="C621" s="72"/>
      <c r="E621" s="12"/>
      <c r="F621" s="12"/>
      <c r="G621" s="73"/>
      <c r="H621" s="74"/>
      <c r="I621" s="75"/>
      <c r="J621" s="12"/>
      <c r="K621" s="15"/>
      <c r="L621" s="14"/>
      <c r="M621" s="76"/>
    </row>
    <row r="622">
      <c r="C622" s="72"/>
      <c r="E622" s="12"/>
      <c r="F622" s="12"/>
      <c r="G622" s="73"/>
      <c r="H622" s="74"/>
      <c r="I622" s="75"/>
      <c r="J622" s="12"/>
      <c r="K622" s="15"/>
      <c r="L622" s="14"/>
      <c r="M622" s="76"/>
    </row>
    <row r="623">
      <c r="C623" s="72"/>
      <c r="E623" s="12"/>
      <c r="F623" s="12"/>
      <c r="G623" s="73"/>
      <c r="H623" s="74"/>
      <c r="I623" s="75"/>
      <c r="J623" s="12"/>
      <c r="K623" s="15"/>
      <c r="L623" s="14"/>
      <c r="M623" s="76"/>
    </row>
    <row r="624">
      <c r="C624" s="72"/>
      <c r="E624" s="12"/>
      <c r="F624" s="12"/>
      <c r="G624" s="73"/>
      <c r="H624" s="74"/>
      <c r="I624" s="75"/>
      <c r="J624" s="12"/>
      <c r="K624" s="15"/>
      <c r="L624" s="14"/>
      <c r="M624" s="76"/>
    </row>
    <row r="625">
      <c r="C625" s="72"/>
      <c r="E625" s="12"/>
      <c r="F625" s="12"/>
      <c r="G625" s="73"/>
      <c r="H625" s="74"/>
      <c r="I625" s="75"/>
      <c r="J625" s="12"/>
      <c r="K625" s="15"/>
      <c r="L625" s="14"/>
      <c r="M625" s="76"/>
    </row>
    <row r="626">
      <c r="C626" s="72"/>
      <c r="E626" s="12"/>
      <c r="F626" s="12"/>
      <c r="G626" s="73"/>
      <c r="H626" s="74"/>
      <c r="I626" s="75"/>
      <c r="J626" s="12"/>
      <c r="K626" s="15"/>
      <c r="L626" s="14"/>
      <c r="M626" s="76"/>
    </row>
    <row r="627">
      <c r="C627" s="72"/>
      <c r="E627" s="12"/>
      <c r="F627" s="12"/>
      <c r="G627" s="73"/>
      <c r="H627" s="74"/>
      <c r="I627" s="75"/>
      <c r="J627" s="12"/>
      <c r="K627" s="15"/>
      <c r="L627" s="14"/>
      <c r="M627" s="76"/>
    </row>
    <row r="628">
      <c r="C628" s="72"/>
      <c r="E628" s="12"/>
      <c r="F628" s="12"/>
      <c r="G628" s="73"/>
      <c r="H628" s="74"/>
      <c r="I628" s="75"/>
      <c r="J628" s="12"/>
      <c r="K628" s="15"/>
      <c r="L628" s="14"/>
      <c r="M628" s="76"/>
    </row>
    <row r="629">
      <c r="C629" s="72"/>
      <c r="E629" s="12"/>
      <c r="F629" s="12"/>
      <c r="G629" s="73"/>
      <c r="H629" s="74"/>
      <c r="I629" s="75"/>
      <c r="J629" s="12"/>
      <c r="K629" s="15"/>
      <c r="L629" s="14"/>
      <c r="M629" s="76"/>
    </row>
    <row r="630">
      <c r="C630" s="72"/>
      <c r="E630" s="12"/>
      <c r="F630" s="12"/>
      <c r="G630" s="73"/>
      <c r="H630" s="74"/>
      <c r="I630" s="75"/>
      <c r="J630" s="12"/>
      <c r="K630" s="15"/>
      <c r="L630" s="14"/>
      <c r="M630" s="76"/>
    </row>
    <row r="631">
      <c r="C631" s="72"/>
      <c r="E631" s="12"/>
      <c r="F631" s="12"/>
      <c r="G631" s="73"/>
      <c r="H631" s="74"/>
      <c r="I631" s="75"/>
      <c r="J631" s="12"/>
      <c r="K631" s="15"/>
      <c r="L631" s="14"/>
      <c r="M631" s="76"/>
    </row>
    <row r="632">
      <c r="C632" s="72"/>
      <c r="E632" s="12"/>
      <c r="F632" s="12"/>
      <c r="G632" s="73"/>
      <c r="H632" s="74"/>
      <c r="I632" s="75"/>
      <c r="J632" s="12"/>
      <c r="K632" s="15"/>
      <c r="L632" s="14"/>
      <c r="M632" s="76"/>
    </row>
    <row r="633">
      <c r="C633" s="72"/>
      <c r="E633" s="12"/>
      <c r="F633" s="12"/>
      <c r="G633" s="73"/>
      <c r="H633" s="74"/>
      <c r="I633" s="75"/>
      <c r="J633" s="12"/>
      <c r="K633" s="15"/>
      <c r="L633" s="14"/>
      <c r="M633" s="76"/>
    </row>
    <row r="634">
      <c r="C634" s="72"/>
      <c r="E634" s="12"/>
      <c r="F634" s="12"/>
      <c r="G634" s="73"/>
      <c r="H634" s="74"/>
      <c r="I634" s="75"/>
      <c r="J634" s="12"/>
      <c r="K634" s="15"/>
      <c r="L634" s="14"/>
      <c r="M634" s="76"/>
    </row>
    <row r="635">
      <c r="C635" s="72"/>
      <c r="E635" s="12"/>
      <c r="F635" s="12"/>
      <c r="G635" s="73"/>
      <c r="H635" s="74"/>
      <c r="I635" s="75"/>
      <c r="J635" s="12"/>
      <c r="K635" s="15"/>
      <c r="L635" s="14"/>
      <c r="M635" s="76"/>
    </row>
    <row r="636">
      <c r="C636" s="72"/>
      <c r="E636" s="12"/>
      <c r="F636" s="12"/>
      <c r="G636" s="73"/>
      <c r="H636" s="74"/>
      <c r="I636" s="75"/>
      <c r="J636" s="12"/>
      <c r="K636" s="15"/>
      <c r="L636" s="14"/>
      <c r="M636" s="76"/>
    </row>
    <row r="637">
      <c r="C637" s="72"/>
      <c r="E637" s="12"/>
      <c r="F637" s="12"/>
      <c r="G637" s="73"/>
      <c r="H637" s="74"/>
      <c r="I637" s="75"/>
      <c r="J637" s="12"/>
      <c r="K637" s="15"/>
      <c r="L637" s="14"/>
      <c r="M637" s="76"/>
    </row>
    <row r="638">
      <c r="C638" s="72"/>
      <c r="E638" s="12"/>
      <c r="F638" s="12"/>
      <c r="G638" s="73"/>
      <c r="H638" s="74"/>
      <c r="I638" s="75"/>
      <c r="J638" s="12"/>
      <c r="K638" s="15"/>
      <c r="L638" s="14"/>
      <c r="M638" s="76"/>
    </row>
    <row r="639">
      <c r="C639" s="72"/>
      <c r="E639" s="12"/>
      <c r="F639" s="12"/>
      <c r="G639" s="73"/>
      <c r="H639" s="74"/>
      <c r="I639" s="75"/>
      <c r="J639" s="12"/>
      <c r="K639" s="15"/>
      <c r="L639" s="14"/>
      <c r="M639" s="76"/>
    </row>
    <row r="640">
      <c r="C640" s="72"/>
      <c r="E640" s="12"/>
      <c r="F640" s="12"/>
      <c r="G640" s="73"/>
      <c r="H640" s="74"/>
      <c r="I640" s="75"/>
      <c r="J640" s="12"/>
      <c r="K640" s="15"/>
      <c r="L640" s="14"/>
      <c r="M640" s="76"/>
    </row>
    <row r="641">
      <c r="C641" s="72"/>
      <c r="E641" s="12"/>
      <c r="F641" s="12"/>
      <c r="G641" s="73"/>
      <c r="H641" s="74"/>
      <c r="I641" s="75"/>
      <c r="J641" s="12"/>
      <c r="K641" s="15"/>
      <c r="L641" s="14"/>
      <c r="M641" s="76"/>
    </row>
    <row r="642">
      <c r="C642" s="72"/>
      <c r="E642" s="12"/>
      <c r="F642" s="12"/>
      <c r="G642" s="73"/>
      <c r="H642" s="74"/>
      <c r="I642" s="75"/>
      <c r="J642" s="12"/>
      <c r="K642" s="15"/>
      <c r="L642" s="14"/>
      <c r="M642" s="76"/>
    </row>
    <row r="643">
      <c r="C643" s="72"/>
      <c r="E643" s="12"/>
      <c r="F643" s="12"/>
      <c r="G643" s="73"/>
      <c r="H643" s="74"/>
      <c r="I643" s="75"/>
      <c r="J643" s="12"/>
      <c r="K643" s="15"/>
      <c r="L643" s="14"/>
      <c r="M643" s="76"/>
    </row>
    <row r="644">
      <c r="C644" s="72"/>
      <c r="E644" s="12"/>
      <c r="F644" s="12"/>
      <c r="G644" s="73"/>
      <c r="H644" s="74"/>
      <c r="I644" s="75"/>
      <c r="J644" s="12"/>
      <c r="K644" s="15"/>
      <c r="L644" s="14"/>
      <c r="M644" s="76"/>
    </row>
    <row r="645">
      <c r="C645" s="72"/>
      <c r="E645" s="12"/>
      <c r="F645" s="12"/>
      <c r="G645" s="73"/>
      <c r="H645" s="74"/>
      <c r="I645" s="75"/>
      <c r="J645" s="12"/>
      <c r="K645" s="15"/>
      <c r="L645" s="14"/>
      <c r="M645" s="76"/>
    </row>
    <row r="646">
      <c r="C646" s="72"/>
      <c r="E646" s="12"/>
      <c r="F646" s="12"/>
      <c r="G646" s="73"/>
      <c r="H646" s="74"/>
      <c r="I646" s="75"/>
      <c r="J646" s="12"/>
      <c r="K646" s="15"/>
      <c r="L646" s="14"/>
      <c r="M646" s="76"/>
    </row>
    <row r="647">
      <c r="C647" s="72"/>
      <c r="E647" s="12"/>
      <c r="F647" s="12"/>
      <c r="G647" s="73"/>
      <c r="H647" s="74"/>
      <c r="I647" s="75"/>
      <c r="J647" s="12"/>
      <c r="K647" s="15"/>
      <c r="L647" s="14"/>
      <c r="M647" s="76"/>
    </row>
    <row r="648">
      <c r="C648" s="72"/>
      <c r="E648" s="12"/>
      <c r="F648" s="12"/>
      <c r="G648" s="73"/>
      <c r="H648" s="74"/>
      <c r="I648" s="75"/>
      <c r="J648" s="12"/>
      <c r="K648" s="15"/>
      <c r="L648" s="14"/>
      <c r="M648" s="76"/>
    </row>
    <row r="649">
      <c r="C649" s="72"/>
      <c r="E649" s="12"/>
      <c r="F649" s="12"/>
      <c r="G649" s="73"/>
      <c r="H649" s="74"/>
      <c r="I649" s="75"/>
      <c r="J649" s="12"/>
      <c r="K649" s="15"/>
      <c r="L649" s="14"/>
      <c r="M649" s="76"/>
    </row>
    <row r="650">
      <c r="C650" s="72"/>
      <c r="E650" s="12"/>
      <c r="F650" s="12"/>
      <c r="G650" s="73"/>
      <c r="H650" s="74"/>
      <c r="I650" s="75"/>
      <c r="J650" s="12"/>
      <c r="K650" s="15"/>
      <c r="L650" s="14"/>
      <c r="M650" s="76"/>
    </row>
    <row r="651">
      <c r="C651" s="72"/>
      <c r="E651" s="12"/>
      <c r="F651" s="12"/>
      <c r="G651" s="73"/>
      <c r="H651" s="74"/>
      <c r="I651" s="75"/>
      <c r="J651" s="12"/>
      <c r="K651" s="15"/>
      <c r="L651" s="14"/>
      <c r="M651" s="76"/>
    </row>
    <row r="652">
      <c r="C652" s="72"/>
      <c r="E652" s="12"/>
      <c r="F652" s="12"/>
      <c r="G652" s="73"/>
      <c r="H652" s="74"/>
      <c r="I652" s="75"/>
      <c r="J652" s="12"/>
      <c r="K652" s="15"/>
      <c r="L652" s="14"/>
      <c r="M652" s="76"/>
    </row>
    <row r="653">
      <c r="C653" s="72"/>
      <c r="E653" s="12"/>
      <c r="F653" s="12"/>
      <c r="G653" s="73"/>
      <c r="H653" s="74"/>
      <c r="I653" s="75"/>
      <c r="J653" s="12"/>
      <c r="K653" s="15"/>
      <c r="L653" s="14"/>
      <c r="M653" s="76"/>
    </row>
    <row r="654">
      <c r="C654" s="72"/>
      <c r="E654" s="12"/>
      <c r="F654" s="12"/>
      <c r="G654" s="73"/>
      <c r="H654" s="74"/>
      <c r="I654" s="75"/>
      <c r="J654" s="12"/>
      <c r="K654" s="15"/>
      <c r="L654" s="14"/>
      <c r="M654" s="76"/>
    </row>
    <row r="655">
      <c r="C655" s="72"/>
      <c r="E655" s="12"/>
      <c r="F655" s="12"/>
      <c r="G655" s="73"/>
      <c r="H655" s="74"/>
      <c r="I655" s="75"/>
      <c r="J655" s="12"/>
      <c r="K655" s="15"/>
      <c r="L655" s="14"/>
      <c r="M655" s="76"/>
    </row>
    <row r="656">
      <c r="C656" s="72"/>
      <c r="E656" s="12"/>
      <c r="F656" s="12"/>
      <c r="G656" s="73"/>
      <c r="H656" s="74"/>
      <c r="I656" s="75"/>
      <c r="J656" s="12"/>
      <c r="K656" s="15"/>
      <c r="L656" s="14"/>
      <c r="M656" s="76"/>
    </row>
    <row r="657">
      <c r="C657" s="72"/>
      <c r="E657" s="12"/>
      <c r="F657" s="12"/>
      <c r="G657" s="73"/>
      <c r="H657" s="74"/>
      <c r="I657" s="75"/>
      <c r="J657" s="12"/>
      <c r="K657" s="15"/>
      <c r="L657" s="14"/>
      <c r="M657" s="76"/>
    </row>
    <row r="658">
      <c r="C658" s="72"/>
      <c r="E658" s="12"/>
      <c r="F658" s="12"/>
      <c r="G658" s="73"/>
      <c r="H658" s="74"/>
      <c r="I658" s="75"/>
      <c r="J658" s="12"/>
      <c r="K658" s="15"/>
      <c r="L658" s="14"/>
      <c r="M658" s="76"/>
    </row>
    <row r="659">
      <c r="C659" s="72"/>
      <c r="E659" s="12"/>
      <c r="F659" s="12"/>
      <c r="G659" s="73"/>
      <c r="H659" s="74"/>
      <c r="I659" s="75"/>
      <c r="J659" s="12"/>
      <c r="K659" s="15"/>
      <c r="L659" s="14"/>
      <c r="M659" s="76"/>
    </row>
    <row r="660">
      <c r="C660" s="72"/>
      <c r="E660" s="12"/>
      <c r="F660" s="12"/>
      <c r="G660" s="73"/>
      <c r="H660" s="74"/>
      <c r="I660" s="75"/>
      <c r="J660" s="12"/>
      <c r="K660" s="15"/>
      <c r="L660" s="14"/>
      <c r="M660" s="76"/>
    </row>
    <row r="661">
      <c r="C661" s="72"/>
      <c r="E661" s="12"/>
      <c r="F661" s="12"/>
      <c r="G661" s="73"/>
      <c r="H661" s="74"/>
      <c r="I661" s="75"/>
      <c r="J661" s="12"/>
      <c r="K661" s="15"/>
      <c r="L661" s="14"/>
      <c r="M661" s="76"/>
    </row>
    <row r="662">
      <c r="C662" s="72"/>
      <c r="E662" s="12"/>
      <c r="F662" s="12"/>
      <c r="G662" s="73"/>
      <c r="H662" s="74"/>
      <c r="I662" s="75"/>
      <c r="J662" s="12"/>
      <c r="K662" s="15"/>
      <c r="L662" s="14"/>
      <c r="M662" s="76"/>
    </row>
    <row r="663">
      <c r="C663" s="72"/>
      <c r="E663" s="12"/>
      <c r="F663" s="12"/>
      <c r="G663" s="73"/>
      <c r="H663" s="74"/>
      <c r="I663" s="75"/>
      <c r="J663" s="12"/>
      <c r="K663" s="15"/>
      <c r="L663" s="14"/>
      <c r="M663" s="76"/>
    </row>
    <row r="664">
      <c r="C664" s="72"/>
      <c r="E664" s="12"/>
      <c r="F664" s="12"/>
      <c r="G664" s="73"/>
      <c r="H664" s="74"/>
      <c r="I664" s="75"/>
      <c r="J664" s="12"/>
      <c r="K664" s="15"/>
      <c r="L664" s="14"/>
      <c r="M664" s="76"/>
    </row>
    <row r="665">
      <c r="C665" s="72"/>
      <c r="E665" s="12"/>
      <c r="F665" s="12"/>
      <c r="G665" s="73"/>
      <c r="H665" s="74"/>
      <c r="I665" s="75"/>
      <c r="J665" s="12"/>
      <c r="K665" s="15"/>
      <c r="L665" s="14"/>
      <c r="M665" s="76"/>
    </row>
    <row r="666">
      <c r="C666" s="72"/>
      <c r="E666" s="12"/>
      <c r="F666" s="12"/>
      <c r="G666" s="73"/>
      <c r="H666" s="74"/>
      <c r="I666" s="75"/>
      <c r="J666" s="12"/>
      <c r="K666" s="15"/>
      <c r="L666" s="14"/>
      <c r="M666" s="76"/>
    </row>
    <row r="667">
      <c r="C667" s="72"/>
      <c r="E667" s="12"/>
      <c r="F667" s="12"/>
      <c r="G667" s="73"/>
      <c r="H667" s="74"/>
      <c r="I667" s="75"/>
      <c r="J667" s="12"/>
      <c r="K667" s="15"/>
      <c r="L667" s="14"/>
      <c r="M667" s="76"/>
    </row>
    <row r="668">
      <c r="C668" s="72"/>
      <c r="E668" s="12"/>
      <c r="F668" s="12"/>
      <c r="G668" s="73"/>
      <c r="H668" s="74"/>
      <c r="I668" s="75"/>
      <c r="J668" s="12"/>
      <c r="K668" s="15"/>
      <c r="L668" s="14"/>
      <c r="M668" s="76"/>
    </row>
    <row r="669">
      <c r="C669" s="72"/>
      <c r="E669" s="12"/>
      <c r="F669" s="12"/>
      <c r="G669" s="73"/>
      <c r="H669" s="74"/>
      <c r="I669" s="75"/>
      <c r="J669" s="12"/>
      <c r="K669" s="15"/>
      <c r="L669" s="14"/>
      <c r="M669" s="76"/>
    </row>
    <row r="670">
      <c r="C670" s="72"/>
      <c r="E670" s="12"/>
      <c r="F670" s="12"/>
      <c r="G670" s="73"/>
      <c r="H670" s="74"/>
      <c r="I670" s="75"/>
      <c r="J670" s="12"/>
      <c r="K670" s="15"/>
      <c r="L670" s="14"/>
      <c r="M670" s="76"/>
    </row>
    <row r="671">
      <c r="C671" s="72"/>
      <c r="G671" s="73"/>
      <c r="H671" s="73"/>
      <c r="I671" s="75"/>
    </row>
    <row r="672">
      <c r="C672" s="72"/>
      <c r="G672" s="73"/>
      <c r="H672" s="73"/>
      <c r="I672" s="75"/>
    </row>
    <row r="673">
      <c r="C673" s="72"/>
      <c r="G673" s="73"/>
      <c r="H673" s="73"/>
      <c r="I673" s="75"/>
    </row>
    <row r="674">
      <c r="C674" s="72"/>
      <c r="G674" s="73"/>
      <c r="H674" s="73"/>
      <c r="I674" s="75"/>
    </row>
    <row r="675">
      <c r="C675" s="72"/>
      <c r="G675" s="73"/>
      <c r="H675" s="73"/>
      <c r="I675" s="75"/>
    </row>
    <row r="676">
      <c r="C676" s="72"/>
      <c r="G676" s="73"/>
      <c r="H676" s="73"/>
      <c r="I676" s="75"/>
    </row>
    <row r="677">
      <c r="C677" s="72"/>
      <c r="G677" s="73"/>
      <c r="H677" s="73"/>
      <c r="I677" s="75"/>
    </row>
    <row r="678">
      <c r="C678" s="72"/>
      <c r="G678" s="73"/>
      <c r="H678" s="73"/>
      <c r="I678" s="75"/>
    </row>
    <row r="679">
      <c r="C679" s="72"/>
      <c r="G679" s="73"/>
      <c r="H679" s="73"/>
      <c r="I679" s="75"/>
    </row>
    <row r="680">
      <c r="C680" s="72"/>
      <c r="G680" s="73"/>
      <c r="H680" s="73"/>
      <c r="I680" s="75"/>
    </row>
    <row r="681">
      <c r="C681" s="72"/>
      <c r="G681" s="73"/>
      <c r="H681" s="73"/>
      <c r="I681" s="75"/>
    </row>
    <row r="682">
      <c r="C682" s="72"/>
      <c r="G682" s="73"/>
      <c r="H682" s="73"/>
      <c r="I682" s="75"/>
    </row>
    <row r="683">
      <c r="C683" s="72"/>
      <c r="G683" s="73"/>
      <c r="H683" s="73"/>
      <c r="I683" s="75"/>
    </row>
    <row r="684">
      <c r="C684" s="72"/>
      <c r="G684" s="73"/>
      <c r="H684" s="73"/>
      <c r="I684" s="75"/>
    </row>
    <row r="685">
      <c r="C685" s="72"/>
      <c r="G685" s="73"/>
      <c r="H685" s="73"/>
      <c r="I685" s="75"/>
    </row>
    <row r="686">
      <c r="C686" s="72"/>
      <c r="G686" s="73"/>
      <c r="H686" s="73"/>
      <c r="I686" s="75"/>
    </row>
    <row r="687">
      <c r="C687" s="72"/>
      <c r="G687" s="73"/>
      <c r="H687" s="73"/>
      <c r="I687" s="75"/>
    </row>
    <row r="688">
      <c r="C688" s="72"/>
      <c r="G688" s="73"/>
      <c r="H688" s="73"/>
      <c r="I688" s="75"/>
    </row>
    <row r="689">
      <c r="C689" s="72"/>
      <c r="G689" s="73"/>
      <c r="H689" s="73"/>
      <c r="I689" s="75"/>
    </row>
    <row r="690">
      <c r="C690" s="72"/>
      <c r="G690" s="73"/>
      <c r="H690" s="73"/>
      <c r="I690" s="75"/>
    </row>
    <row r="691">
      <c r="C691" s="72"/>
      <c r="G691" s="73"/>
      <c r="H691" s="73"/>
      <c r="I691" s="75"/>
    </row>
    <row r="692">
      <c r="C692" s="72"/>
      <c r="G692" s="73"/>
      <c r="H692" s="73"/>
      <c r="I692" s="75"/>
    </row>
    <row r="693">
      <c r="C693" s="72"/>
      <c r="G693" s="73"/>
      <c r="H693" s="73"/>
      <c r="I693" s="75"/>
    </row>
    <row r="694">
      <c r="C694" s="72"/>
      <c r="G694" s="73"/>
      <c r="H694" s="73"/>
      <c r="I694" s="75"/>
    </row>
    <row r="695">
      <c r="C695" s="72"/>
      <c r="G695" s="73"/>
      <c r="H695" s="73"/>
      <c r="I695" s="75"/>
    </row>
    <row r="696">
      <c r="C696" s="72"/>
      <c r="G696" s="73"/>
      <c r="H696" s="73"/>
      <c r="I696" s="75"/>
    </row>
    <row r="697">
      <c r="C697" s="72"/>
      <c r="G697" s="73"/>
      <c r="H697" s="73"/>
      <c r="I697" s="75"/>
    </row>
    <row r="698">
      <c r="C698" s="72"/>
      <c r="G698" s="73"/>
      <c r="H698" s="73"/>
      <c r="I698" s="75"/>
    </row>
    <row r="699">
      <c r="C699" s="72"/>
      <c r="G699" s="73"/>
      <c r="H699" s="73"/>
      <c r="I699" s="75"/>
    </row>
    <row r="700">
      <c r="C700" s="72"/>
      <c r="G700" s="73"/>
      <c r="H700" s="73"/>
      <c r="I700" s="75"/>
    </row>
    <row r="701">
      <c r="C701" s="72"/>
      <c r="G701" s="73"/>
      <c r="H701" s="73"/>
      <c r="I701" s="75"/>
    </row>
    <row r="702">
      <c r="C702" s="72"/>
      <c r="G702" s="73"/>
      <c r="H702" s="73"/>
      <c r="I702" s="75"/>
    </row>
    <row r="703">
      <c r="C703" s="72"/>
      <c r="G703" s="73"/>
      <c r="H703" s="73"/>
      <c r="I703" s="75"/>
    </row>
    <row r="704">
      <c r="C704" s="72"/>
      <c r="G704" s="73"/>
      <c r="H704" s="73"/>
      <c r="I704" s="75"/>
    </row>
    <row r="705">
      <c r="C705" s="72"/>
      <c r="G705" s="73"/>
      <c r="H705" s="73"/>
      <c r="I705" s="75"/>
    </row>
    <row r="706">
      <c r="C706" s="72"/>
      <c r="G706" s="73"/>
      <c r="H706" s="73"/>
      <c r="I706" s="75"/>
    </row>
    <row r="707">
      <c r="C707" s="72"/>
      <c r="G707" s="73"/>
      <c r="H707" s="73"/>
      <c r="I707" s="75"/>
    </row>
    <row r="708">
      <c r="C708" s="72"/>
      <c r="G708" s="73"/>
      <c r="H708" s="73"/>
      <c r="I708" s="75"/>
    </row>
    <row r="709">
      <c r="C709" s="72"/>
      <c r="G709" s="73"/>
      <c r="H709" s="73"/>
      <c r="I709" s="75"/>
    </row>
    <row r="710">
      <c r="C710" s="72"/>
      <c r="G710" s="73"/>
      <c r="H710" s="73"/>
      <c r="I710" s="75"/>
    </row>
    <row r="711">
      <c r="C711" s="72"/>
      <c r="G711" s="73"/>
      <c r="H711" s="73"/>
      <c r="I711" s="75"/>
    </row>
    <row r="712">
      <c r="C712" s="72"/>
      <c r="G712" s="73"/>
      <c r="H712" s="73"/>
      <c r="I712" s="75"/>
    </row>
    <row r="713">
      <c r="C713" s="72"/>
      <c r="G713" s="73"/>
      <c r="H713" s="73"/>
      <c r="I713" s="75"/>
    </row>
    <row r="714">
      <c r="C714" s="72"/>
      <c r="G714" s="73"/>
      <c r="H714" s="73"/>
      <c r="I714" s="75"/>
    </row>
    <row r="715">
      <c r="C715" s="72"/>
      <c r="G715" s="73"/>
      <c r="H715" s="73"/>
      <c r="I715" s="75"/>
    </row>
    <row r="716">
      <c r="C716" s="72"/>
      <c r="G716" s="73"/>
      <c r="H716" s="73"/>
      <c r="I716" s="75"/>
    </row>
    <row r="717">
      <c r="C717" s="72"/>
      <c r="G717" s="73"/>
      <c r="H717" s="73"/>
      <c r="I717" s="75"/>
    </row>
    <row r="718">
      <c r="C718" s="72"/>
      <c r="G718" s="73"/>
      <c r="H718" s="73"/>
      <c r="I718" s="75"/>
    </row>
    <row r="719">
      <c r="C719" s="72"/>
      <c r="G719" s="73"/>
      <c r="H719" s="73"/>
      <c r="I719" s="75"/>
    </row>
    <row r="720">
      <c r="C720" s="72"/>
      <c r="G720" s="73"/>
      <c r="H720" s="73"/>
      <c r="I720" s="75"/>
    </row>
    <row r="721">
      <c r="C721" s="72"/>
      <c r="G721" s="73"/>
      <c r="H721" s="73"/>
      <c r="I721" s="75"/>
    </row>
    <row r="722">
      <c r="C722" s="72"/>
      <c r="G722" s="73"/>
      <c r="H722" s="73"/>
      <c r="I722" s="75"/>
    </row>
    <row r="723">
      <c r="C723" s="72"/>
      <c r="G723" s="73"/>
      <c r="H723" s="73"/>
      <c r="I723" s="75"/>
    </row>
    <row r="724">
      <c r="C724" s="72"/>
      <c r="G724" s="73"/>
      <c r="H724" s="73"/>
      <c r="I724" s="75"/>
    </row>
    <row r="725">
      <c r="C725" s="72"/>
      <c r="G725" s="73"/>
      <c r="H725" s="73"/>
      <c r="I725" s="75"/>
    </row>
    <row r="726">
      <c r="C726" s="72"/>
      <c r="G726" s="73"/>
      <c r="H726" s="73"/>
      <c r="I726" s="75"/>
    </row>
    <row r="727">
      <c r="C727" s="72"/>
      <c r="G727" s="73"/>
      <c r="H727" s="73"/>
      <c r="I727" s="75"/>
    </row>
    <row r="728">
      <c r="C728" s="72"/>
      <c r="G728" s="73"/>
      <c r="H728" s="73"/>
      <c r="I728" s="75"/>
    </row>
    <row r="729">
      <c r="C729" s="72"/>
      <c r="G729" s="73"/>
      <c r="H729" s="73"/>
      <c r="I729" s="75"/>
    </row>
    <row r="730">
      <c r="C730" s="72"/>
      <c r="G730" s="73"/>
      <c r="H730" s="73"/>
      <c r="I730" s="75"/>
    </row>
    <row r="731">
      <c r="C731" s="72"/>
      <c r="G731" s="73"/>
      <c r="H731" s="73"/>
      <c r="I731" s="75"/>
    </row>
    <row r="732">
      <c r="C732" s="72"/>
      <c r="G732" s="73"/>
      <c r="H732" s="73"/>
      <c r="I732" s="75"/>
    </row>
    <row r="733">
      <c r="C733" s="72"/>
      <c r="G733" s="73"/>
      <c r="H733" s="73"/>
      <c r="I733" s="75"/>
    </row>
    <row r="734">
      <c r="C734" s="72"/>
      <c r="G734" s="73"/>
      <c r="H734" s="73"/>
      <c r="I734" s="75"/>
    </row>
    <row r="735">
      <c r="C735" s="72"/>
      <c r="G735" s="73"/>
      <c r="H735" s="73"/>
      <c r="I735" s="75"/>
    </row>
    <row r="736">
      <c r="C736" s="72"/>
      <c r="G736" s="73"/>
      <c r="H736" s="73"/>
      <c r="I736" s="75"/>
    </row>
    <row r="737">
      <c r="C737" s="72"/>
      <c r="G737" s="73"/>
      <c r="H737" s="73"/>
      <c r="I737" s="75"/>
    </row>
    <row r="738">
      <c r="C738" s="72"/>
      <c r="G738" s="73"/>
      <c r="H738" s="73"/>
      <c r="I738" s="75"/>
    </row>
    <row r="739">
      <c r="C739" s="72"/>
      <c r="G739" s="73"/>
      <c r="H739" s="73"/>
      <c r="I739" s="75"/>
    </row>
    <row r="740">
      <c r="C740" s="72"/>
      <c r="G740" s="73"/>
      <c r="H740" s="73"/>
      <c r="I740" s="75"/>
    </row>
    <row r="741">
      <c r="C741" s="72"/>
      <c r="G741" s="73"/>
      <c r="H741" s="73"/>
      <c r="I741" s="75"/>
    </row>
    <row r="742">
      <c r="C742" s="72"/>
      <c r="G742" s="73"/>
      <c r="H742" s="73"/>
      <c r="I742" s="75"/>
    </row>
    <row r="743">
      <c r="C743" s="72"/>
      <c r="G743" s="73"/>
      <c r="H743" s="73"/>
      <c r="I743" s="75"/>
    </row>
    <row r="744">
      <c r="C744" s="72"/>
      <c r="G744" s="73"/>
      <c r="H744" s="73"/>
      <c r="I744" s="75"/>
    </row>
    <row r="745">
      <c r="C745" s="72"/>
      <c r="G745" s="73"/>
      <c r="H745" s="73"/>
      <c r="I745" s="75"/>
    </row>
    <row r="746">
      <c r="C746" s="72"/>
      <c r="G746" s="73"/>
      <c r="H746" s="73"/>
      <c r="I746" s="75"/>
    </row>
    <row r="747">
      <c r="C747" s="72"/>
      <c r="G747" s="73"/>
      <c r="H747" s="73"/>
      <c r="I747" s="75"/>
    </row>
    <row r="748">
      <c r="C748" s="72"/>
      <c r="G748" s="73"/>
      <c r="H748" s="73"/>
      <c r="I748" s="75"/>
    </row>
    <row r="749">
      <c r="C749" s="72"/>
      <c r="G749" s="73"/>
      <c r="H749" s="73"/>
      <c r="I749" s="75"/>
    </row>
    <row r="750">
      <c r="C750" s="72"/>
      <c r="G750" s="73"/>
      <c r="H750" s="73"/>
      <c r="I750" s="75"/>
    </row>
    <row r="751">
      <c r="C751" s="72"/>
      <c r="G751" s="73"/>
      <c r="H751" s="73"/>
      <c r="I751" s="75"/>
    </row>
    <row r="752">
      <c r="C752" s="72"/>
      <c r="G752" s="73"/>
      <c r="H752" s="73"/>
      <c r="I752" s="75"/>
    </row>
    <row r="753">
      <c r="C753" s="72"/>
      <c r="G753" s="73"/>
      <c r="H753" s="73"/>
      <c r="I753" s="75"/>
    </row>
    <row r="754">
      <c r="C754" s="72"/>
      <c r="G754" s="73"/>
      <c r="H754" s="73"/>
      <c r="I754" s="75"/>
    </row>
    <row r="755">
      <c r="C755" s="72"/>
      <c r="G755" s="73"/>
      <c r="H755" s="73"/>
      <c r="I755" s="75"/>
    </row>
    <row r="756">
      <c r="C756" s="72"/>
      <c r="G756" s="73"/>
      <c r="H756" s="73"/>
      <c r="I756" s="75"/>
    </row>
    <row r="757">
      <c r="C757" s="72"/>
      <c r="G757" s="73"/>
      <c r="H757" s="73"/>
      <c r="I757" s="75"/>
    </row>
    <row r="758">
      <c r="C758" s="72"/>
      <c r="G758" s="73"/>
      <c r="H758" s="73"/>
      <c r="I758" s="75"/>
    </row>
    <row r="759">
      <c r="C759" s="72"/>
      <c r="G759" s="73"/>
      <c r="H759" s="73"/>
      <c r="I759" s="75"/>
    </row>
    <row r="760">
      <c r="C760" s="72"/>
      <c r="G760" s="73"/>
      <c r="H760" s="73"/>
      <c r="I760" s="75"/>
    </row>
    <row r="761">
      <c r="C761" s="72"/>
      <c r="G761" s="73"/>
      <c r="H761" s="73"/>
      <c r="I761" s="75"/>
    </row>
    <row r="762">
      <c r="C762" s="72"/>
      <c r="G762" s="73"/>
      <c r="H762" s="73"/>
      <c r="I762" s="75"/>
    </row>
    <row r="763">
      <c r="C763" s="72"/>
      <c r="G763" s="73"/>
      <c r="H763" s="73"/>
      <c r="I763" s="75"/>
    </row>
    <row r="764">
      <c r="C764" s="72"/>
      <c r="G764" s="73"/>
      <c r="H764" s="73"/>
      <c r="I764" s="75"/>
    </row>
    <row r="765">
      <c r="C765" s="72"/>
      <c r="G765" s="73"/>
      <c r="H765" s="73"/>
      <c r="I765" s="75"/>
    </row>
    <row r="766">
      <c r="C766" s="72"/>
      <c r="G766" s="73"/>
      <c r="H766" s="73"/>
      <c r="I766" s="75"/>
    </row>
    <row r="767">
      <c r="C767" s="72"/>
      <c r="G767" s="73"/>
      <c r="H767" s="73"/>
      <c r="I767" s="75"/>
    </row>
    <row r="768">
      <c r="C768" s="72"/>
      <c r="G768" s="73"/>
      <c r="H768" s="73"/>
      <c r="I768" s="75"/>
    </row>
    <row r="769">
      <c r="C769" s="72"/>
      <c r="G769" s="73"/>
      <c r="H769" s="73"/>
      <c r="I769" s="75"/>
    </row>
    <row r="770">
      <c r="C770" s="72"/>
      <c r="G770" s="73"/>
      <c r="H770" s="73"/>
      <c r="I770" s="75"/>
    </row>
    <row r="771">
      <c r="C771" s="72"/>
      <c r="G771" s="73"/>
      <c r="H771" s="73"/>
      <c r="I771" s="75"/>
    </row>
    <row r="772">
      <c r="C772" s="72"/>
      <c r="G772" s="73"/>
      <c r="H772" s="73"/>
      <c r="I772" s="75"/>
    </row>
    <row r="773">
      <c r="C773" s="72"/>
      <c r="G773" s="73"/>
      <c r="H773" s="73"/>
      <c r="I773" s="75"/>
    </row>
    <row r="774">
      <c r="C774" s="72"/>
      <c r="G774" s="73"/>
      <c r="H774" s="73"/>
      <c r="I774" s="75"/>
    </row>
    <row r="775">
      <c r="C775" s="72"/>
      <c r="G775" s="73"/>
      <c r="H775" s="73"/>
      <c r="I775" s="75"/>
    </row>
    <row r="776">
      <c r="C776" s="72"/>
      <c r="G776" s="73"/>
      <c r="H776" s="73"/>
      <c r="I776" s="75"/>
    </row>
    <row r="777">
      <c r="C777" s="72"/>
      <c r="G777" s="73"/>
      <c r="H777" s="73"/>
      <c r="I777" s="75"/>
    </row>
    <row r="778">
      <c r="C778" s="72"/>
      <c r="G778" s="73"/>
      <c r="H778" s="73"/>
      <c r="I778" s="75"/>
    </row>
    <row r="779">
      <c r="C779" s="72"/>
      <c r="G779" s="73"/>
      <c r="H779" s="73"/>
      <c r="I779" s="75"/>
    </row>
    <row r="780">
      <c r="C780" s="72"/>
      <c r="G780" s="73"/>
      <c r="H780" s="73"/>
      <c r="I780" s="75"/>
    </row>
    <row r="781">
      <c r="C781" s="72"/>
      <c r="G781" s="73"/>
      <c r="H781" s="73"/>
      <c r="I781" s="75"/>
    </row>
    <row r="782">
      <c r="C782" s="72"/>
      <c r="G782" s="73"/>
      <c r="H782" s="73"/>
      <c r="I782" s="75"/>
    </row>
    <row r="783">
      <c r="C783" s="72"/>
      <c r="G783" s="73"/>
      <c r="H783" s="73"/>
      <c r="I783" s="75"/>
    </row>
    <row r="784">
      <c r="C784" s="72"/>
      <c r="G784" s="73"/>
      <c r="H784" s="73"/>
      <c r="I784" s="75"/>
    </row>
    <row r="785">
      <c r="C785" s="72"/>
      <c r="G785" s="73"/>
      <c r="H785" s="73"/>
      <c r="I785" s="75"/>
    </row>
    <row r="786">
      <c r="C786" s="72"/>
      <c r="G786" s="73"/>
      <c r="H786" s="73"/>
      <c r="I786" s="75"/>
    </row>
    <row r="787">
      <c r="C787" s="72"/>
      <c r="G787" s="73"/>
      <c r="H787" s="73"/>
      <c r="I787" s="75"/>
    </row>
    <row r="788">
      <c r="C788" s="72"/>
      <c r="G788" s="73"/>
      <c r="H788" s="73"/>
      <c r="I788" s="75"/>
    </row>
    <row r="789">
      <c r="C789" s="72"/>
      <c r="G789" s="73"/>
      <c r="H789" s="73"/>
      <c r="I789" s="75"/>
    </row>
    <row r="790">
      <c r="C790" s="72"/>
      <c r="G790" s="73"/>
      <c r="H790" s="73"/>
      <c r="I790" s="75"/>
    </row>
    <row r="791">
      <c r="C791" s="72"/>
      <c r="G791" s="73"/>
      <c r="H791" s="73"/>
      <c r="I791" s="75"/>
    </row>
    <row r="792">
      <c r="C792" s="72"/>
      <c r="G792" s="73"/>
      <c r="H792" s="73"/>
      <c r="I792" s="75"/>
    </row>
    <row r="793">
      <c r="C793" s="72"/>
      <c r="G793" s="73"/>
      <c r="H793" s="73"/>
      <c r="I793" s="75"/>
    </row>
    <row r="794">
      <c r="C794" s="72"/>
      <c r="G794" s="73"/>
      <c r="H794" s="73"/>
      <c r="I794" s="75"/>
    </row>
    <row r="795">
      <c r="C795" s="72"/>
      <c r="G795" s="73"/>
      <c r="H795" s="73"/>
      <c r="I795" s="75"/>
    </row>
    <row r="796">
      <c r="C796" s="72"/>
      <c r="G796" s="73"/>
      <c r="H796" s="73"/>
      <c r="I796" s="75"/>
    </row>
    <row r="797">
      <c r="C797" s="72"/>
      <c r="G797" s="73"/>
      <c r="H797" s="73"/>
      <c r="I797" s="75"/>
    </row>
    <row r="798">
      <c r="C798" s="72"/>
      <c r="G798" s="73"/>
      <c r="H798" s="73"/>
      <c r="I798" s="75"/>
    </row>
    <row r="799">
      <c r="C799" s="72"/>
      <c r="G799" s="73"/>
      <c r="H799" s="73"/>
      <c r="I799" s="75"/>
    </row>
    <row r="800">
      <c r="C800" s="72"/>
      <c r="G800" s="73"/>
      <c r="H800" s="73"/>
      <c r="I800" s="75"/>
    </row>
    <row r="801">
      <c r="C801" s="72"/>
      <c r="G801" s="73"/>
      <c r="H801" s="73"/>
      <c r="I801" s="75"/>
    </row>
    <row r="802">
      <c r="C802" s="72"/>
      <c r="G802" s="73"/>
      <c r="H802" s="73"/>
      <c r="I802" s="75"/>
    </row>
    <row r="803">
      <c r="C803" s="72"/>
      <c r="G803" s="73"/>
      <c r="H803" s="73"/>
      <c r="I803" s="75"/>
    </row>
    <row r="804">
      <c r="C804" s="72"/>
      <c r="G804" s="73"/>
      <c r="H804" s="73"/>
      <c r="I804" s="75"/>
    </row>
    <row r="805">
      <c r="C805" s="72"/>
      <c r="G805" s="73"/>
      <c r="H805" s="73"/>
      <c r="I805" s="75"/>
    </row>
    <row r="806">
      <c r="C806" s="72"/>
      <c r="G806" s="73"/>
      <c r="H806" s="73"/>
      <c r="I806" s="75"/>
    </row>
    <row r="807">
      <c r="C807" s="72"/>
      <c r="G807" s="73"/>
      <c r="H807" s="73"/>
      <c r="I807" s="75"/>
    </row>
    <row r="808">
      <c r="C808" s="72"/>
      <c r="G808" s="73"/>
      <c r="H808" s="73"/>
      <c r="I808" s="75"/>
    </row>
    <row r="809">
      <c r="C809" s="72"/>
      <c r="G809" s="73"/>
      <c r="H809" s="73"/>
      <c r="I809" s="75"/>
    </row>
    <row r="810">
      <c r="C810" s="72"/>
      <c r="G810" s="73"/>
      <c r="H810" s="73"/>
      <c r="I810" s="75"/>
    </row>
    <row r="811">
      <c r="C811" s="72"/>
      <c r="G811" s="73"/>
      <c r="H811" s="73"/>
      <c r="I811" s="75"/>
    </row>
    <row r="812">
      <c r="C812" s="72"/>
      <c r="G812" s="73"/>
      <c r="H812" s="73"/>
      <c r="I812" s="75"/>
    </row>
    <row r="813">
      <c r="C813" s="72"/>
      <c r="G813" s="73"/>
      <c r="H813" s="73"/>
      <c r="I813" s="75"/>
    </row>
    <row r="814">
      <c r="C814" s="72"/>
      <c r="G814" s="73"/>
      <c r="H814" s="73"/>
      <c r="I814" s="75"/>
    </row>
    <row r="815">
      <c r="C815" s="72"/>
      <c r="G815" s="73"/>
      <c r="H815" s="73"/>
      <c r="I815" s="75"/>
    </row>
    <row r="816">
      <c r="C816" s="72"/>
      <c r="G816" s="73"/>
      <c r="H816" s="73"/>
      <c r="I816" s="75"/>
    </row>
    <row r="817">
      <c r="C817" s="72"/>
      <c r="G817" s="73"/>
      <c r="H817" s="73"/>
      <c r="I817" s="75"/>
    </row>
    <row r="818">
      <c r="C818" s="72"/>
      <c r="G818" s="73"/>
      <c r="H818" s="73"/>
      <c r="I818" s="75"/>
    </row>
    <row r="819">
      <c r="C819" s="72"/>
      <c r="G819" s="73"/>
      <c r="H819" s="73"/>
      <c r="I819" s="75"/>
    </row>
    <row r="820">
      <c r="C820" s="72"/>
      <c r="G820" s="73"/>
      <c r="H820" s="73"/>
      <c r="I820" s="75"/>
    </row>
    <row r="821">
      <c r="C821" s="72"/>
      <c r="G821" s="73"/>
      <c r="H821" s="73"/>
      <c r="I821" s="75"/>
    </row>
    <row r="822">
      <c r="C822" s="72"/>
      <c r="G822" s="73"/>
      <c r="H822" s="73"/>
      <c r="I822" s="75"/>
    </row>
    <row r="823">
      <c r="C823" s="72"/>
      <c r="G823" s="73"/>
      <c r="H823" s="73"/>
      <c r="I823" s="75"/>
    </row>
    <row r="824">
      <c r="C824" s="72"/>
      <c r="G824" s="73"/>
      <c r="H824" s="73"/>
      <c r="I824" s="75"/>
    </row>
    <row r="825">
      <c r="C825" s="72"/>
      <c r="G825" s="73"/>
      <c r="H825" s="73"/>
      <c r="I825" s="75"/>
    </row>
    <row r="826">
      <c r="C826" s="72"/>
      <c r="G826" s="73"/>
      <c r="H826" s="73"/>
      <c r="I826" s="75"/>
    </row>
    <row r="827">
      <c r="C827" s="72"/>
      <c r="G827" s="73"/>
      <c r="H827" s="73"/>
      <c r="I827" s="75"/>
    </row>
    <row r="828">
      <c r="C828" s="72"/>
      <c r="G828" s="73"/>
      <c r="H828" s="73"/>
      <c r="I828" s="75"/>
    </row>
    <row r="829">
      <c r="C829" s="72"/>
      <c r="G829" s="73"/>
      <c r="H829" s="73"/>
      <c r="I829" s="75"/>
    </row>
    <row r="830">
      <c r="C830" s="72"/>
      <c r="G830" s="73"/>
      <c r="H830" s="73"/>
      <c r="I830" s="75"/>
    </row>
    <row r="831">
      <c r="C831" s="72"/>
      <c r="G831" s="73"/>
      <c r="H831" s="73"/>
      <c r="I831" s="75"/>
    </row>
    <row r="832">
      <c r="C832" s="72"/>
      <c r="G832" s="73"/>
      <c r="H832" s="73"/>
      <c r="I832" s="75"/>
    </row>
    <row r="833">
      <c r="C833" s="72"/>
      <c r="G833" s="73"/>
      <c r="H833" s="73"/>
      <c r="I833" s="75"/>
    </row>
    <row r="834">
      <c r="C834" s="72"/>
      <c r="G834" s="73"/>
      <c r="H834" s="73"/>
      <c r="I834" s="75"/>
    </row>
    <row r="835">
      <c r="C835" s="72"/>
      <c r="G835" s="73"/>
      <c r="H835" s="73"/>
      <c r="I835" s="75"/>
    </row>
    <row r="836">
      <c r="C836" s="72"/>
      <c r="G836" s="73"/>
      <c r="H836" s="73"/>
      <c r="I836" s="75"/>
    </row>
    <row r="837">
      <c r="C837" s="72"/>
      <c r="G837" s="73"/>
      <c r="H837" s="73"/>
      <c r="I837" s="75"/>
    </row>
    <row r="838">
      <c r="C838" s="72"/>
      <c r="G838" s="73"/>
      <c r="H838" s="73"/>
      <c r="I838" s="75"/>
    </row>
    <row r="839">
      <c r="C839" s="72"/>
      <c r="G839" s="73"/>
      <c r="H839" s="73"/>
      <c r="I839" s="75"/>
    </row>
    <row r="840">
      <c r="C840" s="72"/>
      <c r="G840" s="73"/>
      <c r="H840" s="73"/>
      <c r="I840" s="75"/>
    </row>
    <row r="841">
      <c r="C841" s="72"/>
      <c r="G841" s="73"/>
      <c r="H841" s="73"/>
      <c r="I841" s="75"/>
    </row>
    <row r="842">
      <c r="C842" s="72"/>
      <c r="G842" s="73"/>
      <c r="H842" s="73"/>
      <c r="I842" s="75"/>
    </row>
    <row r="843">
      <c r="C843" s="72"/>
      <c r="G843" s="73"/>
      <c r="H843" s="73"/>
      <c r="I843" s="75"/>
    </row>
    <row r="844">
      <c r="C844" s="72"/>
      <c r="G844" s="73"/>
      <c r="H844" s="73"/>
      <c r="I844" s="75"/>
    </row>
    <row r="845">
      <c r="C845" s="72"/>
      <c r="G845" s="73"/>
      <c r="H845" s="73"/>
      <c r="I845" s="75"/>
    </row>
    <row r="846">
      <c r="C846" s="72"/>
      <c r="G846" s="73"/>
      <c r="H846" s="73"/>
      <c r="I846" s="75"/>
    </row>
    <row r="847">
      <c r="C847" s="72"/>
      <c r="G847" s="73"/>
      <c r="H847" s="73"/>
      <c r="I847" s="75"/>
    </row>
    <row r="848">
      <c r="C848" s="72"/>
      <c r="G848" s="73"/>
      <c r="H848" s="73"/>
      <c r="I848" s="75"/>
    </row>
    <row r="849">
      <c r="C849" s="72"/>
      <c r="G849" s="73"/>
      <c r="H849" s="73"/>
      <c r="I849" s="75"/>
    </row>
    <row r="850">
      <c r="C850" s="72"/>
      <c r="G850" s="73"/>
      <c r="H850" s="73"/>
      <c r="I850" s="75"/>
    </row>
    <row r="851">
      <c r="C851" s="72"/>
      <c r="G851" s="73"/>
      <c r="H851" s="73"/>
      <c r="I851" s="75"/>
    </row>
    <row r="852">
      <c r="C852" s="72"/>
      <c r="G852" s="73"/>
      <c r="H852" s="73"/>
      <c r="I852" s="75"/>
    </row>
    <row r="853">
      <c r="C853" s="72"/>
      <c r="G853" s="73"/>
      <c r="H853" s="73"/>
      <c r="I853" s="75"/>
    </row>
    <row r="854">
      <c r="C854" s="72"/>
      <c r="G854" s="73"/>
      <c r="H854" s="73"/>
      <c r="I854" s="75"/>
    </row>
    <row r="855">
      <c r="C855" s="72"/>
      <c r="G855" s="73"/>
      <c r="H855" s="73"/>
      <c r="I855" s="75"/>
    </row>
    <row r="856">
      <c r="C856" s="72"/>
      <c r="G856" s="73"/>
      <c r="H856" s="73"/>
      <c r="I856" s="75"/>
    </row>
    <row r="857">
      <c r="C857" s="72"/>
      <c r="G857" s="73"/>
      <c r="H857" s="73"/>
      <c r="I857" s="75"/>
    </row>
    <row r="858">
      <c r="C858" s="72"/>
      <c r="G858" s="73"/>
      <c r="H858" s="73"/>
      <c r="I858" s="75"/>
    </row>
    <row r="859">
      <c r="C859" s="72"/>
      <c r="G859" s="73"/>
      <c r="H859" s="73"/>
      <c r="I859" s="75"/>
    </row>
    <row r="860">
      <c r="C860" s="72"/>
      <c r="G860" s="73"/>
      <c r="H860" s="73"/>
      <c r="I860" s="75"/>
    </row>
    <row r="861">
      <c r="C861" s="72"/>
      <c r="G861" s="73"/>
      <c r="H861" s="73"/>
      <c r="I861" s="75"/>
    </row>
    <row r="862">
      <c r="C862" s="72"/>
      <c r="G862" s="73"/>
      <c r="H862" s="73"/>
      <c r="I862" s="75"/>
    </row>
    <row r="863">
      <c r="C863" s="72"/>
      <c r="G863" s="73"/>
      <c r="H863" s="73"/>
      <c r="I863" s="75"/>
    </row>
    <row r="864">
      <c r="C864" s="72"/>
      <c r="G864" s="73"/>
      <c r="H864" s="73"/>
      <c r="I864" s="75"/>
    </row>
    <row r="865">
      <c r="C865" s="72"/>
      <c r="G865" s="73"/>
      <c r="H865" s="73"/>
      <c r="I865" s="75"/>
    </row>
    <row r="866">
      <c r="C866" s="72"/>
      <c r="G866" s="73"/>
      <c r="H866" s="73"/>
      <c r="I866" s="75"/>
    </row>
    <row r="867">
      <c r="C867" s="72"/>
      <c r="G867" s="73"/>
      <c r="H867" s="73"/>
      <c r="I867" s="75"/>
    </row>
    <row r="868">
      <c r="C868" s="72"/>
      <c r="G868" s="73"/>
      <c r="H868" s="73"/>
      <c r="I868" s="75"/>
    </row>
    <row r="869">
      <c r="C869" s="72"/>
      <c r="G869" s="73"/>
      <c r="H869" s="73"/>
      <c r="I869" s="75"/>
    </row>
    <row r="870">
      <c r="C870" s="72"/>
      <c r="G870" s="73"/>
      <c r="H870" s="73"/>
      <c r="I870" s="75"/>
    </row>
    <row r="871">
      <c r="C871" s="72"/>
      <c r="G871" s="73"/>
      <c r="H871" s="73"/>
      <c r="I871" s="75"/>
    </row>
    <row r="872">
      <c r="C872" s="72"/>
      <c r="G872" s="73"/>
      <c r="H872" s="73"/>
      <c r="I872" s="75"/>
    </row>
    <row r="873">
      <c r="C873" s="72"/>
      <c r="G873" s="73"/>
      <c r="H873" s="73"/>
      <c r="I873" s="75"/>
    </row>
    <row r="874">
      <c r="C874" s="72"/>
      <c r="G874" s="73"/>
      <c r="H874" s="73"/>
      <c r="I874" s="75"/>
    </row>
    <row r="875">
      <c r="C875" s="72"/>
      <c r="G875" s="73"/>
      <c r="H875" s="73"/>
      <c r="I875" s="75"/>
    </row>
    <row r="876">
      <c r="C876" s="72"/>
      <c r="G876" s="73"/>
      <c r="H876" s="73"/>
      <c r="I876" s="75"/>
    </row>
    <row r="877">
      <c r="C877" s="72"/>
      <c r="G877" s="73"/>
      <c r="H877" s="73"/>
      <c r="I877" s="75"/>
    </row>
    <row r="878">
      <c r="C878" s="72"/>
      <c r="G878" s="73"/>
      <c r="H878" s="73"/>
      <c r="I878" s="75"/>
    </row>
    <row r="879">
      <c r="C879" s="72"/>
      <c r="G879" s="73"/>
      <c r="H879" s="73"/>
      <c r="I879" s="75"/>
    </row>
    <row r="880">
      <c r="C880" s="72"/>
      <c r="G880" s="73"/>
      <c r="H880" s="73"/>
      <c r="I880" s="75"/>
    </row>
    <row r="881">
      <c r="C881" s="72"/>
      <c r="G881" s="73"/>
      <c r="H881" s="73"/>
      <c r="I881" s="75"/>
    </row>
    <row r="882">
      <c r="C882" s="72"/>
      <c r="G882" s="73"/>
      <c r="H882" s="73"/>
      <c r="I882" s="75"/>
    </row>
    <row r="883">
      <c r="C883" s="72"/>
      <c r="G883" s="73"/>
      <c r="H883" s="73"/>
      <c r="I883" s="75"/>
    </row>
    <row r="884">
      <c r="C884" s="72"/>
      <c r="G884" s="73"/>
      <c r="H884" s="73"/>
      <c r="I884" s="75"/>
    </row>
    <row r="885">
      <c r="C885" s="72"/>
      <c r="G885" s="73"/>
      <c r="H885" s="73"/>
      <c r="I885" s="75"/>
    </row>
    <row r="886">
      <c r="C886" s="72"/>
      <c r="G886" s="73"/>
      <c r="H886" s="73"/>
      <c r="I886" s="75"/>
    </row>
    <row r="887">
      <c r="C887" s="72"/>
      <c r="G887" s="73"/>
      <c r="H887" s="73"/>
      <c r="I887" s="75"/>
    </row>
    <row r="888">
      <c r="C888" s="72"/>
      <c r="G888" s="73"/>
      <c r="H888" s="73"/>
      <c r="I888" s="75"/>
    </row>
    <row r="889">
      <c r="C889" s="72"/>
      <c r="G889" s="73"/>
      <c r="H889" s="73"/>
      <c r="I889" s="75"/>
    </row>
    <row r="890">
      <c r="C890" s="72"/>
      <c r="G890" s="73"/>
      <c r="H890" s="73"/>
      <c r="I890" s="75"/>
    </row>
    <row r="891">
      <c r="C891" s="72"/>
      <c r="G891" s="73"/>
      <c r="H891" s="73"/>
      <c r="I891" s="75"/>
    </row>
    <row r="892">
      <c r="C892" s="72"/>
      <c r="G892" s="73"/>
      <c r="H892" s="73"/>
      <c r="I892" s="75"/>
    </row>
    <row r="893">
      <c r="C893" s="72"/>
      <c r="G893" s="73"/>
      <c r="H893" s="73"/>
      <c r="I893" s="75"/>
    </row>
    <row r="894">
      <c r="C894" s="72"/>
      <c r="G894" s="73"/>
      <c r="H894" s="73"/>
      <c r="I894" s="75"/>
    </row>
    <row r="895">
      <c r="C895" s="72"/>
      <c r="G895" s="73"/>
      <c r="H895" s="73"/>
      <c r="I895" s="75"/>
    </row>
    <row r="896">
      <c r="C896" s="72"/>
      <c r="G896" s="73"/>
      <c r="H896" s="73"/>
      <c r="I896" s="75"/>
    </row>
    <row r="897">
      <c r="C897" s="72"/>
      <c r="G897" s="73"/>
      <c r="H897" s="73"/>
      <c r="I897" s="75"/>
    </row>
    <row r="898">
      <c r="C898" s="72"/>
      <c r="G898" s="73"/>
      <c r="H898" s="73"/>
      <c r="I898" s="75"/>
    </row>
    <row r="899">
      <c r="C899" s="72"/>
      <c r="G899" s="73"/>
      <c r="H899" s="73"/>
      <c r="I899" s="75"/>
    </row>
    <row r="900">
      <c r="C900" s="72"/>
      <c r="G900" s="73"/>
      <c r="H900" s="73"/>
      <c r="I900" s="75"/>
    </row>
    <row r="901">
      <c r="C901" s="72"/>
      <c r="G901" s="73"/>
      <c r="H901" s="73"/>
      <c r="I901" s="75"/>
    </row>
    <row r="902">
      <c r="C902" s="72"/>
      <c r="G902" s="73"/>
      <c r="H902" s="73"/>
      <c r="I902" s="75"/>
    </row>
    <row r="903">
      <c r="C903" s="72"/>
      <c r="G903" s="73"/>
      <c r="H903" s="73"/>
      <c r="I903" s="75"/>
    </row>
    <row r="904">
      <c r="C904" s="72"/>
      <c r="G904" s="73"/>
      <c r="H904" s="73"/>
      <c r="I904" s="75"/>
    </row>
    <row r="905">
      <c r="C905" s="72"/>
      <c r="G905" s="73"/>
      <c r="H905" s="73"/>
      <c r="I905" s="75"/>
    </row>
    <row r="906">
      <c r="C906" s="72"/>
      <c r="G906" s="73"/>
      <c r="H906" s="73"/>
      <c r="I906" s="75"/>
    </row>
    <row r="907">
      <c r="C907" s="72"/>
      <c r="G907" s="73"/>
      <c r="H907" s="73"/>
      <c r="I907" s="75"/>
    </row>
    <row r="908">
      <c r="C908" s="72"/>
      <c r="G908" s="73"/>
      <c r="H908" s="73"/>
      <c r="I908" s="75"/>
    </row>
    <row r="909">
      <c r="C909" s="72"/>
      <c r="G909" s="73"/>
      <c r="H909" s="73"/>
      <c r="I909" s="75"/>
    </row>
    <row r="910">
      <c r="C910" s="72"/>
      <c r="G910" s="73"/>
      <c r="H910" s="73"/>
      <c r="I910" s="75"/>
    </row>
    <row r="911">
      <c r="C911" s="72"/>
      <c r="G911" s="73"/>
      <c r="H911" s="73"/>
      <c r="I911" s="75"/>
    </row>
    <row r="912">
      <c r="C912" s="72"/>
      <c r="G912" s="73"/>
      <c r="H912" s="73"/>
      <c r="I912" s="75"/>
    </row>
    <row r="913">
      <c r="C913" s="72"/>
      <c r="G913" s="73"/>
      <c r="H913" s="73"/>
      <c r="I913" s="75"/>
    </row>
    <row r="914">
      <c r="C914" s="72"/>
      <c r="G914" s="73"/>
      <c r="H914" s="73"/>
      <c r="I914" s="75"/>
    </row>
    <row r="915">
      <c r="C915" s="72"/>
      <c r="G915" s="73"/>
      <c r="H915" s="73"/>
      <c r="I915" s="75"/>
    </row>
    <row r="916">
      <c r="C916" s="72"/>
      <c r="G916" s="73"/>
      <c r="H916" s="73"/>
      <c r="I916" s="75"/>
    </row>
    <row r="917">
      <c r="C917" s="72"/>
      <c r="G917" s="73"/>
      <c r="H917" s="73"/>
      <c r="I917" s="75"/>
    </row>
    <row r="918">
      <c r="C918" s="72"/>
      <c r="G918" s="73"/>
      <c r="H918" s="73"/>
      <c r="I918" s="75"/>
    </row>
    <row r="919">
      <c r="C919" s="72"/>
      <c r="G919" s="73"/>
      <c r="H919" s="73"/>
      <c r="I919" s="75"/>
    </row>
    <row r="920">
      <c r="C920" s="72"/>
      <c r="G920" s="73"/>
      <c r="H920" s="73"/>
      <c r="I920" s="75"/>
    </row>
    <row r="921">
      <c r="C921" s="72"/>
      <c r="G921" s="73"/>
      <c r="H921" s="73"/>
      <c r="I921" s="75"/>
    </row>
    <row r="922">
      <c r="C922" s="72"/>
      <c r="G922" s="73"/>
      <c r="H922" s="73"/>
      <c r="I922" s="75"/>
    </row>
    <row r="923">
      <c r="C923" s="72"/>
      <c r="G923" s="73"/>
      <c r="H923" s="73"/>
      <c r="I923" s="75"/>
    </row>
    <row r="924">
      <c r="C924" s="72"/>
      <c r="G924" s="73"/>
      <c r="H924" s="73"/>
      <c r="I924" s="75"/>
    </row>
    <row r="925">
      <c r="C925" s="72"/>
      <c r="G925" s="73"/>
      <c r="H925" s="73"/>
      <c r="I925" s="75"/>
    </row>
    <row r="926">
      <c r="C926" s="72"/>
      <c r="G926" s="73"/>
      <c r="H926" s="73"/>
      <c r="I926" s="75"/>
    </row>
    <row r="927">
      <c r="C927" s="72"/>
      <c r="G927" s="73"/>
      <c r="H927" s="73"/>
      <c r="I927" s="75"/>
    </row>
    <row r="928">
      <c r="C928" s="72"/>
      <c r="G928" s="73"/>
      <c r="H928" s="73"/>
      <c r="I928" s="75"/>
    </row>
    <row r="929">
      <c r="C929" s="72"/>
      <c r="G929" s="73"/>
      <c r="H929" s="73"/>
      <c r="I929" s="75"/>
    </row>
    <row r="930">
      <c r="C930" s="72"/>
      <c r="G930" s="73"/>
      <c r="H930" s="73"/>
      <c r="I930" s="75"/>
    </row>
    <row r="931">
      <c r="C931" s="72"/>
      <c r="G931" s="73"/>
      <c r="H931" s="73"/>
      <c r="I931" s="75"/>
    </row>
    <row r="932">
      <c r="C932" s="72"/>
      <c r="G932" s="73"/>
      <c r="H932" s="73"/>
      <c r="I932" s="75"/>
    </row>
    <row r="933">
      <c r="C933" s="72"/>
      <c r="G933" s="73"/>
      <c r="H933" s="73"/>
      <c r="I933" s="75"/>
    </row>
    <row r="934">
      <c r="C934" s="72"/>
      <c r="G934" s="73"/>
      <c r="H934" s="73"/>
      <c r="I934" s="75"/>
    </row>
    <row r="935">
      <c r="C935" s="72"/>
      <c r="G935" s="73"/>
      <c r="H935" s="73"/>
      <c r="I935" s="75"/>
    </row>
    <row r="936">
      <c r="C936" s="72"/>
      <c r="G936" s="73"/>
      <c r="H936" s="73"/>
      <c r="I936" s="75"/>
    </row>
    <row r="937">
      <c r="C937" s="72"/>
      <c r="G937" s="73"/>
      <c r="H937" s="73"/>
      <c r="I937" s="75"/>
    </row>
    <row r="938">
      <c r="C938" s="72"/>
      <c r="G938" s="73"/>
      <c r="H938" s="73"/>
      <c r="I938" s="75"/>
    </row>
    <row r="939">
      <c r="C939" s="72"/>
      <c r="G939" s="73"/>
      <c r="H939" s="73"/>
      <c r="I939" s="75"/>
    </row>
    <row r="940">
      <c r="C940" s="72"/>
      <c r="G940" s="73"/>
      <c r="H940" s="73"/>
      <c r="I940" s="75"/>
    </row>
    <row r="941">
      <c r="C941" s="72"/>
      <c r="G941" s="73"/>
      <c r="H941" s="73"/>
      <c r="I941" s="75"/>
    </row>
    <row r="942">
      <c r="C942" s="72"/>
      <c r="G942" s="73"/>
      <c r="H942" s="73"/>
      <c r="I942" s="75"/>
    </row>
    <row r="943">
      <c r="C943" s="72"/>
      <c r="G943" s="73"/>
      <c r="H943" s="73"/>
      <c r="I943" s="75"/>
    </row>
    <row r="944">
      <c r="C944" s="72"/>
      <c r="G944" s="73"/>
      <c r="H944" s="73"/>
      <c r="I944" s="75"/>
    </row>
    <row r="945">
      <c r="C945" s="72"/>
      <c r="G945" s="73"/>
      <c r="H945" s="73"/>
      <c r="I945" s="75"/>
    </row>
    <row r="946">
      <c r="C946" s="72"/>
      <c r="G946" s="73"/>
      <c r="H946" s="73"/>
      <c r="I946" s="75"/>
    </row>
    <row r="947">
      <c r="C947" s="72"/>
      <c r="G947" s="73"/>
      <c r="H947" s="73"/>
      <c r="I947" s="75"/>
    </row>
    <row r="948">
      <c r="C948" s="72"/>
      <c r="G948" s="73"/>
      <c r="H948" s="73"/>
      <c r="I948" s="75"/>
    </row>
    <row r="949">
      <c r="C949" s="72"/>
      <c r="G949" s="73"/>
      <c r="H949" s="73"/>
      <c r="I949" s="75"/>
    </row>
    <row r="950">
      <c r="C950" s="72"/>
      <c r="G950" s="73"/>
      <c r="H950" s="73"/>
      <c r="I950" s="75"/>
    </row>
    <row r="951">
      <c r="C951" s="72"/>
      <c r="G951" s="73"/>
      <c r="H951" s="73"/>
      <c r="I951" s="75"/>
    </row>
    <row r="952">
      <c r="C952" s="72"/>
      <c r="G952" s="73"/>
      <c r="H952" s="73"/>
      <c r="I952" s="75"/>
    </row>
    <row r="953">
      <c r="C953" s="72"/>
      <c r="G953" s="73"/>
      <c r="H953" s="73"/>
      <c r="I953" s="75"/>
    </row>
    <row r="954">
      <c r="C954" s="72"/>
      <c r="G954" s="73"/>
      <c r="H954" s="73"/>
      <c r="I954" s="75"/>
    </row>
    <row r="955">
      <c r="C955" s="72"/>
      <c r="G955" s="73"/>
      <c r="H955" s="73"/>
      <c r="I955" s="75"/>
    </row>
    <row r="956">
      <c r="C956" s="72"/>
      <c r="G956" s="73"/>
      <c r="H956" s="73"/>
      <c r="I956" s="75"/>
    </row>
    <row r="957">
      <c r="C957" s="72"/>
      <c r="G957" s="73"/>
      <c r="H957" s="73"/>
      <c r="I957" s="75"/>
    </row>
    <row r="958">
      <c r="C958" s="72"/>
      <c r="G958" s="73"/>
      <c r="H958" s="73"/>
      <c r="I958" s="75"/>
    </row>
    <row r="959">
      <c r="C959" s="72"/>
      <c r="G959" s="73"/>
      <c r="H959" s="73"/>
      <c r="I959" s="75"/>
    </row>
    <row r="960">
      <c r="C960" s="72"/>
      <c r="G960" s="73"/>
      <c r="H960" s="73"/>
      <c r="I960" s="75"/>
    </row>
    <row r="961">
      <c r="C961" s="72"/>
      <c r="G961" s="73"/>
      <c r="H961" s="73"/>
      <c r="I961" s="75"/>
    </row>
    <row r="962">
      <c r="C962" s="72"/>
      <c r="G962" s="73"/>
      <c r="H962" s="73"/>
      <c r="I962" s="75"/>
    </row>
    <row r="963">
      <c r="C963" s="72"/>
      <c r="G963" s="73"/>
      <c r="H963" s="73"/>
      <c r="I963" s="75"/>
    </row>
    <row r="964">
      <c r="C964" s="72"/>
      <c r="G964" s="73"/>
      <c r="H964" s="73"/>
      <c r="I964" s="75"/>
    </row>
    <row r="965">
      <c r="C965" s="72"/>
      <c r="G965" s="73"/>
      <c r="H965" s="73"/>
      <c r="I965" s="75"/>
    </row>
    <row r="966">
      <c r="C966" s="72"/>
      <c r="G966" s="73"/>
      <c r="H966" s="73"/>
      <c r="I966" s="75"/>
    </row>
    <row r="967">
      <c r="C967" s="72"/>
      <c r="G967" s="73"/>
      <c r="H967" s="73"/>
      <c r="I967" s="75"/>
    </row>
    <row r="968">
      <c r="C968" s="72"/>
      <c r="G968" s="73"/>
      <c r="H968" s="73"/>
      <c r="I968" s="75"/>
    </row>
    <row r="969">
      <c r="C969" s="72"/>
      <c r="G969" s="73"/>
      <c r="H969" s="73"/>
      <c r="I969" s="75"/>
    </row>
    <row r="970">
      <c r="C970" s="72"/>
      <c r="G970" s="73"/>
      <c r="H970" s="73"/>
      <c r="I970" s="75"/>
    </row>
    <row r="971">
      <c r="C971" s="72"/>
      <c r="G971" s="73"/>
      <c r="H971" s="73"/>
      <c r="I971" s="75"/>
    </row>
    <row r="972">
      <c r="C972" s="72"/>
      <c r="G972" s="73"/>
      <c r="H972" s="73"/>
      <c r="I972" s="75"/>
    </row>
    <row r="973">
      <c r="C973" s="72"/>
      <c r="G973" s="73"/>
      <c r="H973" s="73"/>
      <c r="I973" s="75"/>
    </row>
    <row r="974">
      <c r="C974" s="72"/>
      <c r="G974" s="73"/>
      <c r="H974" s="73"/>
      <c r="I974" s="75"/>
    </row>
    <row r="975">
      <c r="C975" s="72"/>
      <c r="G975" s="73"/>
      <c r="H975" s="73"/>
      <c r="I975" s="75"/>
    </row>
    <row r="976">
      <c r="C976" s="72"/>
      <c r="G976" s="73"/>
      <c r="H976" s="73"/>
      <c r="I976" s="75"/>
    </row>
    <row r="977">
      <c r="C977" s="72"/>
      <c r="G977" s="73"/>
      <c r="H977" s="73"/>
      <c r="I977" s="75"/>
    </row>
    <row r="978">
      <c r="C978" s="72"/>
      <c r="G978" s="73"/>
      <c r="H978" s="73"/>
      <c r="I978" s="75"/>
    </row>
    <row r="979">
      <c r="C979" s="72"/>
      <c r="G979" s="73"/>
      <c r="H979" s="73"/>
      <c r="I979" s="75"/>
    </row>
    <row r="980">
      <c r="C980" s="72"/>
      <c r="G980" s="73"/>
      <c r="H980" s="73"/>
      <c r="I980" s="75"/>
    </row>
    <row r="981">
      <c r="C981" s="72"/>
      <c r="G981" s="73"/>
      <c r="H981" s="73"/>
      <c r="I981" s="75"/>
    </row>
    <row r="982">
      <c r="C982" s="72"/>
      <c r="G982" s="73"/>
      <c r="H982" s="73"/>
      <c r="I982" s="75"/>
    </row>
    <row r="983">
      <c r="C983" s="72"/>
      <c r="G983" s="73"/>
      <c r="H983" s="73"/>
      <c r="I983" s="75"/>
    </row>
    <row r="984">
      <c r="C984" s="72"/>
      <c r="G984" s="73"/>
      <c r="H984" s="73"/>
      <c r="I984" s="75"/>
    </row>
    <row r="985">
      <c r="C985" s="72"/>
      <c r="G985" s="73"/>
      <c r="H985" s="73"/>
      <c r="I985" s="75"/>
    </row>
    <row r="986">
      <c r="C986" s="72"/>
      <c r="G986" s="73"/>
      <c r="H986" s="73"/>
      <c r="I986" s="75"/>
    </row>
    <row r="987">
      <c r="C987" s="72"/>
      <c r="G987" s="73"/>
      <c r="H987" s="73"/>
      <c r="I987" s="75"/>
    </row>
    <row r="988">
      <c r="C988" s="72"/>
      <c r="G988" s="73"/>
      <c r="H988" s="73"/>
      <c r="I988" s="75"/>
    </row>
    <row r="989">
      <c r="C989" s="72"/>
      <c r="G989" s="73"/>
      <c r="H989" s="73"/>
      <c r="I989" s="75"/>
    </row>
    <row r="990">
      <c r="C990" s="72"/>
      <c r="G990" s="73"/>
      <c r="H990" s="73"/>
      <c r="I990" s="75"/>
    </row>
    <row r="991">
      <c r="C991" s="72"/>
      <c r="G991" s="73"/>
      <c r="H991" s="73"/>
      <c r="I991" s="75"/>
    </row>
    <row r="992">
      <c r="C992" s="72"/>
      <c r="G992" s="73"/>
      <c r="H992" s="73"/>
      <c r="I992" s="75"/>
    </row>
    <row r="993">
      <c r="C993" s="72"/>
      <c r="G993" s="73"/>
      <c r="H993" s="73"/>
      <c r="I993" s="75"/>
    </row>
    <row r="994">
      <c r="C994" s="72"/>
      <c r="G994" s="73"/>
      <c r="H994" s="73"/>
      <c r="I994" s="75"/>
    </row>
    <row r="995">
      <c r="C995" s="72"/>
      <c r="G995" s="73"/>
      <c r="H995" s="73"/>
      <c r="I995" s="75"/>
    </row>
    <row r="996">
      <c r="C996" s="72"/>
      <c r="G996" s="73"/>
      <c r="H996" s="73"/>
      <c r="I996" s="75"/>
    </row>
    <row r="997">
      <c r="C997" s="72"/>
      <c r="G997" s="73"/>
      <c r="H997" s="73"/>
      <c r="I997" s="75"/>
    </row>
    <row r="998">
      <c r="C998" s="72"/>
      <c r="G998" s="73"/>
      <c r="H998" s="73"/>
      <c r="I998" s="75"/>
    </row>
    <row r="999">
      <c r="C999" s="72"/>
      <c r="G999" s="73"/>
      <c r="H999" s="73"/>
      <c r="I999" s="75"/>
    </row>
    <row r="1000">
      <c r="C1000" s="72"/>
      <c r="G1000" s="73"/>
      <c r="H1000" s="73"/>
      <c r="I1000" s="75"/>
    </row>
    <row r="1001">
      <c r="C1001" s="72"/>
      <c r="G1001" s="73"/>
      <c r="H1001" s="73"/>
      <c r="I1001" s="75"/>
    </row>
    <row r="1002">
      <c r="C1002" s="72"/>
      <c r="G1002" s="73"/>
      <c r="H1002" s="73"/>
      <c r="I1002" s="75"/>
    </row>
    <row r="1003">
      <c r="C1003" s="72"/>
      <c r="G1003" s="73"/>
      <c r="H1003" s="73"/>
      <c r="I1003" s="75"/>
    </row>
    <row r="1004">
      <c r="C1004" s="72"/>
      <c r="G1004" s="73"/>
      <c r="H1004" s="73"/>
      <c r="I1004" s="75"/>
    </row>
    <row r="1005">
      <c r="C1005" s="72"/>
      <c r="G1005" s="73"/>
      <c r="H1005" s="73"/>
      <c r="I1005" s="75"/>
    </row>
    <row r="1006">
      <c r="C1006" s="72"/>
      <c r="G1006" s="73"/>
      <c r="H1006" s="73"/>
      <c r="I1006" s="75"/>
    </row>
    <row r="1007">
      <c r="C1007" s="72"/>
      <c r="G1007" s="73"/>
      <c r="H1007" s="73"/>
      <c r="I1007" s="75"/>
    </row>
    <row r="1008">
      <c r="C1008" s="72"/>
      <c r="G1008" s="73"/>
      <c r="H1008" s="73"/>
      <c r="I1008" s="75"/>
    </row>
    <row r="1009">
      <c r="C1009" s="72"/>
      <c r="G1009" s="73"/>
      <c r="H1009" s="73"/>
      <c r="I1009" s="75"/>
    </row>
    <row r="1010">
      <c r="C1010" s="72"/>
      <c r="G1010" s="73"/>
      <c r="H1010" s="73"/>
      <c r="I1010" s="75"/>
    </row>
    <row r="1011">
      <c r="C1011" s="72"/>
      <c r="G1011" s="73"/>
      <c r="H1011" s="73"/>
      <c r="I1011" s="75"/>
    </row>
    <row r="1012">
      <c r="C1012" s="72"/>
      <c r="G1012" s="73"/>
      <c r="H1012" s="73"/>
      <c r="I1012" s="75"/>
    </row>
    <row r="1013">
      <c r="C1013" s="72"/>
      <c r="G1013" s="73"/>
      <c r="H1013" s="73"/>
      <c r="I1013" s="75"/>
    </row>
    <row r="1014">
      <c r="C1014" s="72"/>
      <c r="G1014" s="73"/>
      <c r="H1014" s="73"/>
      <c r="I1014" s="75"/>
    </row>
    <row r="1015">
      <c r="C1015" s="72"/>
      <c r="G1015" s="73"/>
      <c r="H1015" s="73"/>
      <c r="I1015" s="75"/>
    </row>
    <row r="1016">
      <c r="C1016" s="72"/>
      <c r="G1016" s="73"/>
      <c r="H1016" s="73"/>
      <c r="I1016" s="75"/>
    </row>
    <row r="1017">
      <c r="C1017" s="72"/>
      <c r="G1017" s="73"/>
      <c r="H1017" s="73"/>
      <c r="I1017" s="75"/>
    </row>
    <row r="1018">
      <c r="C1018" s="72"/>
      <c r="G1018" s="73"/>
      <c r="H1018" s="73"/>
      <c r="I1018" s="75"/>
    </row>
    <row r="1019">
      <c r="C1019" s="72"/>
      <c r="G1019" s="73"/>
      <c r="H1019" s="73"/>
      <c r="I1019" s="75"/>
    </row>
    <row r="1020">
      <c r="C1020" s="72"/>
      <c r="G1020" s="73"/>
      <c r="H1020" s="73"/>
      <c r="I1020" s="75"/>
    </row>
    <row r="1021">
      <c r="C1021" s="72"/>
      <c r="G1021" s="73"/>
      <c r="H1021" s="73"/>
      <c r="I1021" s="75"/>
    </row>
    <row r="1022">
      <c r="C1022" s="72"/>
      <c r="G1022" s="73"/>
      <c r="H1022" s="73"/>
      <c r="I1022" s="75"/>
    </row>
    <row r="1023">
      <c r="C1023" s="72"/>
      <c r="G1023" s="73"/>
      <c r="H1023" s="73"/>
      <c r="I1023" s="75"/>
    </row>
    <row r="1024">
      <c r="C1024" s="72"/>
      <c r="G1024" s="73"/>
      <c r="H1024" s="73"/>
      <c r="I1024" s="75"/>
    </row>
    <row r="1025">
      <c r="C1025" s="72"/>
      <c r="G1025" s="73"/>
      <c r="H1025" s="73"/>
      <c r="I1025" s="75"/>
    </row>
    <row r="1026">
      <c r="C1026" s="72"/>
      <c r="G1026" s="73"/>
      <c r="H1026" s="73"/>
      <c r="I1026" s="75"/>
    </row>
    <row r="1027">
      <c r="C1027" s="72"/>
      <c r="G1027" s="73"/>
      <c r="H1027" s="73"/>
      <c r="I1027" s="75"/>
    </row>
    <row r="1028">
      <c r="C1028" s="72"/>
      <c r="G1028" s="73"/>
      <c r="H1028" s="73"/>
      <c r="I1028" s="75"/>
    </row>
    <row r="1029">
      <c r="C1029" s="72"/>
      <c r="G1029" s="73"/>
      <c r="H1029" s="73"/>
      <c r="I1029" s="75"/>
    </row>
    <row r="1030">
      <c r="C1030" s="72"/>
      <c r="G1030" s="73"/>
      <c r="H1030" s="73"/>
      <c r="I1030" s="75"/>
    </row>
    <row r="1031">
      <c r="C1031" s="72"/>
      <c r="G1031" s="73"/>
      <c r="H1031" s="73"/>
      <c r="I1031" s="75"/>
    </row>
    <row r="1032">
      <c r="C1032" s="72"/>
      <c r="G1032" s="73"/>
      <c r="H1032" s="73"/>
      <c r="I1032" s="75"/>
    </row>
    <row r="1033">
      <c r="C1033" s="72"/>
      <c r="G1033" s="73"/>
      <c r="H1033" s="73"/>
      <c r="I1033" s="75"/>
    </row>
    <row r="1034">
      <c r="C1034" s="72"/>
      <c r="G1034" s="73"/>
      <c r="H1034" s="73"/>
      <c r="I1034" s="75"/>
    </row>
    <row r="1035">
      <c r="C1035" s="72"/>
      <c r="G1035" s="73"/>
      <c r="H1035" s="73"/>
      <c r="I1035" s="75"/>
    </row>
    <row r="1036">
      <c r="C1036" s="72"/>
      <c r="G1036" s="73"/>
      <c r="H1036" s="73"/>
      <c r="I1036" s="75"/>
    </row>
    <row r="1037">
      <c r="C1037" s="72"/>
      <c r="G1037" s="73"/>
      <c r="H1037" s="73"/>
      <c r="I1037" s="75"/>
    </row>
    <row r="1038">
      <c r="C1038" s="72"/>
      <c r="G1038" s="73"/>
      <c r="H1038" s="73"/>
      <c r="I1038" s="75"/>
    </row>
    <row r="1039">
      <c r="C1039" s="72"/>
      <c r="G1039" s="73"/>
      <c r="H1039" s="73"/>
      <c r="I1039" s="75"/>
    </row>
    <row r="1040">
      <c r="C1040" s="72"/>
      <c r="G1040" s="73"/>
      <c r="H1040" s="73"/>
      <c r="I1040" s="75"/>
    </row>
    <row r="1041">
      <c r="C1041" s="72"/>
      <c r="G1041" s="73"/>
      <c r="H1041" s="73"/>
      <c r="I1041" s="75"/>
    </row>
    <row r="1042">
      <c r="C1042" s="72"/>
      <c r="G1042" s="73"/>
      <c r="H1042" s="73"/>
      <c r="I1042" s="75"/>
    </row>
    <row r="1043">
      <c r="C1043" s="72"/>
      <c r="G1043" s="73"/>
      <c r="H1043" s="73"/>
      <c r="I1043" s="75"/>
    </row>
    <row r="1044">
      <c r="C1044" s="72"/>
      <c r="G1044" s="73"/>
      <c r="H1044" s="73"/>
      <c r="I1044" s="75"/>
    </row>
    <row r="1045">
      <c r="C1045" s="72"/>
      <c r="G1045" s="73"/>
      <c r="H1045" s="73"/>
      <c r="I1045" s="75"/>
    </row>
    <row r="1046">
      <c r="C1046" s="72"/>
      <c r="G1046" s="73"/>
      <c r="H1046" s="73"/>
      <c r="I1046" s="75"/>
    </row>
    <row r="1047">
      <c r="C1047" s="72"/>
      <c r="G1047" s="73"/>
      <c r="H1047" s="73"/>
      <c r="I1047" s="75"/>
    </row>
    <row r="1048">
      <c r="C1048" s="72"/>
      <c r="G1048" s="73"/>
      <c r="H1048" s="73"/>
      <c r="I1048" s="75"/>
    </row>
    <row r="1049">
      <c r="C1049" s="72"/>
      <c r="G1049" s="73"/>
      <c r="H1049" s="73"/>
      <c r="I1049" s="75"/>
    </row>
    <row r="1050">
      <c r="C1050" s="72"/>
      <c r="G1050" s="73"/>
      <c r="H1050" s="73"/>
      <c r="I1050" s="75"/>
    </row>
    <row r="1051">
      <c r="C1051" s="72"/>
      <c r="G1051" s="73"/>
      <c r="H1051" s="73"/>
      <c r="I1051" s="75"/>
    </row>
    <row r="1052">
      <c r="C1052" s="72"/>
      <c r="G1052" s="73"/>
      <c r="H1052" s="73"/>
      <c r="I1052" s="75"/>
    </row>
    <row r="1053">
      <c r="C1053" s="72"/>
      <c r="G1053" s="73"/>
      <c r="H1053" s="73"/>
      <c r="I1053" s="75"/>
    </row>
    <row r="1054">
      <c r="C1054" s="72"/>
      <c r="G1054" s="73"/>
      <c r="H1054" s="73"/>
      <c r="I1054" s="75"/>
    </row>
    <row r="1055">
      <c r="C1055" s="72"/>
      <c r="G1055" s="73"/>
      <c r="H1055" s="73"/>
      <c r="I1055" s="75"/>
    </row>
    <row r="1056">
      <c r="C1056" s="72"/>
      <c r="G1056" s="73"/>
      <c r="H1056" s="73"/>
      <c r="I1056" s="75"/>
    </row>
    <row r="1057">
      <c r="C1057" s="72"/>
      <c r="G1057" s="73"/>
      <c r="H1057" s="73"/>
      <c r="I1057" s="75"/>
    </row>
    <row r="1058">
      <c r="C1058" s="72"/>
      <c r="G1058" s="73"/>
      <c r="H1058" s="73"/>
      <c r="I1058" s="75"/>
    </row>
    <row r="1059">
      <c r="C1059" s="72"/>
      <c r="G1059" s="73"/>
      <c r="H1059" s="73"/>
      <c r="I1059" s="75"/>
    </row>
    <row r="1060">
      <c r="C1060" s="72"/>
      <c r="G1060" s="73"/>
      <c r="H1060" s="73"/>
      <c r="I1060" s="75"/>
    </row>
    <row r="1061">
      <c r="C1061" s="72"/>
      <c r="G1061" s="73"/>
      <c r="H1061" s="73"/>
      <c r="I1061" s="75"/>
    </row>
    <row r="1062">
      <c r="C1062" s="72"/>
      <c r="G1062" s="73"/>
      <c r="H1062" s="73"/>
      <c r="I1062" s="75"/>
    </row>
    <row r="1063">
      <c r="C1063" s="72"/>
      <c r="G1063" s="73"/>
      <c r="H1063" s="73"/>
      <c r="I1063" s="75"/>
    </row>
    <row r="1064">
      <c r="C1064" s="72"/>
      <c r="G1064" s="73"/>
      <c r="H1064" s="73"/>
      <c r="I1064" s="75"/>
    </row>
    <row r="1065">
      <c r="C1065" s="72"/>
      <c r="G1065" s="73"/>
      <c r="H1065" s="73"/>
      <c r="I1065" s="75"/>
    </row>
    <row r="1066">
      <c r="C1066" s="72"/>
      <c r="G1066" s="73"/>
      <c r="H1066" s="73"/>
      <c r="I1066" s="75"/>
    </row>
    <row r="1067">
      <c r="C1067" s="72"/>
      <c r="G1067" s="73"/>
      <c r="H1067" s="73"/>
      <c r="I1067" s="75"/>
    </row>
    <row r="1068">
      <c r="C1068" s="72"/>
      <c r="G1068" s="73"/>
      <c r="H1068" s="73"/>
      <c r="I1068" s="75"/>
    </row>
    <row r="1069">
      <c r="C1069" s="72"/>
      <c r="G1069" s="73"/>
      <c r="H1069" s="73"/>
      <c r="I1069" s="75"/>
    </row>
    <row r="1070">
      <c r="C1070" s="72"/>
      <c r="G1070" s="73"/>
      <c r="H1070" s="73"/>
      <c r="I1070" s="75"/>
    </row>
    <row r="1071">
      <c r="C1071" s="72"/>
      <c r="G1071" s="73"/>
      <c r="H1071" s="73"/>
      <c r="I1071" s="75"/>
    </row>
    <row r="1072">
      <c r="C1072" s="72"/>
      <c r="G1072" s="73"/>
      <c r="H1072" s="73"/>
      <c r="I1072" s="75"/>
    </row>
    <row r="1073">
      <c r="C1073" s="72"/>
      <c r="G1073" s="73"/>
      <c r="H1073" s="73"/>
      <c r="I1073" s="75"/>
    </row>
    <row r="1074">
      <c r="C1074" s="72"/>
      <c r="G1074" s="73"/>
      <c r="H1074" s="73"/>
      <c r="I1074" s="75"/>
    </row>
    <row r="1075">
      <c r="C1075" s="72"/>
      <c r="G1075" s="73"/>
      <c r="H1075" s="73"/>
      <c r="I1075" s="75"/>
    </row>
    <row r="1076">
      <c r="C1076" s="72"/>
      <c r="G1076" s="73"/>
      <c r="H1076" s="73"/>
      <c r="I1076" s="75"/>
    </row>
    <row r="1077">
      <c r="C1077" s="72"/>
      <c r="G1077" s="73"/>
      <c r="H1077" s="73"/>
      <c r="I1077" s="75"/>
    </row>
    <row r="1078">
      <c r="C1078" s="72"/>
      <c r="G1078" s="73"/>
      <c r="H1078" s="73"/>
      <c r="I1078" s="75"/>
    </row>
    <row r="1079">
      <c r="C1079" s="72"/>
      <c r="G1079" s="73"/>
      <c r="H1079" s="73"/>
      <c r="I1079" s="75"/>
    </row>
    <row r="1080">
      <c r="C1080" s="72"/>
      <c r="G1080" s="73"/>
      <c r="H1080" s="73"/>
      <c r="I1080" s="75"/>
    </row>
    <row r="1081">
      <c r="C1081" s="72"/>
      <c r="G1081" s="73"/>
      <c r="H1081" s="73"/>
      <c r="I1081" s="75"/>
    </row>
    <row r="1082">
      <c r="C1082" s="72"/>
      <c r="G1082" s="73"/>
      <c r="H1082" s="73"/>
      <c r="I1082" s="75"/>
    </row>
    <row r="1083">
      <c r="C1083" s="72"/>
      <c r="G1083" s="73"/>
      <c r="H1083" s="73"/>
      <c r="I1083" s="75"/>
    </row>
    <row r="1084">
      <c r="C1084" s="72"/>
      <c r="G1084" s="73"/>
      <c r="H1084" s="73"/>
      <c r="I1084" s="75"/>
    </row>
    <row r="1085">
      <c r="C1085" s="72"/>
      <c r="G1085" s="73"/>
      <c r="H1085" s="73"/>
      <c r="I1085" s="75"/>
    </row>
    <row r="1086">
      <c r="C1086" s="72"/>
      <c r="G1086" s="73"/>
      <c r="H1086" s="73"/>
      <c r="I1086" s="75"/>
    </row>
    <row r="1087">
      <c r="C1087" s="72"/>
      <c r="G1087" s="73"/>
      <c r="H1087" s="73"/>
      <c r="I1087" s="75"/>
    </row>
    <row r="1088">
      <c r="C1088" s="72"/>
      <c r="G1088" s="73"/>
      <c r="H1088" s="73"/>
      <c r="I1088" s="75"/>
    </row>
    <row r="1089">
      <c r="C1089" s="72"/>
      <c r="G1089" s="73"/>
      <c r="H1089" s="73"/>
      <c r="I1089" s="75"/>
    </row>
    <row r="1090">
      <c r="C1090" s="72"/>
      <c r="G1090" s="73"/>
      <c r="H1090" s="73"/>
      <c r="I1090" s="75"/>
    </row>
    <row r="1091">
      <c r="C1091" s="72"/>
      <c r="G1091" s="73"/>
      <c r="H1091" s="73"/>
      <c r="I1091" s="75"/>
    </row>
    <row r="1092">
      <c r="C1092" s="72"/>
      <c r="G1092" s="73"/>
      <c r="H1092" s="73"/>
      <c r="I1092" s="75"/>
    </row>
    <row r="1093">
      <c r="C1093" s="72"/>
      <c r="G1093" s="73"/>
      <c r="H1093" s="73"/>
      <c r="I1093" s="75"/>
    </row>
    <row r="1094">
      <c r="C1094" s="72"/>
      <c r="G1094" s="73"/>
      <c r="H1094" s="73"/>
      <c r="I1094" s="75"/>
    </row>
    <row r="1095">
      <c r="C1095" s="72"/>
      <c r="G1095" s="73"/>
      <c r="H1095" s="73"/>
      <c r="I1095" s="75"/>
    </row>
    <row r="1096">
      <c r="C1096" s="72"/>
      <c r="G1096" s="73"/>
      <c r="H1096" s="73"/>
      <c r="I1096" s="75"/>
    </row>
    <row r="1097">
      <c r="C1097" s="72"/>
      <c r="G1097" s="73"/>
      <c r="H1097" s="73"/>
      <c r="I1097" s="75"/>
    </row>
    <row r="1098">
      <c r="C1098" s="72"/>
      <c r="G1098" s="73"/>
      <c r="H1098" s="73"/>
      <c r="I1098" s="75"/>
    </row>
    <row r="1099">
      <c r="C1099" s="72"/>
      <c r="G1099" s="73"/>
      <c r="H1099" s="73"/>
      <c r="I1099" s="75"/>
    </row>
    <row r="1100">
      <c r="C1100" s="72"/>
      <c r="G1100" s="73"/>
      <c r="H1100" s="73"/>
      <c r="I1100" s="75"/>
    </row>
    <row r="1101">
      <c r="C1101" s="72"/>
      <c r="G1101" s="73"/>
      <c r="H1101" s="73"/>
      <c r="I1101" s="75"/>
    </row>
    <row r="1102">
      <c r="C1102" s="72"/>
      <c r="G1102" s="73"/>
      <c r="H1102" s="73"/>
      <c r="I1102" s="75"/>
    </row>
    <row r="1103">
      <c r="C1103" s="72"/>
      <c r="G1103" s="73"/>
      <c r="H1103" s="73"/>
      <c r="I1103" s="75"/>
    </row>
    <row r="1104">
      <c r="C1104" s="72"/>
      <c r="G1104" s="73"/>
      <c r="H1104" s="73"/>
      <c r="I1104" s="75"/>
    </row>
    <row r="1105">
      <c r="C1105" s="72"/>
      <c r="G1105" s="73"/>
      <c r="H1105" s="73"/>
      <c r="I1105" s="75"/>
    </row>
    <row r="1106">
      <c r="C1106" s="72"/>
      <c r="G1106" s="73"/>
      <c r="H1106" s="73"/>
      <c r="I1106" s="75"/>
    </row>
    <row r="1107">
      <c r="C1107" s="72"/>
      <c r="G1107" s="73"/>
      <c r="H1107" s="73"/>
      <c r="I1107" s="75"/>
    </row>
    <row r="1108">
      <c r="C1108" s="72"/>
      <c r="G1108" s="73"/>
      <c r="H1108" s="73"/>
      <c r="I1108" s="75"/>
    </row>
    <row r="1109">
      <c r="C1109" s="72"/>
      <c r="G1109" s="73"/>
      <c r="H1109" s="73"/>
      <c r="I1109" s="75"/>
    </row>
    <row r="1110">
      <c r="C1110" s="72"/>
      <c r="G1110" s="73"/>
      <c r="H1110" s="73"/>
      <c r="I1110" s="75"/>
    </row>
    <row r="1111">
      <c r="C1111" s="72"/>
      <c r="G1111" s="73"/>
      <c r="H1111" s="73"/>
      <c r="I1111" s="75"/>
    </row>
    <row r="1112">
      <c r="C1112" s="72"/>
      <c r="G1112" s="73"/>
      <c r="H1112" s="73"/>
      <c r="I1112" s="75"/>
    </row>
    <row r="1113">
      <c r="C1113" s="72"/>
      <c r="G1113" s="73"/>
      <c r="H1113" s="73"/>
      <c r="I1113" s="75"/>
    </row>
    <row r="1114">
      <c r="C1114" s="72"/>
      <c r="G1114" s="73"/>
      <c r="H1114" s="73"/>
      <c r="I1114" s="75"/>
    </row>
    <row r="1115">
      <c r="C1115" s="72"/>
      <c r="G1115" s="73"/>
      <c r="H1115" s="73"/>
      <c r="I1115" s="75"/>
    </row>
    <row r="1116">
      <c r="C1116" s="72"/>
      <c r="G1116" s="73"/>
      <c r="H1116" s="73"/>
      <c r="I1116" s="75"/>
    </row>
    <row r="1117">
      <c r="C1117" s="72"/>
      <c r="G1117" s="73"/>
      <c r="H1117" s="73"/>
      <c r="I1117" s="75"/>
    </row>
    <row r="1118">
      <c r="C1118" s="72"/>
      <c r="G1118" s="73"/>
      <c r="H1118" s="73"/>
      <c r="I1118" s="75"/>
    </row>
    <row r="1119">
      <c r="C1119" s="72"/>
      <c r="G1119" s="73"/>
      <c r="H1119" s="73"/>
      <c r="I1119" s="75"/>
    </row>
    <row r="1120">
      <c r="C1120" s="72"/>
      <c r="G1120" s="73"/>
      <c r="H1120" s="73"/>
      <c r="I1120" s="75"/>
    </row>
    <row r="1121">
      <c r="C1121" s="72"/>
      <c r="G1121" s="73"/>
      <c r="H1121" s="73"/>
      <c r="I1121" s="75"/>
    </row>
    <row r="1122">
      <c r="C1122" s="72"/>
      <c r="G1122" s="73"/>
      <c r="H1122" s="73"/>
      <c r="I1122" s="75"/>
    </row>
    <row r="1123">
      <c r="C1123" s="72"/>
      <c r="G1123" s="73"/>
      <c r="H1123" s="73"/>
      <c r="I1123" s="75"/>
    </row>
    <row r="1124">
      <c r="C1124" s="72"/>
      <c r="G1124" s="73"/>
      <c r="H1124" s="73"/>
      <c r="I1124" s="75"/>
    </row>
    <row r="1125">
      <c r="C1125" s="72"/>
      <c r="G1125" s="73"/>
      <c r="H1125" s="73"/>
      <c r="I1125" s="75"/>
    </row>
    <row r="1126">
      <c r="C1126" s="72"/>
      <c r="G1126" s="73"/>
      <c r="H1126" s="73"/>
      <c r="I1126" s="75"/>
    </row>
    <row r="1127">
      <c r="C1127" s="72"/>
      <c r="G1127" s="73"/>
      <c r="H1127" s="73"/>
      <c r="I1127" s="75"/>
    </row>
    <row r="1128">
      <c r="C1128" s="72"/>
      <c r="G1128" s="73"/>
      <c r="H1128" s="73"/>
      <c r="I1128" s="75"/>
    </row>
    <row r="1129">
      <c r="C1129" s="72"/>
      <c r="G1129" s="73"/>
      <c r="H1129" s="73"/>
      <c r="I1129" s="75"/>
    </row>
    <row r="1130">
      <c r="C1130" s="72"/>
      <c r="G1130" s="73"/>
      <c r="H1130" s="73"/>
      <c r="I1130" s="75"/>
    </row>
    <row r="1131">
      <c r="C1131" s="72"/>
      <c r="G1131" s="73"/>
      <c r="H1131" s="73"/>
      <c r="I1131" s="75"/>
    </row>
    <row r="1132">
      <c r="C1132" s="72"/>
      <c r="G1132" s="73"/>
      <c r="H1132" s="73"/>
      <c r="I1132" s="75"/>
    </row>
    <row r="1133">
      <c r="C1133" s="72"/>
      <c r="G1133" s="73"/>
      <c r="H1133" s="73"/>
      <c r="I1133" s="75"/>
    </row>
    <row r="1134">
      <c r="C1134" s="72"/>
      <c r="G1134" s="73"/>
      <c r="H1134" s="73"/>
      <c r="I1134" s="75"/>
    </row>
    <row r="1135">
      <c r="C1135" s="72"/>
      <c r="G1135" s="73"/>
      <c r="H1135" s="73"/>
      <c r="I1135" s="75"/>
    </row>
    <row r="1136">
      <c r="C1136" s="72"/>
      <c r="G1136" s="73"/>
      <c r="H1136" s="73"/>
      <c r="I1136" s="75"/>
    </row>
    <row r="1137">
      <c r="C1137" s="72"/>
      <c r="G1137" s="73"/>
      <c r="H1137" s="73"/>
      <c r="I1137" s="75"/>
    </row>
    <row r="1138">
      <c r="C1138" s="72"/>
      <c r="G1138" s="73"/>
      <c r="H1138" s="73"/>
      <c r="I1138" s="75"/>
    </row>
    <row r="1139">
      <c r="C1139" s="72"/>
      <c r="G1139" s="73"/>
      <c r="H1139" s="73"/>
      <c r="I1139" s="75"/>
    </row>
    <row r="1140">
      <c r="C1140" s="72"/>
      <c r="G1140" s="73"/>
      <c r="H1140" s="73"/>
      <c r="I1140" s="75"/>
    </row>
    <row r="1141">
      <c r="C1141" s="72"/>
      <c r="G1141" s="73"/>
      <c r="H1141" s="73"/>
      <c r="I1141" s="75"/>
    </row>
    <row r="1142">
      <c r="C1142" s="72"/>
      <c r="G1142" s="73"/>
      <c r="H1142" s="73"/>
      <c r="I1142" s="75"/>
    </row>
    <row r="1143">
      <c r="C1143" s="72"/>
      <c r="G1143" s="73"/>
      <c r="H1143" s="73"/>
      <c r="I1143" s="75"/>
    </row>
    <row r="1144">
      <c r="C1144" s="72"/>
      <c r="G1144" s="73"/>
      <c r="H1144" s="73"/>
      <c r="I1144" s="75"/>
    </row>
    <row r="1145">
      <c r="C1145" s="72"/>
      <c r="G1145" s="73"/>
      <c r="H1145" s="73"/>
      <c r="I1145" s="75"/>
    </row>
    <row r="1146">
      <c r="C1146" s="72"/>
      <c r="G1146" s="73"/>
      <c r="H1146" s="73"/>
      <c r="I1146" s="75"/>
    </row>
    <row r="1147">
      <c r="C1147" s="72"/>
      <c r="G1147" s="73"/>
      <c r="H1147" s="73"/>
      <c r="I1147" s="75"/>
    </row>
    <row r="1148">
      <c r="C1148" s="72"/>
      <c r="G1148" s="73"/>
      <c r="H1148" s="73"/>
      <c r="I1148" s="75"/>
    </row>
    <row r="1149">
      <c r="C1149" s="72"/>
      <c r="G1149" s="73"/>
      <c r="H1149" s="73"/>
      <c r="I1149" s="75"/>
    </row>
    <row r="1150">
      <c r="C1150" s="72"/>
      <c r="G1150" s="73"/>
      <c r="H1150" s="73"/>
      <c r="I1150" s="75"/>
    </row>
    <row r="1151">
      <c r="C1151" s="72"/>
      <c r="G1151" s="73"/>
      <c r="H1151" s="73"/>
      <c r="I1151" s="75"/>
    </row>
    <row r="1152">
      <c r="C1152" s="72"/>
      <c r="G1152" s="73"/>
      <c r="H1152" s="73"/>
      <c r="I1152" s="75"/>
    </row>
    <row r="1153">
      <c r="C1153" s="72"/>
      <c r="G1153" s="73"/>
      <c r="H1153" s="73"/>
      <c r="I1153" s="75"/>
    </row>
    <row r="1154">
      <c r="C1154" s="72"/>
      <c r="G1154" s="73"/>
      <c r="H1154" s="73"/>
      <c r="I1154" s="75"/>
    </row>
    <row r="1155">
      <c r="C1155" s="72"/>
      <c r="G1155" s="73"/>
      <c r="H1155" s="73"/>
      <c r="I1155" s="75"/>
    </row>
    <row r="1156">
      <c r="C1156" s="72"/>
      <c r="G1156" s="73"/>
      <c r="H1156" s="73"/>
      <c r="I1156" s="75"/>
    </row>
    <row r="1157">
      <c r="C1157" s="72"/>
      <c r="G1157" s="73"/>
      <c r="H1157" s="73"/>
      <c r="I1157" s="75"/>
    </row>
    <row r="1158">
      <c r="C1158" s="72"/>
      <c r="G1158" s="73"/>
      <c r="H1158" s="73"/>
      <c r="I1158" s="75"/>
    </row>
    <row r="1159">
      <c r="C1159" s="72"/>
      <c r="G1159" s="73"/>
      <c r="H1159" s="73"/>
      <c r="I1159" s="75"/>
    </row>
    <row r="1160">
      <c r="C1160" s="72"/>
      <c r="G1160" s="73"/>
      <c r="H1160" s="73"/>
      <c r="I1160" s="75"/>
    </row>
    <row r="1161">
      <c r="C1161" s="72"/>
      <c r="G1161" s="73"/>
      <c r="H1161" s="73"/>
      <c r="I1161" s="75"/>
    </row>
    <row r="1162">
      <c r="C1162" s="72"/>
      <c r="G1162" s="73"/>
      <c r="H1162" s="73"/>
      <c r="I1162" s="75"/>
    </row>
    <row r="1163">
      <c r="C1163" s="72"/>
      <c r="G1163" s="73"/>
      <c r="H1163" s="73"/>
      <c r="I1163" s="75"/>
    </row>
    <row r="1164">
      <c r="C1164" s="72"/>
      <c r="G1164" s="73"/>
      <c r="H1164" s="73"/>
      <c r="I1164" s="75"/>
    </row>
    <row r="1165">
      <c r="C1165" s="72"/>
      <c r="G1165" s="73"/>
      <c r="H1165" s="73"/>
      <c r="I1165" s="75"/>
    </row>
    <row r="1166">
      <c r="C1166" s="72"/>
      <c r="G1166" s="73"/>
      <c r="H1166" s="73"/>
      <c r="I1166" s="75"/>
    </row>
    <row r="1167">
      <c r="C1167" s="72"/>
      <c r="G1167" s="73"/>
      <c r="H1167" s="73"/>
      <c r="I1167" s="75"/>
    </row>
    <row r="1168">
      <c r="C1168" s="72"/>
      <c r="G1168" s="73"/>
      <c r="H1168" s="73"/>
      <c r="I1168" s="75"/>
    </row>
    <row r="1169">
      <c r="C1169" s="72"/>
      <c r="G1169" s="73"/>
      <c r="H1169" s="73"/>
      <c r="I1169" s="75"/>
    </row>
    <row r="1170">
      <c r="C1170" s="72"/>
      <c r="G1170" s="73"/>
      <c r="H1170" s="73"/>
      <c r="I1170" s="75"/>
    </row>
    <row r="1171">
      <c r="C1171" s="72"/>
      <c r="G1171" s="73"/>
      <c r="H1171" s="73"/>
      <c r="I1171" s="75"/>
    </row>
    <row r="1172">
      <c r="C1172" s="72"/>
      <c r="G1172" s="73"/>
      <c r="H1172" s="73"/>
      <c r="I1172" s="75"/>
    </row>
    <row r="1173">
      <c r="C1173" s="72"/>
      <c r="G1173" s="73"/>
      <c r="H1173" s="73"/>
      <c r="I1173" s="75"/>
    </row>
    <row r="1174">
      <c r="C1174" s="72"/>
      <c r="G1174" s="73"/>
      <c r="H1174" s="73"/>
      <c r="I1174" s="75"/>
    </row>
    <row r="1175">
      <c r="C1175" s="72"/>
      <c r="G1175" s="73"/>
      <c r="H1175" s="73"/>
      <c r="I1175" s="75"/>
    </row>
    <row r="1176">
      <c r="C1176" s="72"/>
      <c r="G1176" s="73"/>
      <c r="H1176" s="73"/>
      <c r="I1176" s="75"/>
    </row>
    <row r="1177">
      <c r="C1177" s="72"/>
      <c r="G1177" s="73"/>
      <c r="H1177" s="73"/>
      <c r="I1177" s="75"/>
    </row>
    <row r="1178">
      <c r="C1178" s="72"/>
      <c r="G1178" s="73"/>
      <c r="H1178" s="73"/>
      <c r="I1178" s="75"/>
    </row>
    <row r="1179">
      <c r="C1179" s="72"/>
      <c r="G1179" s="73"/>
      <c r="H1179" s="73"/>
      <c r="I1179" s="75"/>
    </row>
    <row r="1180">
      <c r="C1180" s="72"/>
      <c r="G1180" s="73"/>
      <c r="H1180" s="73"/>
      <c r="I1180" s="75"/>
    </row>
    <row r="1181">
      <c r="C1181" s="72"/>
      <c r="G1181" s="73"/>
      <c r="H1181" s="73"/>
      <c r="I1181" s="75"/>
    </row>
    <row r="1182">
      <c r="C1182" s="72"/>
      <c r="G1182" s="73"/>
      <c r="H1182" s="73"/>
      <c r="I1182" s="75"/>
    </row>
    <row r="1183">
      <c r="C1183" s="72"/>
      <c r="G1183" s="73"/>
      <c r="H1183" s="73"/>
      <c r="I1183" s="75"/>
    </row>
    <row r="1184">
      <c r="C1184" s="72"/>
      <c r="G1184" s="73"/>
      <c r="H1184" s="73"/>
      <c r="I1184" s="75"/>
    </row>
    <row r="1185">
      <c r="C1185" s="72"/>
      <c r="G1185" s="73"/>
      <c r="H1185" s="73"/>
      <c r="I1185" s="75"/>
    </row>
    <row r="1186">
      <c r="C1186" s="72"/>
      <c r="G1186" s="73"/>
      <c r="H1186" s="73"/>
      <c r="I1186" s="75"/>
    </row>
    <row r="1187">
      <c r="C1187" s="72"/>
      <c r="G1187" s="73"/>
      <c r="H1187" s="73"/>
      <c r="I1187" s="75"/>
    </row>
    <row r="1188">
      <c r="C1188" s="72"/>
      <c r="G1188" s="73"/>
      <c r="H1188" s="73"/>
      <c r="I1188" s="75"/>
    </row>
    <row r="1189">
      <c r="C1189" s="72"/>
      <c r="G1189" s="73"/>
      <c r="H1189" s="73"/>
      <c r="I1189" s="75"/>
    </row>
    <row r="1190">
      <c r="C1190" s="72"/>
      <c r="G1190" s="73"/>
      <c r="H1190" s="73"/>
      <c r="I1190" s="75"/>
    </row>
    <row r="1191">
      <c r="C1191" s="72"/>
      <c r="G1191" s="73"/>
      <c r="H1191" s="73"/>
      <c r="I1191" s="75"/>
    </row>
    <row r="1192">
      <c r="C1192" s="72"/>
      <c r="G1192" s="73"/>
      <c r="H1192" s="73"/>
      <c r="I1192" s="75"/>
    </row>
    <row r="1193">
      <c r="C1193" s="72"/>
      <c r="G1193" s="73"/>
      <c r="H1193" s="73"/>
      <c r="I1193" s="75"/>
    </row>
    <row r="1194">
      <c r="C1194" s="72"/>
      <c r="G1194" s="73"/>
      <c r="H1194" s="73"/>
      <c r="I1194" s="75"/>
    </row>
    <row r="1195">
      <c r="C1195" s="72"/>
      <c r="G1195" s="73"/>
      <c r="H1195" s="73"/>
      <c r="I1195" s="75"/>
    </row>
    <row r="1196">
      <c r="C1196" s="72"/>
      <c r="G1196" s="73"/>
      <c r="H1196" s="73"/>
      <c r="I1196" s="75"/>
    </row>
    <row r="1197">
      <c r="C1197" s="72"/>
      <c r="G1197" s="73"/>
      <c r="H1197" s="73"/>
      <c r="I1197" s="75"/>
    </row>
    <row r="1198">
      <c r="C1198" s="72"/>
      <c r="G1198" s="73"/>
      <c r="H1198" s="73"/>
      <c r="I1198" s="75"/>
    </row>
    <row r="1199">
      <c r="C1199" s="72"/>
      <c r="G1199" s="73"/>
      <c r="H1199" s="73"/>
      <c r="I1199" s="75"/>
    </row>
    <row r="1200">
      <c r="C1200" s="72"/>
      <c r="G1200" s="73"/>
      <c r="H1200" s="73"/>
      <c r="I1200" s="75"/>
    </row>
    <row r="1201">
      <c r="C1201" s="72"/>
      <c r="G1201" s="73"/>
      <c r="H1201" s="73"/>
      <c r="I1201" s="75"/>
    </row>
    <row r="1202">
      <c r="C1202" s="72"/>
      <c r="G1202" s="73"/>
      <c r="H1202" s="73"/>
      <c r="I1202" s="75"/>
    </row>
    <row r="1203">
      <c r="C1203" s="72"/>
      <c r="G1203" s="73"/>
      <c r="H1203" s="73"/>
      <c r="I1203" s="75"/>
    </row>
    <row r="1204">
      <c r="C1204" s="72"/>
      <c r="G1204" s="73"/>
      <c r="H1204" s="73"/>
      <c r="I1204" s="75"/>
    </row>
    <row r="1205">
      <c r="C1205" s="72"/>
      <c r="G1205" s="73"/>
      <c r="H1205" s="73"/>
      <c r="I1205" s="75"/>
    </row>
    <row r="1206">
      <c r="C1206" s="72"/>
      <c r="G1206" s="73"/>
      <c r="H1206" s="73"/>
      <c r="I1206" s="75"/>
    </row>
    <row r="1207">
      <c r="C1207" s="72"/>
      <c r="G1207" s="73"/>
      <c r="H1207" s="73"/>
      <c r="I1207" s="75"/>
    </row>
    <row r="1208">
      <c r="C1208" s="72"/>
      <c r="G1208" s="73"/>
      <c r="H1208" s="73"/>
      <c r="I1208" s="75"/>
    </row>
    <row r="1209">
      <c r="C1209" s="72"/>
      <c r="G1209" s="73"/>
      <c r="H1209" s="73"/>
      <c r="I1209" s="75"/>
    </row>
    <row r="1210">
      <c r="C1210" s="72"/>
      <c r="G1210" s="73"/>
      <c r="H1210" s="73"/>
      <c r="I1210" s="75"/>
    </row>
    <row r="1211">
      <c r="C1211" s="72"/>
      <c r="G1211" s="73"/>
      <c r="H1211" s="73"/>
      <c r="I1211" s="75"/>
    </row>
    <row r="1212">
      <c r="C1212" s="72"/>
      <c r="G1212" s="73"/>
      <c r="H1212" s="73"/>
      <c r="I1212" s="75"/>
    </row>
    <row r="1213">
      <c r="C1213" s="72"/>
      <c r="G1213" s="73"/>
      <c r="H1213" s="73"/>
      <c r="I1213" s="75"/>
    </row>
    <row r="1214">
      <c r="C1214" s="72"/>
      <c r="G1214" s="73"/>
      <c r="H1214" s="73"/>
      <c r="I1214" s="75"/>
    </row>
    <row r="1215">
      <c r="C1215" s="72"/>
      <c r="G1215" s="73"/>
      <c r="H1215" s="73"/>
      <c r="I1215" s="75"/>
    </row>
    <row r="1216">
      <c r="C1216" s="72"/>
      <c r="G1216" s="73"/>
      <c r="H1216" s="73"/>
      <c r="I1216" s="75"/>
    </row>
    <row r="1217">
      <c r="C1217" s="72"/>
      <c r="G1217" s="73"/>
      <c r="H1217" s="73"/>
      <c r="I1217" s="75"/>
    </row>
    <row r="1218">
      <c r="C1218" s="72"/>
      <c r="G1218" s="73"/>
      <c r="H1218" s="73"/>
      <c r="I1218" s="75"/>
    </row>
    <row r="1219">
      <c r="C1219" s="72"/>
      <c r="G1219" s="73"/>
      <c r="H1219" s="73"/>
      <c r="I1219" s="75"/>
    </row>
    <row r="1220">
      <c r="C1220" s="72"/>
      <c r="G1220" s="73"/>
      <c r="H1220" s="73"/>
      <c r="I1220" s="75"/>
    </row>
    <row r="1221">
      <c r="C1221" s="72"/>
      <c r="G1221" s="73"/>
      <c r="H1221" s="73"/>
      <c r="I1221" s="75"/>
    </row>
    <row r="1222">
      <c r="C1222" s="72"/>
      <c r="G1222" s="73"/>
      <c r="H1222" s="73"/>
      <c r="I1222" s="75"/>
    </row>
    <row r="1223">
      <c r="C1223" s="72"/>
      <c r="G1223" s="73"/>
      <c r="H1223" s="73"/>
      <c r="I1223" s="75"/>
    </row>
    <row r="1224">
      <c r="C1224" s="72"/>
      <c r="G1224" s="73"/>
      <c r="H1224" s="73"/>
      <c r="I1224" s="75"/>
    </row>
    <row r="1225">
      <c r="C1225" s="72"/>
      <c r="G1225" s="73"/>
      <c r="H1225" s="73"/>
      <c r="I1225" s="75"/>
    </row>
    <row r="1226">
      <c r="C1226" s="72"/>
      <c r="G1226" s="73"/>
      <c r="H1226" s="73"/>
      <c r="I1226" s="75"/>
    </row>
    <row r="1227">
      <c r="C1227" s="72"/>
      <c r="G1227" s="73"/>
      <c r="H1227" s="73"/>
      <c r="I1227" s="75"/>
    </row>
    <row r="1228">
      <c r="C1228" s="72"/>
      <c r="G1228" s="73"/>
      <c r="H1228" s="73"/>
      <c r="I1228" s="75"/>
    </row>
    <row r="1229">
      <c r="C1229" s="72"/>
      <c r="G1229" s="73"/>
      <c r="H1229" s="73"/>
      <c r="I1229" s="75"/>
    </row>
    <row r="1230">
      <c r="C1230" s="72"/>
      <c r="G1230" s="73"/>
      <c r="H1230" s="73"/>
      <c r="I1230" s="75"/>
    </row>
    <row r="1231">
      <c r="C1231" s="72"/>
      <c r="G1231" s="73"/>
      <c r="H1231" s="73"/>
      <c r="I1231" s="75"/>
    </row>
    <row r="1232">
      <c r="C1232" s="72"/>
      <c r="G1232" s="73"/>
      <c r="H1232" s="73"/>
      <c r="I1232" s="75"/>
    </row>
    <row r="1233">
      <c r="C1233" s="72"/>
      <c r="G1233" s="73"/>
      <c r="H1233" s="73"/>
      <c r="I1233" s="75"/>
    </row>
    <row r="1234">
      <c r="C1234" s="72"/>
      <c r="G1234" s="73"/>
      <c r="H1234" s="73"/>
      <c r="I1234" s="75"/>
    </row>
    <row r="1235">
      <c r="C1235" s="72"/>
      <c r="G1235" s="73"/>
      <c r="H1235" s="73"/>
      <c r="I1235" s="75"/>
    </row>
    <row r="1236">
      <c r="C1236" s="72"/>
      <c r="G1236" s="73"/>
      <c r="H1236" s="73"/>
      <c r="I1236" s="75"/>
    </row>
    <row r="1237">
      <c r="C1237" s="72"/>
      <c r="G1237" s="73"/>
      <c r="H1237" s="73"/>
      <c r="I1237" s="75"/>
    </row>
    <row r="1238">
      <c r="C1238" s="72"/>
      <c r="G1238" s="73"/>
      <c r="H1238" s="73"/>
      <c r="I1238" s="75"/>
    </row>
    <row r="1239">
      <c r="C1239" s="72"/>
      <c r="G1239" s="73"/>
      <c r="H1239" s="73"/>
      <c r="I1239" s="75"/>
    </row>
    <row r="1240">
      <c r="C1240" s="72"/>
      <c r="G1240" s="73"/>
      <c r="H1240" s="73"/>
      <c r="I1240" s="75"/>
    </row>
    <row r="1241">
      <c r="C1241" s="72"/>
      <c r="G1241" s="73"/>
      <c r="H1241" s="73"/>
      <c r="I1241" s="75"/>
    </row>
    <row r="1242">
      <c r="C1242" s="72"/>
      <c r="G1242" s="73"/>
      <c r="H1242" s="73"/>
      <c r="I1242" s="75"/>
    </row>
    <row r="1243">
      <c r="C1243" s="72"/>
      <c r="G1243" s="73"/>
      <c r="H1243" s="73"/>
      <c r="I1243" s="75"/>
    </row>
    <row r="1244">
      <c r="C1244" s="72"/>
      <c r="G1244" s="73"/>
      <c r="H1244" s="73"/>
      <c r="I1244" s="75"/>
    </row>
    <row r="1245">
      <c r="C1245" s="72"/>
      <c r="G1245" s="73"/>
      <c r="H1245" s="73"/>
      <c r="I1245" s="75"/>
    </row>
    <row r="1246">
      <c r="C1246" s="72"/>
      <c r="G1246" s="73"/>
      <c r="H1246" s="73"/>
      <c r="I1246" s="75"/>
    </row>
    <row r="1247">
      <c r="C1247" s="72"/>
      <c r="G1247" s="73"/>
      <c r="H1247" s="73"/>
      <c r="I1247" s="75"/>
    </row>
    <row r="1248">
      <c r="C1248" s="72"/>
      <c r="G1248" s="73"/>
      <c r="H1248" s="73"/>
      <c r="I1248" s="75"/>
    </row>
    <row r="1249">
      <c r="C1249" s="72"/>
      <c r="G1249" s="73"/>
      <c r="H1249" s="73"/>
      <c r="I1249" s="75"/>
    </row>
    <row r="1250">
      <c r="C1250" s="72"/>
      <c r="G1250" s="73"/>
      <c r="H1250" s="73"/>
      <c r="I1250" s="75"/>
    </row>
    <row r="1251">
      <c r="C1251" s="72"/>
      <c r="G1251" s="73"/>
      <c r="H1251" s="73"/>
      <c r="I1251" s="75"/>
    </row>
    <row r="1252">
      <c r="C1252" s="72"/>
      <c r="G1252" s="73"/>
      <c r="H1252" s="73"/>
      <c r="I1252" s="75"/>
    </row>
    <row r="1253">
      <c r="C1253" s="72"/>
      <c r="G1253" s="73"/>
      <c r="H1253" s="73"/>
      <c r="I1253" s="75"/>
    </row>
    <row r="1254">
      <c r="C1254" s="72"/>
      <c r="G1254" s="73"/>
      <c r="H1254" s="73"/>
      <c r="I1254" s="75"/>
    </row>
    <row r="1255">
      <c r="C1255" s="72"/>
      <c r="G1255" s="73"/>
      <c r="H1255" s="73"/>
      <c r="I1255" s="75"/>
    </row>
    <row r="1256">
      <c r="C1256" s="72"/>
      <c r="G1256" s="73"/>
      <c r="H1256" s="73"/>
      <c r="I1256" s="75"/>
    </row>
    <row r="1257">
      <c r="C1257" s="72"/>
      <c r="G1257" s="73"/>
      <c r="H1257" s="73"/>
      <c r="I1257" s="75"/>
    </row>
    <row r="1258">
      <c r="C1258" s="72"/>
      <c r="G1258" s="73"/>
      <c r="H1258" s="73"/>
      <c r="I1258" s="75"/>
    </row>
    <row r="1259">
      <c r="C1259" s="72"/>
      <c r="G1259" s="73"/>
      <c r="H1259" s="73"/>
      <c r="I1259" s="75"/>
    </row>
    <row r="1260">
      <c r="C1260" s="72"/>
      <c r="G1260" s="73"/>
      <c r="H1260" s="73"/>
      <c r="I1260" s="75"/>
    </row>
    <row r="1261">
      <c r="C1261" s="72"/>
      <c r="G1261" s="73"/>
      <c r="H1261" s="73"/>
      <c r="I1261" s="75"/>
    </row>
    <row r="1262">
      <c r="C1262" s="72"/>
      <c r="G1262" s="73"/>
      <c r="H1262" s="73"/>
      <c r="I1262" s="75"/>
    </row>
    <row r="1263">
      <c r="C1263" s="72"/>
      <c r="G1263" s="73"/>
      <c r="H1263" s="73"/>
      <c r="I1263" s="75"/>
    </row>
    <row r="1264">
      <c r="C1264" s="72"/>
      <c r="G1264" s="73"/>
      <c r="H1264" s="73"/>
      <c r="I1264" s="75"/>
    </row>
    <row r="1265">
      <c r="C1265" s="72"/>
      <c r="G1265" s="73"/>
      <c r="H1265" s="73"/>
      <c r="I1265" s="75"/>
    </row>
    <row r="1266">
      <c r="C1266" s="72"/>
      <c r="G1266" s="73"/>
      <c r="H1266" s="73"/>
      <c r="I1266" s="75"/>
    </row>
    <row r="1267">
      <c r="C1267" s="72"/>
      <c r="G1267" s="73"/>
      <c r="H1267" s="73"/>
      <c r="I1267" s="75"/>
    </row>
    <row r="1268">
      <c r="C1268" s="72"/>
      <c r="G1268" s="73"/>
      <c r="H1268" s="73"/>
      <c r="I1268" s="75"/>
    </row>
    <row r="1269">
      <c r="C1269" s="72"/>
      <c r="G1269" s="73"/>
      <c r="H1269" s="73"/>
      <c r="I1269" s="75"/>
    </row>
    <row r="1270">
      <c r="C1270" s="72"/>
      <c r="G1270" s="73"/>
      <c r="H1270" s="73"/>
      <c r="I1270" s="75"/>
    </row>
    <row r="1271">
      <c r="C1271" s="72"/>
      <c r="G1271" s="73"/>
      <c r="H1271" s="73"/>
      <c r="I1271" s="75"/>
    </row>
    <row r="1272">
      <c r="C1272" s="72"/>
      <c r="G1272" s="73"/>
      <c r="H1272" s="73"/>
      <c r="I1272" s="75"/>
    </row>
    <row r="1273">
      <c r="C1273" s="72"/>
      <c r="G1273" s="73"/>
      <c r="H1273" s="73"/>
      <c r="I1273" s="75"/>
    </row>
    <row r="1274">
      <c r="C1274" s="72"/>
      <c r="G1274" s="73"/>
      <c r="H1274" s="73"/>
      <c r="I1274" s="75"/>
    </row>
    <row r="1275">
      <c r="C1275" s="72"/>
      <c r="G1275" s="73"/>
      <c r="H1275" s="73"/>
      <c r="I1275" s="75"/>
    </row>
    <row r="1276">
      <c r="C1276" s="72"/>
      <c r="G1276" s="73"/>
      <c r="H1276" s="73"/>
      <c r="I1276" s="75"/>
    </row>
    <row r="1277">
      <c r="C1277" s="72"/>
      <c r="G1277" s="73"/>
      <c r="H1277" s="73"/>
      <c r="I1277" s="75"/>
    </row>
    <row r="1278">
      <c r="C1278" s="72"/>
      <c r="G1278" s="73"/>
      <c r="H1278" s="73"/>
      <c r="I1278" s="75"/>
    </row>
    <row r="1279">
      <c r="C1279" s="72"/>
      <c r="G1279" s="73"/>
      <c r="H1279" s="73"/>
      <c r="I1279" s="75"/>
    </row>
    <row r="1280">
      <c r="C1280" s="72"/>
      <c r="G1280" s="73"/>
      <c r="H1280" s="73"/>
      <c r="I1280" s="75"/>
    </row>
    <row r="1281">
      <c r="C1281" s="72"/>
      <c r="G1281" s="73"/>
      <c r="H1281" s="73"/>
      <c r="I1281" s="75"/>
    </row>
    <row r="1282">
      <c r="C1282" s="72"/>
      <c r="G1282" s="73"/>
      <c r="H1282" s="73"/>
      <c r="I1282" s="75"/>
    </row>
    <row r="1283">
      <c r="C1283" s="72"/>
      <c r="G1283" s="73"/>
      <c r="H1283" s="73"/>
      <c r="I1283" s="75"/>
    </row>
    <row r="1284">
      <c r="C1284" s="72"/>
      <c r="G1284" s="73"/>
      <c r="H1284" s="73"/>
      <c r="I1284" s="75"/>
    </row>
    <row r="1285">
      <c r="C1285" s="72"/>
      <c r="G1285" s="73"/>
      <c r="H1285" s="73"/>
      <c r="I1285" s="75"/>
    </row>
    <row r="1286">
      <c r="C1286" s="72"/>
      <c r="G1286" s="73"/>
      <c r="H1286" s="73"/>
      <c r="I1286" s="75"/>
    </row>
    <row r="1287">
      <c r="C1287" s="72"/>
      <c r="G1287" s="73"/>
      <c r="H1287" s="73"/>
      <c r="I1287" s="75"/>
    </row>
    <row r="1288">
      <c r="C1288" s="72"/>
      <c r="G1288" s="73"/>
      <c r="H1288" s="73"/>
      <c r="I1288" s="75"/>
    </row>
    <row r="1289">
      <c r="C1289" s="72"/>
      <c r="G1289" s="73"/>
      <c r="H1289" s="73"/>
      <c r="I1289" s="75"/>
    </row>
    <row r="1290">
      <c r="C1290" s="72"/>
      <c r="G1290" s="73"/>
      <c r="H1290" s="73"/>
      <c r="I1290" s="75"/>
    </row>
    <row r="1291">
      <c r="C1291" s="72"/>
      <c r="G1291" s="73"/>
      <c r="H1291" s="73"/>
      <c r="I1291" s="75"/>
    </row>
    <row r="1292">
      <c r="C1292" s="72"/>
      <c r="G1292" s="73"/>
      <c r="H1292" s="73"/>
      <c r="I1292" s="75"/>
    </row>
    <row r="1293">
      <c r="C1293" s="72"/>
      <c r="G1293" s="73"/>
      <c r="H1293" s="73"/>
      <c r="I1293" s="75"/>
    </row>
    <row r="1294">
      <c r="C1294" s="72"/>
      <c r="G1294" s="73"/>
      <c r="H1294" s="73"/>
      <c r="I1294" s="75"/>
    </row>
    <row r="1295">
      <c r="C1295" s="72"/>
      <c r="G1295" s="73"/>
      <c r="H1295" s="73"/>
      <c r="I1295" s="75"/>
    </row>
    <row r="1296">
      <c r="C1296" s="72"/>
      <c r="G1296" s="73"/>
      <c r="H1296" s="73"/>
      <c r="I1296" s="75"/>
    </row>
    <row r="1297">
      <c r="C1297" s="72"/>
      <c r="G1297" s="73"/>
      <c r="H1297" s="73"/>
      <c r="I1297" s="75"/>
    </row>
    <row r="1298">
      <c r="C1298" s="72"/>
      <c r="G1298" s="73"/>
      <c r="H1298" s="73"/>
      <c r="I1298" s="75"/>
    </row>
    <row r="1299">
      <c r="C1299" s="72"/>
      <c r="G1299" s="73"/>
      <c r="H1299" s="73"/>
      <c r="I1299" s="75"/>
    </row>
    <row r="1300">
      <c r="C1300" s="72"/>
      <c r="G1300" s="73"/>
      <c r="H1300" s="73"/>
      <c r="I1300" s="75"/>
    </row>
    <row r="1301">
      <c r="C1301" s="72"/>
      <c r="G1301" s="73"/>
      <c r="H1301" s="73"/>
      <c r="I1301" s="75"/>
    </row>
    <row r="1302">
      <c r="C1302" s="72"/>
      <c r="G1302" s="73"/>
      <c r="H1302" s="73"/>
      <c r="I1302" s="75"/>
    </row>
    <row r="1303">
      <c r="C1303" s="72"/>
      <c r="G1303" s="73"/>
      <c r="H1303" s="73"/>
      <c r="I1303" s="75"/>
    </row>
    <row r="1304">
      <c r="C1304" s="72"/>
      <c r="G1304" s="73"/>
      <c r="H1304" s="73"/>
      <c r="I1304" s="75"/>
    </row>
    <row r="1305">
      <c r="C1305" s="72"/>
      <c r="G1305" s="73"/>
      <c r="H1305" s="73"/>
      <c r="I1305" s="75"/>
    </row>
    <row r="1306">
      <c r="C1306" s="72"/>
      <c r="G1306" s="73"/>
      <c r="H1306" s="73"/>
      <c r="I1306" s="75"/>
    </row>
    <row r="1307">
      <c r="C1307" s="72"/>
      <c r="G1307" s="73"/>
      <c r="H1307" s="73"/>
      <c r="I1307" s="75"/>
    </row>
    <row r="1308">
      <c r="C1308" s="72"/>
      <c r="G1308" s="73"/>
      <c r="H1308" s="73"/>
      <c r="I1308" s="75"/>
    </row>
    <row r="1309">
      <c r="C1309" s="72"/>
      <c r="G1309" s="73"/>
      <c r="H1309" s="73"/>
      <c r="I1309" s="75"/>
    </row>
    <row r="1310">
      <c r="C1310" s="72"/>
      <c r="G1310" s="73"/>
      <c r="H1310" s="73"/>
      <c r="I1310" s="75"/>
    </row>
    <row r="1311">
      <c r="C1311" s="72"/>
      <c r="G1311" s="73"/>
      <c r="H1311" s="73"/>
      <c r="I1311" s="75"/>
    </row>
    <row r="1312">
      <c r="C1312" s="72"/>
      <c r="G1312" s="73"/>
      <c r="H1312" s="73"/>
      <c r="I1312" s="75"/>
    </row>
    <row r="1313">
      <c r="C1313" s="72"/>
      <c r="G1313" s="73"/>
      <c r="H1313" s="73"/>
      <c r="I1313" s="75"/>
    </row>
    <row r="1314">
      <c r="C1314" s="72"/>
      <c r="G1314" s="73"/>
      <c r="H1314" s="73"/>
      <c r="I1314" s="75"/>
    </row>
    <row r="1315">
      <c r="C1315" s="72"/>
      <c r="G1315" s="73"/>
      <c r="H1315" s="73"/>
      <c r="I1315" s="75"/>
    </row>
    <row r="1316">
      <c r="C1316" s="72"/>
      <c r="G1316" s="73"/>
      <c r="H1316" s="73"/>
      <c r="I1316" s="75"/>
    </row>
    <row r="1317">
      <c r="C1317" s="72"/>
      <c r="G1317" s="73"/>
      <c r="H1317" s="73"/>
      <c r="I1317" s="75"/>
    </row>
    <row r="1318">
      <c r="C1318" s="72"/>
      <c r="G1318" s="73"/>
      <c r="H1318" s="73"/>
      <c r="I1318" s="75"/>
    </row>
    <row r="1319">
      <c r="C1319" s="72"/>
      <c r="G1319" s="73"/>
      <c r="H1319" s="73"/>
      <c r="I1319" s="75"/>
    </row>
    <row r="1320">
      <c r="C1320" s="72"/>
      <c r="G1320" s="73"/>
      <c r="H1320" s="73"/>
      <c r="I1320" s="75"/>
    </row>
    <row r="1321">
      <c r="C1321" s="72"/>
      <c r="G1321" s="73"/>
      <c r="H1321" s="73"/>
      <c r="I1321" s="75"/>
    </row>
    <row r="1322">
      <c r="C1322" s="72"/>
      <c r="G1322" s="73"/>
      <c r="H1322" s="73"/>
      <c r="I1322" s="75"/>
    </row>
    <row r="1323">
      <c r="C1323" s="72"/>
      <c r="G1323" s="73"/>
      <c r="H1323" s="73"/>
      <c r="I1323" s="75"/>
    </row>
    <row r="1324">
      <c r="C1324" s="72"/>
      <c r="G1324" s="73"/>
      <c r="H1324" s="73"/>
      <c r="I1324" s="75"/>
    </row>
    <row r="1325">
      <c r="C1325" s="72"/>
      <c r="G1325" s="73"/>
      <c r="H1325" s="73"/>
      <c r="I1325" s="75"/>
    </row>
    <row r="1326">
      <c r="C1326" s="72"/>
      <c r="G1326" s="73"/>
      <c r="H1326" s="73"/>
      <c r="I1326" s="75"/>
    </row>
    <row r="1327">
      <c r="C1327" s="72"/>
      <c r="G1327" s="73"/>
      <c r="H1327" s="73"/>
      <c r="I1327" s="75"/>
    </row>
    <row r="1328">
      <c r="C1328" s="72"/>
      <c r="G1328" s="73"/>
      <c r="H1328" s="73"/>
      <c r="I1328" s="75"/>
    </row>
    <row r="1329">
      <c r="C1329" s="72"/>
      <c r="G1329" s="73"/>
      <c r="H1329" s="73"/>
      <c r="I1329" s="75"/>
    </row>
    <row r="1330">
      <c r="C1330" s="72"/>
      <c r="G1330" s="73"/>
      <c r="H1330" s="73"/>
      <c r="I1330" s="75"/>
    </row>
    <row r="1331">
      <c r="C1331" s="72"/>
      <c r="G1331" s="73"/>
      <c r="H1331" s="73"/>
      <c r="I1331" s="75"/>
    </row>
    <row r="1332">
      <c r="C1332" s="72"/>
      <c r="G1332" s="73"/>
      <c r="H1332" s="73"/>
      <c r="I1332" s="75"/>
    </row>
    <row r="1333">
      <c r="C1333" s="72"/>
      <c r="G1333" s="73"/>
      <c r="H1333" s="73"/>
      <c r="I1333" s="75"/>
    </row>
    <row r="1334">
      <c r="C1334" s="72"/>
      <c r="G1334" s="73"/>
      <c r="H1334" s="73"/>
      <c r="I1334" s="75"/>
    </row>
    <row r="1335">
      <c r="C1335" s="72"/>
      <c r="G1335" s="73"/>
      <c r="H1335" s="73"/>
      <c r="I1335" s="75"/>
    </row>
    <row r="1336">
      <c r="C1336" s="72"/>
      <c r="G1336" s="73"/>
      <c r="H1336" s="73"/>
      <c r="I1336" s="75"/>
    </row>
    <row r="1337">
      <c r="C1337" s="72"/>
      <c r="G1337" s="73"/>
      <c r="H1337" s="73"/>
      <c r="I1337" s="75"/>
    </row>
    <row r="1338">
      <c r="C1338" s="72"/>
      <c r="G1338" s="73"/>
      <c r="H1338" s="73"/>
      <c r="I1338" s="75"/>
    </row>
    <row r="1339">
      <c r="C1339" s="72"/>
      <c r="G1339" s="73"/>
      <c r="H1339" s="73"/>
      <c r="I1339" s="75"/>
    </row>
    <row r="1340">
      <c r="C1340" s="72"/>
      <c r="G1340" s="73"/>
      <c r="H1340" s="73"/>
      <c r="I1340" s="75"/>
    </row>
    <row r="1341">
      <c r="C1341" s="72"/>
      <c r="G1341" s="73"/>
      <c r="H1341" s="73"/>
      <c r="I1341" s="75"/>
    </row>
    <row r="1342">
      <c r="C1342" s="72"/>
      <c r="G1342" s="73"/>
      <c r="H1342" s="73"/>
      <c r="I1342" s="75"/>
    </row>
    <row r="1343">
      <c r="C1343" s="72"/>
      <c r="G1343" s="73"/>
      <c r="H1343" s="73"/>
      <c r="I1343" s="75"/>
    </row>
    <row r="1344">
      <c r="C1344" s="72"/>
      <c r="G1344" s="73"/>
      <c r="H1344" s="73"/>
      <c r="I1344" s="75"/>
    </row>
    <row r="1345">
      <c r="C1345" s="72"/>
      <c r="G1345" s="73"/>
      <c r="H1345" s="73"/>
      <c r="I1345" s="75"/>
    </row>
    <row r="1346">
      <c r="C1346" s="72"/>
      <c r="G1346" s="73"/>
      <c r="H1346" s="73"/>
      <c r="I1346" s="75"/>
    </row>
    <row r="1347">
      <c r="C1347" s="72"/>
      <c r="G1347" s="73"/>
      <c r="H1347" s="73"/>
      <c r="I1347" s="75"/>
    </row>
    <row r="1348">
      <c r="C1348" s="72"/>
      <c r="G1348" s="73"/>
      <c r="H1348" s="73"/>
      <c r="I1348" s="75"/>
    </row>
    <row r="1349">
      <c r="C1349" s="72"/>
      <c r="G1349" s="73"/>
      <c r="H1349" s="73"/>
      <c r="I1349" s="75"/>
    </row>
    <row r="1350">
      <c r="C1350" s="72"/>
      <c r="G1350" s="77"/>
      <c r="H1350" s="77"/>
    </row>
    <row r="1351">
      <c r="C1351" s="72"/>
      <c r="G1351" s="77"/>
      <c r="H1351" s="77"/>
    </row>
    <row r="1352">
      <c r="C1352" s="72"/>
      <c r="G1352" s="77"/>
      <c r="H1352" s="77"/>
    </row>
    <row r="1353">
      <c r="C1353" s="72"/>
      <c r="G1353" s="77"/>
      <c r="H1353" s="77"/>
    </row>
    <row r="1354">
      <c r="C1354" s="72"/>
      <c r="G1354" s="77"/>
      <c r="H1354" s="77"/>
    </row>
    <row r="1355">
      <c r="C1355" s="72"/>
      <c r="G1355" s="77"/>
      <c r="H1355" s="77"/>
    </row>
    <row r="1356">
      <c r="C1356" s="72"/>
      <c r="G1356" s="77"/>
      <c r="H1356" s="77"/>
    </row>
    <row r="1357">
      <c r="C1357" s="72"/>
      <c r="G1357" s="77"/>
      <c r="H1357" s="77"/>
    </row>
    <row r="1358">
      <c r="C1358" s="72"/>
      <c r="G1358" s="77"/>
      <c r="H1358" s="77"/>
    </row>
    <row r="1359">
      <c r="C1359" s="72"/>
      <c r="G1359" s="77"/>
      <c r="H1359" s="77"/>
    </row>
    <row r="1360">
      <c r="C1360" s="72"/>
      <c r="G1360" s="77"/>
      <c r="H1360" s="77"/>
    </row>
    <row r="1361">
      <c r="C1361" s="72"/>
      <c r="G1361" s="77"/>
      <c r="H1361" s="77"/>
    </row>
    <row r="1362">
      <c r="C1362" s="72"/>
      <c r="G1362" s="77"/>
      <c r="H1362" s="77"/>
    </row>
    <row r="1363">
      <c r="C1363" s="72"/>
      <c r="G1363" s="77"/>
      <c r="H1363" s="77"/>
    </row>
    <row r="1364">
      <c r="C1364" s="72"/>
      <c r="G1364" s="77"/>
      <c r="H1364" s="77"/>
    </row>
    <row r="1365">
      <c r="C1365" s="72"/>
      <c r="G1365" s="77"/>
      <c r="H1365" s="77"/>
    </row>
    <row r="1366">
      <c r="C1366" s="72"/>
      <c r="G1366" s="77"/>
      <c r="H1366" s="77"/>
    </row>
    <row r="1367">
      <c r="C1367" s="72"/>
      <c r="G1367" s="77"/>
      <c r="H1367" s="77"/>
    </row>
    <row r="1368">
      <c r="C1368" s="72"/>
      <c r="G1368" s="77"/>
      <c r="H1368" s="77"/>
    </row>
    <row r="1369">
      <c r="C1369" s="72"/>
      <c r="G1369" s="77"/>
      <c r="H1369" s="77"/>
    </row>
    <row r="1370">
      <c r="C1370" s="72"/>
      <c r="G1370" s="77"/>
      <c r="H1370" s="77"/>
    </row>
    <row r="1371">
      <c r="C1371" s="72"/>
      <c r="G1371" s="77"/>
      <c r="H1371" s="77"/>
    </row>
    <row r="1372">
      <c r="C1372" s="72"/>
      <c r="G1372" s="77"/>
      <c r="H1372" s="77"/>
    </row>
    <row r="1373">
      <c r="C1373" s="72"/>
      <c r="G1373" s="77"/>
      <c r="H1373" s="77"/>
    </row>
    <row r="1374">
      <c r="C1374" s="72"/>
      <c r="G1374" s="77"/>
      <c r="H1374" s="77"/>
    </row>
    <row r="1375">
      <c r="C1375" s="72"/>
      <c r="G1375" s="77"/>
      <c r="H1375" s="77"/>
    </row>
    <row r="1376">
      <c r="C1376" s="72"/>
      <c r="G1376" s="77"/>
      <c r="H1376" s="77"/>
    </row>
    <row r="1377">
      <c r="C1377" s="72"/>
      <c r="G1377" s="77"/>
      <c r="H1377" s="77"/>
    </row>
    <row r="1378">
      <c r="C1378" s="72"/>
      <c r="G1378" s="77"/>
      <c r="H1378" s="77"/>
    </row>
    <row r="1379">
      <c r="C1379" s="72"/>
      <c r="G1379" s="77"/>
      <c r="H1379" s="77"/>
    </row>
    <row r="1380">
      <c r="C1380" s="72"/>
      <c r="G1380" s="77"/>
      <c r="H1380" s="77"/>
    </row>
    <row r="1381">
      <c r="C1381" s="72"/>
      <c r="G1381" s="77"/>
      <c r="H1381" s="77"/>
    </row>
    <row r="1382">
      <c r="C1382" s="72"/>
      <c r="G1382" s="77"/>
      <c r="H1382" s="77"/>
    </row>
    <row r="1383">
      <c r="C1383" s="72"/>
      <c r="G1383" s="77"/>
      <c r="H1383" s="77"/>
    </row>
    <row r="1384">
      <c r="C1384" s="72"/>
      <c r="G1384" s="77"/>
      <c r="H1384" s="77"/>
    </row>
    <row r="1385">
      <c r="C1385" s="72"/>
      <c r="G1385" s="77"/>
      <c r="H1385" s="77"/>
    </row>
    <row r="1386">
      <c r="C1386" s="72"/>
      <c r="G1386" s="77"/>
      <c r="H1386" s="77"/>
    </row>
    <row r="1387">
      <c r="C1387" s="72"/>
      <c r="G1387" s="77"/>
      <c r="H1387" s="77"/>
    </row>
    <row r="1388">
      <c r="C1388" s="72"/>
      <c r="G1388" s="77"/>
      <c r="H1388" s="77"/>
    </row>
    <row r="1389">
      <c r="C1389" s="72"/>
      <c r="G1389" s="77"/>
      <c r="H1389" s="77"/>
    </row>
    <row r="1390">
      <c r="C1390" s="72"/>
      <c r="G1390" s="77"/>
      <c r="H1390" s="77"/>
    </row>
    <row r="1391">
      <c r="C1391" s="72"/>
      <c r="G1391" s="77"/>
      <c r="H1391" s="77"/>
    </row>
    <row r="1392">
      <c r="C1392" s="72"/>
      <c r="G1392" s="77"/>
      <c r="H1392" s="77"/>
    </row>
    <row r="1393">
      <c r="C1393" s="72"/>
      <c r="G1393" s="77"/>
      <c r="H1393" s="77"/>
    </row>
    <row r="1394">
      <c r="C1394" s="72"/>
      <c r="G1394" s="77"/>
      <c r="H1394" s="77"/>
    </row>
    <row r="1395">
      <c r="C1395" s="72"/>
      <c r="G1395" s="77"/>
      <c r="H1395" s="77"/>
    </row>
    <row r="1396">
      <c r="C1396" s="72"/>
      <c r="G1396" s="77"/>
      <c r="H1396" s="77"/>
    </row>
    <row r="1397">
      <c r="C1397" s="72"/>
      <c r="G1397" s="77"/>
      <c r="H1397" s="77"/>
    </row>
    <row r="1398">
      <c r="C1398" s="72"/>
      <c r="G1398" s="77"/>
      <c r="H1398" s="77"/>
    </row>
    <row r="1399">
      <c r="C1399" s="72"/>
      <c r="G1399" s="77"/>
      <c r="H1399" s="77"/>
    </row>
    <row r="1400">
      <c r="C1400" s="72"/>
      <c r="G1400" s="77"/>
      <c r="H1400" s="77"/>
    </row>
    <row r="1401">
      <c r="C1401" s="72"/>
      <c r="G1401" s="77"/>
      <c r="H1401" s="77"/>
    </row>
    <row r="1402">
      <c r="C1402" s="72"/>
      <c r="G1402" s="77"/>
      <c r="H1402" s="77"/>
    </row>
    <row r="1403">
      <c r="C1403" s="72"/>
      <c r="G1403" s="77"/>
      <c r="H1403" s="77"/>
    </row>
    <row r="1404">
      <c r="C1404" s="72"/>
      <c r="G1404" s="77"/>
      <c r="H1404" s="77"/>
    </row>
    <row r="1405">
      <c r="C1405" s="72"/>
      <c r="G1405" s="77"/>
      <c r="H1405" s="77"/>
    </row>
    <row r="1406">
      <c r="C1406" s="72"/>
      <c r="G1406" s="77"/>
      <c r="H1406" s="77"/>
    </row>
    <row r="1407">
      <c r="C1407" s="72"/>
      <c r="G1407" s="77"/>
      <c r="H1407" s="77"/>
    </row>
    <row r="1408">
      <c r="C1408" s="72"/>
      <c r="G1408" s="77"/>
      <c r="H1408" s="77"/>
    </row>
    <row r="1409">
      <c r="C1409" s="72"/>
      <c r="G1409" s="77"/>
      <c r="H1409" s="77"/>
    </row>
    <row r="1410">
      <c r="C1410" s="72"/>
      <c r="G1410" s="77"/>
      <c r="H1410" s="77"/>
    </row>
    <row r="1411">
      <c r="C1411" s="72"/>
      <c r="G1411" s="77"/>
      <c r="H1411" s="77"/>
    </row>
    <row r="1412">
      <c r="C1412" s="72"/>
      <c r="G1412" s="77"/>
      <c r="H1412" s="77"/>
    </row>
    <row r="1413">
      <c r="C1413" s="72"/>
      <c r="G1413" s="77"/>
      <c r="H1413" s="77"/>
    </row>
    <row r="1414">
      <c r="C1414" s="72"/>
      <c r="G1414" s="77"/>
      <c r="H1414" s="77"/>
    </row>
    <row r="1415">
      <c r="C1415" s="72"/>
      <c r="G1415" s="77"/>
      <c r="H1415" s="77"/>
    </row>
    <row r="1416">
      <c r="C1416" s="72"/>
      <c r="G1416" s="77"/>
      <c r="H1416" s="77"/>
    </row>
    <row r="1417">
      <c r="C1417" s="72"/>
      <c r="G1417" s="77"/>
      <c r="H1417" s="77"/>
    </row>
    <row r="1418">
      <c r="C1418" s="72"/>
      <c r="G1418" s="77"/>
      <c r="H1418" s="77"/>
    </row>
    <row r="1419">
      <c r="C1419" s="72"/>
      <c r="G1419" s="77"/>
      <c r="H1419" s="77"/>
    </row>
    <row r="1420">
      <c r="C1420" s="72"/>
      <c r="G1420" s="77"/>
      <c r="H1420" s="77"/>
    </row>
    <row r="1421">
      <c r="C1421" s="72"/>
      <c r="G1421" s="77"/>
      <c r="H1421" s="77"/>
    </row>
    <row r="1422">
      <c r="C1422" s="72"/>
      <c r="G1422" s="77"/>
      <c r="H1422" s="77"/>
    </row>
    <row r="1423">
      <c r="C1423" s="72"/>
      <c r="G1423" s="77"/>
      <c r="H1423" s="77"/>
    </row>
    <row r="1424">
      <c r="C1424" s="72"/>
      <c r="G1424" s="77"/>
      <c r="H1424" s="77"/>
    </row>
    <row r="1425">
      <c r="C1425" s="72"/>
      <c r="G1425" s="77"/>
      <c r="H1425" s="77"/>
    </row>
    <row r="1426">
      <c r="C1426" s="72"/>
      <c r="G1426" s="77"/>
      <c r="H1426" s="77"/>
    </row>
    <row r="1427">
      <c r="C1427" s="72"/>
      <c r="G1427" s="77"/>
      <c r="H1427" s="77"/>
    </row>
    <row r="1428">
      <c r="C1428" s="72"/>
      <c r="G1428" s="77"/>
      <c r="H1428" s="77"/>
    </row>
    <row r="1429">
      <c r="C1429" s="72"/>
      <c r="G1429" s="77"/>
      <c r="H1429" s="77"/>
    </row>
    <row r="1430">
      <c r="C1430" s="72"/>
      <c r="G1430" s="77"/>
      <c r="H1430" s="77"/>
    </row>
    <row r="1431">
      <c r="C1431" s="72"/>
      <c r="G1431" s="77"/>
      <c r="H1431" s="77"/>
    </row>
    <row r="1432">
      <c r="C1432" s="72"/>
      <c r="G1432" s="77"/>
      <c r="H1432" s="77"/>
    </row>
    <row r="1433">
      <c r="C1433" s="72"/>
      <c r="G1433" s="77"/>
      <c r="H1433" s="77"/>
    </row>
    <row r="1434">
      <c r="C1434" s="72"/>
      <c r="G1434" s="77"/>
      <c r="H1434" s="77"/>
    </row>
    <row r="1435">
      <c r="C1435" s="72"/>
      <c r="G1435" s="77"/>
      <c r="H1435" s="77"/>
    </row>
    <row r="1436">
      <c r="C1436" s="72"/>
      <c r="G1436" s="77"/>
      <c r="H1436" s="77"/>
    </row>
    <row r="1437">
      <c r="C1437" s="72"/>
      <c r="G1437" s="77"/>
      <c r="H1437" s="77"/>
    </row>
    <row r="1438">
      <c r="C1438" s="72"/>
      <c r="G1438" s="77"/>
      <c r="H1438" s="77"/>
    </row>
    <row r="1439">
      <c r="C1439" s="72"/>
      <c r="G1439" s="77"/>
      <c r="H1439" s="77"/>
    </row>
    <row r="1440">
      <c r="C1440" s="72"/>
      <c r="G1440" s="77"/>
      <c r="H1440" s="77"/>
    </row>
    <row r="1441">
      <c r="C1441" s="72"/>
      <c r="G1441" s="77"/>
      <c r="H1441" s="77"/>
    </row>
    <row r="1442">
      <c r="C1442" s="72"/>
      <c r="G1442" s="77"/>
      <c r="H1442" s="77"/>
    </row>
    <row r="1443">
      <c r="C1443" s="72"/>
      <c r="G1443" s="77"/>
      <c r="H1443" s="77"/>
    </row>
    <row r="1444">
      <c r="C1444" s="72"/>
      <c r="G1444" s="77"/>
      <c r="H1444" s="77"/>
    </row>
    <row r="1445">
      <c r="C1445" s="72"/>
      <c r="G1445" s="77"/>
      <c r="H1445" s="77"/>
    </row>
    <row r="1446">
      <c r="C1446" s="72"/>
      <c r="G1446" s="77"/>
      <c r="H1446" s="77"/>
    </row>
    <row r="1447">
      <c r="C1447" s="72"/>
      <c r="G1447" s="77"/>
      <c r="H1447" s="77"/>
    </row>
    <row r="1448">
      <c r="C1448" s="72"/>
      <c r="G1448" s="77"/>
      <c r="H1448" s="77"/>
    </row>
    <row r="1449">
      <c r="C1449" s="72"/>
      <c r="G1449" s="77"/>
      <c r="H1449" s="77"/>
    </row>
    <row r="1450">
      <c r="C1450" s="72"/>
      <c r="G1450" s="77"/>
      <c r="H1450" s="77"/>
    </row>
    <row r="1451">
      <c r="C1451" s="72"/>
      <c r="G1451" s="77"/>
      <c r="H1451" s="77"/>
    </row>
    <row r="1452">
      <c r="C1452" s="72"/>
      <c r="G1452" s="77"/>
      <c r="H1452" s="77"/>
    </row>
    <row r="1453">
      <c r="C1453" s="72"/>
      <c r="G1453" s="77"/>
      <c r="H1453" s="77"/>
    </row>
    <row r="1454">
      <c r="C1454" s="72"/>
      <c r="G1454" s="77"/>
      <c r="H1454" s="77"/>
    </row>
    <row r="1455">
      <c r="C1455" s="72"/>
      <c r="G1455" s="77"/>
      <c r="H1455" s="77"/>
    </row>
    <row r="1456">
      <c r="C1456" s="72"/>
      <c r="G1456" s="77"/>
      <c r="H1456" s="77"/>
    </row>
    <row r="1457">
      <c r="C1457" s="72"/>
      <c r="G1457" s="77"/>
      <c r="H1457" s="77"/>
    </row>
    <row r="1458">
      <c r="C1458" s="72"/>
      <c r="G1458" s="77"/>
      <c r="H1458" s="77"/>
    </row>
    <row r="1459">
      <c r="C1459" s="72"/>
      <c r="G1459" s="77"/>
      <c r="H1459" s="77"/>
    </row>
    <row r="1460">
      <c r="C1460" s="72"/>
      <c r="G1460" s="77"/>
      <c r="H1460" s="77"/>
    </row>
    <row r="1461">
      <c r="C1461" s="72"/>
      <c r="G1461" s="77"/>
      <c r="H1461" s="77"/>
    </row>
    <row r="1462">
      <c r="C1462" s="72"/>
      <c r="G1462" s="77"/>
      <c r="H1462" s="77"/>
    </row>
    <row r="1463">
      <c r="C1463" s="72"/>
      <c r="G1463" s="77"/>
      <c r="H1463" s="77"/>
    </row>
    <row r="1464">
      <c r="C1464" s="72"/>
      <c r="G1464" s="77"/>
      <c r="H1464" s="77"/>
    </row>
    <row r="1465">
      <c r="C1465" s="72"/>
      <c r="G1465" s="77"/>
      <c r="H1465" s="77"/>
    </row>
    <row r="1466">
      <c r="C1466" s="72"/>
      <c r="G1466" s="77"/>
      <c r="H1466" s="77"/>
    </row>
    <row r="1467">
      <c r="C1467" s="72"/>
      <c r="G1467" s="77"/>
      <c r="H1467" s="77"/>
    </row>
    <row r="1468">
      <c r="C1468" s="72"/>
      <c r="G1468" s="77"/>
      <c r="H1468" s="77"/>
    </row>
    <row r="1469">
      <c r="C1469" s="72"/>
      <c r="G1469" s="77"/>
      <c r="H1469" s="77"/>
    </row>
    <row r="1470">
      <c r="C1470" s="72"/>
      <c r="G1470" s="77"/>
      <c r="H1470" s="77"/>
    </row>
    <row r="1471">
      <c r="C1471" s="72"/>
      <c r="G1471" s="77"/>
      <c r="H1471" s="77"/>
    </row>
    <row r="1472">
      <c r="C1472" s="72"/>
      <c r="G1472" s="77"/>
      <c r="H1472" s="77"/>
    </row>
    <row r="1473">
      <c r="C1473" s="72"/>
      <c r="G1473" s="77"/>
      <c r="H1473" s="77"/>
    </row>
    <row r="1474">
      <c r="C1474" s="72"/>
      <c r="G1474" s="77"/>
      <c r="H1474" s="77"/>
    </row>
    <row r="1475">
      <c r="C1475" s="72"/>
      <c r="G1475" s="77"/>
      <c r="H1475" s="77"/>
    </row>
    <row r="1476">
      <c r="C1476" s="72"/>
      <c r="G1476" s="77"/>
      <c r="H1476" s="77"/>
    </row>
    <row r="1477">
      <c r="C1477" s="72"/>
      <c r="G1477" s="77"/>
      <c r="H1477" s="77"/>
    </row>
    <row r="1478">
      <c r="C1478" s="72"/>
      <c r="G1478" s="77"/>
      <c r="H1478" s="77"/>
    </row>
    <row r="1479">
      <c r="C1479" s="72"/>
      <c r="G1479" s="77"/>
      <c r="H1479" s="77"/>
    </row>
    <row r="1480">
      <c r="C1480" s="72"/>
      <c r="G1480" s="77"/>
      <c r="H1480" s="77"/>
    </row>
    <row r="1481">
      <c r="C1481" s="72"/>
      <c r="G1481" s="77"/>
      <c r="H1481" s="77"/>
    </row>
    <row r="1482">
      <c r="C1482" s="72"/>
      <c r="G1482" s="77"/>
      <c r="H1482" s="77"/>
    </row>
    <row r="1483">
      <c r="C1483" s="72"/>
      <c r="G1483" s="77"/>
      <c r="H1483" s="77"/>
    </row>
    <row r="1484">
      <c r="C1484" s="72"/>
      <c r="G1484" s="77"/>
      <c r="H1484" s="77"/>
    </row>
    <row r="1485">
      <c r="C1485" s="72"/>
      <c r="G1485" s="77"/>
      <c r="H1485" s="77"/>
    </row>
    <row r="1486">
      <c r="C1486" s="72"/>
      <c r="G1486" s="77"/>
      <c r="H1486" s="77"/>
    </row>
    <row r="1487">
      <c r="C1487" s="72"/>
      <c r="G1487" s="77"/>
      <c r="H1487" s="77"/>
    </row>
    <row r="1488">
      <c r="C1488" s="72"/>
      <c r="G1488" s="77"/>
      <c r="H1488" s="77"/>
    </row>
    <row r="1489">
      <c r="C1489" s="72"/>
      <c r="G1489" s="77"/>
      <c r="H1489" s="77"/>
    </row>
    <row r="1490">
      <c r="C1490" s="72"/>
      <c r="G1490" s="77"/>
      <c r="H1490" s="77"/>
    </row>
    <row r="1491">
      <c r="C1491" s="72"/>
      <c r="G1491" s="77"/>
      <c r="H1491" s="77"/>
    </row>
    <row r="1492">
      <c r="C1492" s="72"/>
      <c r="G1492" s="77"/>
      <c r="H1492" s="77"/>
    </row>
    <row r="1493">
      <c r="C1493" s="72"/>
      <c r="G1493" s="77"/>
      <c r="H1493" s="77"/>
    </row>
    <row r="1494">
      <c r="C1494" s="72"/>
      <c r="G1494" s="77"/>
      <c r="H1494" s="77"/>
    </row>
    <row r="1495">
      <c r="C1495" s="72"/>
      <c r="G1495" s="77"/>
      <c r="H1495" s="77"/>
    </row>
    <row r="1496">
      <c r="C1496" s="72"/>
      <c r="G1496" s="77"/>
      <c r="H1496" s="77"/>
    </row>
    <row r="1497">
      <c r="C1497" s="72"/>
      <c r="G1497" s="77"/>
      <c r="H1497" s="77"/>
    </row>
    <row r="1498">
      <c r="C1498" s="72"/>
      <c r="G1498" s="77"/>
      <c r="H1498" s="77"/>
    </row>
    <row r="1499">
      <c r="C1499" s="72"/>
      <c r="G1499" s="77"/>
      <c r="H1499" s="77"/>
    </row>
    <row r="1500">
      <c r="C1500" s="72"/>
      <c r="G1500" s="77"/>
      <c r="H1500" s="77"/>
    </row>
    <row r="1501">
      <c r="C1501" s="72"/>
      <c r="G1501" s="77"/>
      <c r="H1501" s="77"/>
    </row>
    <row r="1502">
      <c r="C1502" s="72"/>
      <c r="G1502" s="77"/>
      <c r="H1502" s="77"/>
    </row>
    <row r="1503">
      <c r="C1503" s="72"/>
      <c r="G1503" s="77"/>
      <c r="H1503" s="77"/>
    </row>
    <row r="1504">
      <c r="C1504" s="72"/>
      <c r="G1504" s="77"/>
      <c r="H1504" s="77"/>
    </row>
    <row r="1505">
      <c r="C1505" s="72"/>
      <c r="G1505" s="77"/>
      <c r="H1505" s="77"/>
    </row>
    <row r="1506">
      <c r="C1506" s="72"/>
      <c r="G1506" s="77"/>
      <c r="H1506" s="77"/>
    </row>
    <row r="1507">
      <c r="C1507" s="72"/>
      <c r="G1507" s="77"/>
      <c r="H1507" s="77"/>
    </row>
    <row r="1508">
      <c r="C1508" s="72"/>
      <c r="G1508" s="77"/>
      <c r="H1508" s="77"/>
    </row>
    <row r="1509">
      <c r="C1509" s="72"/>
      <c r="G1509" s="77"/>
      <c r="H1509" s="77"/>
    </row>
    <row r="1510">
      <c r="C1510" s="72"/>
      <c r="G1510" s="77"/>
      <c r="H1510" s="77"/>
    </row>
    <row r="1511">
      <c r="C1511" s="72"/>
      <c r="G1511" s="77"/>
      <c r="H1511" s="77"/>
    </row>
    <row r="1512">
      <c r="C1512" s="72"/>
      <c r="G1512" s="77"/>
      <c r="H1512" s="77"/>
    </row>
    <row r="1513">
      <c r="C1513" s="72"/>
      <c r="G1513" s="77"/>
      <c r="H1513" s="77"/>
    </row>
    <row r="1514">
      <c r="C1514" s="72"/>
      <c r="G1514" s="77"/>
      <c r="H1514" s="77"/>
    </row>
    <row r="1515">
      <c r="C1515" s="72"/>
      <c r="G1515" s="77"/>
      <c r="H1515" s="77"/>
    </row>
    <row r="1516">
      <c r="C1516" s="72"/>
      <c r="G1516" s="77"/>
      <c r="H1516" s="77"/>
    </row>
    <row r="1517">
      <c r="C1517" s="72"/>
      <c r="G1517" s="77"/>
      <c r="H1517" s="77"/>
    </row>
    <row r="1518">
      <c r="C1518" s="72"/>
      <c r="G1518" s="77"/>
      <c r="H1518" s="77"/>
    </row>
    <row r="1519">
      <c r="C1519" s="72"/>
      <c r="G1519" s="77"/>
      <c r="H1519" s="77"/>
    </row>
    <row r="1520">
      <c r="C1520" s="72"/>
      <c r="G1520" s="77"/>
      <c r="H1520" s="77"/>
    </row>
    <row r="1521">
      <c r="C1521" s="72"/>
      <c r="G1521" s="77"/>
      <c r="H1521" s="77"/>
    </row>
    <row r="1522">
      <c r="C1522" s="72"/>
      <c r="G1522" s="77"/>
      <c r="H1522" s="77"/>
    </row>
    <row r="1523">
      <c r="C1523" s="72"/>
      <c r="G1523" s="77"/>
      <c r="H1523" s="77"/>
    </row>
    <row r="1524">
      <c r="C1524" s="72"/>
      <c r="G1524" s="77"/>
      <c r="H1524" s="77"/>
    </row>
    <row r="1525">
      <c r="C1525" s="72"/>
      <c r="G1525" s="77"/>
      <c r="H1525" s="77"/>
    </row>
    <row r="1526">
      <c r="C1526" s="72"/>
      <c r="G1526" s="77"/>
      <c r="H1526" s="77"/>
    </row>
    <row r="1527">
      <c r="C1527" s="72"/>
      <c r="G1527" s="77"/>
      <c r="H1527" s="77"/>
    </row>
    <row r="1528">
      <c r="C1528" s="72"/>
      <c r="G1528" s="77"/>
      <c r="H1528" s="77"/>
    </row>
    <row r="1529">
      <c r="C1529" s="72"/>
      <c r="G1529" s="77"/>
      <c r="H1529" s="77"/>
    </row>
    <row r="1530">
      <c r="C1530" s="72"/>
      <c r="G1530" s="77"/>
      <c r="H1530" s="77"/>
    </row>
    <row r="1531">
      <c r="C1531" s="72"/>
      <c r="G1531" s="77"/>
      <c r="H1531" s="77"/>
    </row>
    <row r="1532">
      <c r="C1532" s="72"/>
      <c r="G1532" s="77"/>
      <c r="H1532" s="77"/>
    </row>
    <row r="1533">
      <c r="C1533" s="72"/>
      <c r="G1533" s="77"/>
      <c r="H1533" s="77"/>
    </row>
    <row r="1534">
      <c r="C1534" s="72"/>
      <c r="G1534" s="77"/>
      <c r="H1534" s="77"/>
    </row>
    <row r="1535">
      <c r="C1535" s="72"/>
      <c r="G1535" s="77"/>
      <c r="H1535" s="77"/>
    </row>
    <row r="1536">
      <c r="C1536" s="72"/>
      <c r="G1536" s="77"/>
      <c r="H1536" s="77"/>
    </row>
    <row r="1537">
      <c r="C1537" s="72"/>
      <c r="G1537" s="77"/>
      <c r="H1537" s="77"/>
    </row>
    <row r="1538">
      <c r="C1538" s="72"/>
      <c r="G1538" s="77"/>
      <c r="H1538" s="77"/>
    </row>
    <row r="1539">
      <c r="C1539" s="72"/>
      <c r="G1539" s="77"/>
      <c r="H1539" s="77"/>
    </row>
    <row r="1540">
      <c r="C1540" s="72"/>
      <c r="G1540" s="77"/>
      <c r="H1540" s="77"/>
    </row>
    <row r="1541">
      <c r="C1541" s="72"/>
      <c r="G1541" s="77"/>
      <c r="H1541" s="77"/>
    </row>
    <row r="1542">
      <c r="C1542" s="72"/>
      <c r="G1542" s="77"/>
      <c r="H1542" s="77"/>
    </row>
    <row r="1543">
      <c r="C1543" s="72"/>
      <c r="G1543" s="77"/>
      <c r="H1543" s="77"/>
    </row>
    <row r="1544">
      <c r="C1544" s="72"/>
      <c r="G1544" s="77"/>
      <c r="H1544" s="77"/>
    </row>
    <row r="1545">
      <c r="C1545" s="72"/>
      <c r="G1545" s="77"/>
      <c r="H1545" s="77"/>
    </row>
    <row r="1546">
      <c r="C1546" s="72"/>
      <c r="G1546" s="77"/>
      <c r="H1546" s="77"/>
    </row>
    <row r="1547">
      <c r="C1547" s="72"/>
      <c r="G1547" s="77"/>
      <c r="H1547" s="77"/>
    </row>
    <row r="1548">
      <c r="C1548" s="72"/>
      <c r="G1548" s="77"/>
      <c r="H1548" s="77"/>
    </row>
    <row r="1549">
      <c r="C1549" s="72"/>
      <c r="G1549" s="77"/>
      <c r="H1549" s="77"/>
    </row>
    <row r="1550">
      <c r="C1550" s="72"/>
      <c r="G1550" s="77"/>
      <c r="H1550" s="77"/>
    </row>
    <row r="1551">
      <c r="C1551" s="72"/>
      <c r="G1551" s="77"/>
      <c r="H1551" s="77"/>
    </row>
    <row r="1552">
      <c r="C1552" s="72"/>
      <c r="G1552" s="77"/>
      <c r="H1552" s="77"/>
    </row>
    <row r="1553">
      <c r="C1553" s="72"/>
      <c r="G1553" s="77"/>
      <c r="H1553" s="77"/>
    </row>
    <row r="1554">
      <c r="C1554" s="72"/>
      <c r="G1554" s="77"/>
      <c r="H1554" s="77"/>
    </row>
    <row r="1555">
      <c r="C1555" s="72"/>
      <c r="G1555" s="77"/>
      <c r="H1555" s="77"/>
    </row>
    <row r="1556">
      <c r="C1556" s="72"/>
      <c r="G1556" s="77"/>
      <c r="H1556" s="77"/>
    </row>
    <row r="1557">
      <c r="C1557" s="72"/>
      <c r="G1557" s="77"/>
      <c r="H1557" s="77"/>
    </row>
    <row r="1558">
      <c r="C1558" s="72"/>
      <c r="G1558" s="77"/>
      <c r="H1558" s="77"/>
    </row>
    <row r="1559">
      <c r="C1559" s="72"/>
      <c r="G1559" s="77"/>
      <c r="H1559" s="77"/>
    </row>
    <row r="1560">
      <c r="C1560" s="72"/>
      <c r="G1560" s="77"/>
      <c r="H1560" s="77"/>
    </row>
    <row r="1561">
      <c r="C1561" s="72"/>
      <c r="G1561" s="77"/>
      <c r="H1561" s="77"/>
    </row>
    <row r="1562">
      <c r="C1562" s="72"/>
      <c r="G1562" s="77"/>
      <c r="H1562" s="77"/>
    </row>
    <row r="1563">
      <c r="C1563" s="72"/>
      <c r="G1563" s="77"/>
      <c r="H1563" s="77"/>
    </row>
    <row r="1564">
      <c r="C1564" s="72"/>
      <c r="G1564" s="77"/>
      <c r="H1564" s="77"/>
    </row>
    <row r="1565">
      <c r="C1565" s="72"/>
      <c r="G1565" s="77"/>
      <c r="H1565" s="77"/>
    </row>
    <row r="1566">
      <c r="C1566" s="72"/>
      <c r="G1566" s="77"/>
      <c r="H1566" s="77"/>
    </row>
    <row r="1567">
      <c r="C1567" s="72"/>
      <c r="G1567" s="77"/>
      <c r="H1567" s="77"/>
    </row>
    <row r="1568">
      <c r="C1568" s="72"/>
      <c r="G1568" s="77"/>
      <c r="H1568" s="77"/>
    </row>
    <row r="1569">
      <c r="C1569" s="72"/>
      <c r="G1569" s="77"/>
      <c r="H1569" s="77"/>
    </row>
    <row r="1570">
      <c r="C1570" s="72"/>
      <c r="G1570" s="77"/>
      <c r="H1570" s="77"/>
    </row>
    <row r="1571">
      <c r="C1571" s="72"/>
      <c r="G1571" s="77"/>
      <c r="H1571" s="77"/>
    </row>
    <row r="1572">
      <c r="C1572" s="72"/>
      <c r="G1572" s="77"/>
      <c r="H1572" s="77"/>
    </row>
    <row r="1573">
      <c r="C1573" s="72"/>
      <c r="G1573" s="77"/>
      <c r="H1573" s="77"/>
    </row>
    <row r="1574">
      <c r="C1574" s="72"/>
      <c r="G1574" s="77"/>
      <c r="H1574" s="77"/>
    </row>
    <row r="1575">
      <c r="C1575" s="72"/>
      <c r="G1575" s="77"/>
      <c r="H1575" s="77"/>
    </row>
    <row r="1576">
      <c r="C1576" s="72"/>
      <c r="G1576" s="77"/>
      <c r="H1576" s="77"/>
    </row>
    <row r="1577">
      <c r="C1577" s="72"/>
      <c r="G1577" s="77"/>
      <c r="H1577" s="77"/>
    </row>
    <row r="1578">
      <c r="C1578" s="72"/>
      <c r="G1578" s="77"/>
      <c r="H1578" s="77"/>
    </row>
    <row r="1579">
      <c r="C1579" s="72"/>
      <c r="G1579" s="77"/>
      <c r="H1579" s="77"/>
    </row>
    <row r="1580">
      <c r="C1580" s="72"/>
      <c r="G1580" s="77"/>
      <c r="H1580" s="77"/>
    </row>
    <row r="1581">
      <c r="C1581" s="72"/>
      <c r="G1581" s="77"/>
      <c r="H1581" s="77"/>
    </row>
    <row r="1582">
      <c r="C1582" s="72"/>
      <c r="G1582" s="77"/>
      <c r="H1582" s="77"/>
    </row>
    <row r="1583">
      <c r="C1583" s="72"/>
      <c r="G1583" s="77"/>
      <c r="H1583" s="77"/>
    </row>
    <row r="1584">
      <c r="C1584" s="72"/>
      <c r="G1584" s="77"/>
      <c r="H1584" s="77"/>
    </row>
    <row r="1585">
      <c r="C1585" s="72"/>
      <c r="G1585" s="77"/>
      <c r="H1585" s="77"/>
    </row>
    <row r="1586">
      <c r="C1586" s="72"/>
      <c r="G1586" s="77"/>
      <c r="H1586" s="77"/>
    </row>
    <row r="1587">
      <c r="C1587" s="72"/>
      <c r="G1587" s="77"/>
      <c r="H1587" s="77"/>
    </row>
    <row r="1588">
      <c r="C1588" s="72"/>
      <c r="G1588" s="77"/>
      <c r="H1588" s="77"/>
    </row>
    <row r="1589">
      <c r="C1589" s="72"/>
      <c r="G1589" s="77"/>
      <c r="H1589" s="77"/>
    </row>
    <row r="1590">
      <c r="C1590" s="72"/>
      <c r="G1590" s="77"/>
      <c r="H1590" s="77"/>
    </row>
    <row r="1591">
      <c r="C1591" s="72"/>
      <c r="G1591" s="77"/>
      <c r="H1591" s="77"/>
    </row>
    <row r="1592">
      <c r="C1592" s="72"/>
      <c r="G1592" s="77"/>
      <c r="H1592" s="77"/>
    </row>
    <row r="1593">
      <c r="C1593" s="72"/>
      <c r="G1593" s="77"/>
      <c r="H1593" s="77"/>
    </row>
    <row r="1594">
      <c r="C1594" s="72"/>
      <c r="G1594" s="77"/>
      <c r="H1594" s="77"/>
    </row>
    <row r="1595">
      <c r="C1595" s="72"/>
      <c r="G1595" s="77"/>
      <c r="H1595" s="77"/>
    </row>
    <row r="1596">
      <c r="C1596" s="72"/>
      <c r="G1596" s="77"/>
      <c r="H1596" s="77"/>
    </row>
    <row r="1597">
      <c r="C1597" s="72"/>
      <c r="G1597" s="77"/>
      <c r="H1597" s="77"/>
    </row>
    <row r="1598">
      <c r="C1598" s="72"/>
      <c r="G1598" s="77"/>
      <c r="H1598" s="77"/>
    </row>
    <row r="1599">
      <c r="C1599" s="72"/>
      <c r="G1599" s="77"/>
      <c r="H1599" s="77"/>
    </row>
    <row r="1600">
      <c r="C1600" s="72"/>
      <c r="G1600" s="77"/>
      <c r="H1600" s="77"/>
    </row>
    <row r="1601">
      <c r="C1601" s="72"/>
      <c r="G1601" s="77"/>
      <c r="H1601" s="77"/>
    </row>
    <row r="1602">
      <c r="C1602" s="72"/>
      <c r="G1602" s="77"/>
      <c r="H1602" s="77"/>
    </row>
    <row r="1603">
      <c r="C1603" s="72"/>
      <c r="G1603" s="77"/>
      <c r="H1603" s="77"/>
    </row>
    <row r="1604">
      <c r="C1604" s="72"/>
      <c r="G1604" s="77"/>
      <c r="H1604" s="77"/>
    </row>
    <row r="1605">
      <c r="C1605" s="72"/>
      <c r="G1605" s="77"/>
      <c r="H1605" s="77"/>
    </row>
    <row r="1606">
      <c r="C1606" s="72"/>
      <c r="G1606" s="77"/>
      <c r="H1606" s="77"/>
    </row>
    <row r="1607">
      <c r="C1607" s="72"/>
      <c r="G1607" s="77"/>
      <c r="H1607" s="77"/>
    </row>
    <row r="1608">
      <c r="C1608" s="72"/>
      <c r="G1608" s="77"/>
      <c r="H1608" s="77"/>
    </row>
    <row r="1609">
      <c r="C1609" s="72"/>
      <c r="G1609" s="77"/>
      <c r="H1609" s="77"/>
    </row>
    <row r="1610">
      <c r="C1610" s="72"/>
      <c r="G1610" s="77"/>
      <c r="H1610" s="77"/>
    </row>
    <row r="1611">
      <c r="C1611" s="72"/>
      <c r="G1611" s="77"/>
      <c r="H1611" s="77"/>
    </row>
    <row r="1612">
      <c r="C1612" s="72"/>
      <c r="G1612" s="77"/>
      <c r="H1612" s="77"/>
    </row>
    <row r="1613">
      <c r="C1613" s="72"/>
      <c r="G1613" s="77"/>
      <c r="H1613" s="77"/>
    </row>
    <row r="1614">
      <c r="C1614" s="72"/>
      <c r="G1614" s="77"/>
      <c r="H1614" s="77"/>
    </row>
    <row r="1615">
      <c r="C1615" s="72"/>
      <c r="G1615" s="77"/>
      <c r="H1615" s="77"/>
    </row>
    <row r="1616">
      <c r="C1616" s="72"/>
      <c r="G1616" s="77"/>
      <c r="H1616" s="77"/>
    </row>
    <row r="1617">
      <c r="C1617" s="72"/>
      <c r="G1617" s="77"/>
      <c r="H1617" s="77"/>
    </row>
    <row r="1618">
      <c r="C1618" s="72"/>
      <c r="G1618" s="77"/>
      <c r="H1618" s="77"/>
    </row>
    <row r="1619">
      <c r="C1619" s="72"/>
      <c r="G1619" s="77"/>
      <c r="H1619" s="77"/>
    </row>
    <row r="1620">
      <c r="C1620" s="72"/>
      <c r="G1620" s="77"/>
      <c r="H1620" s="77"/>
    </row>
    <row r="1621">
      <c r="C1621" s="72"/>
      <c r="G1621" s="77"/>
      <c r="H1621" s="77"/>
    </row>
    <row r="1622">
      <c r="C1622" s="72"/>
      <c r="G1622" s="77"/>
      <c r="H1622" s="77"/>
    </row>
    <row r="1623">
      <c r="C1623" s="72"/>
      <c r="G1623" s="77"/>
      <c r="H1623" s="77"/>
    </row>
    <row r="1624">
      <c r="C1624" s="72"/>
      <c r="G1624" s="77"/>
      <c r="H1624" s="77"/>
    </row>
    <row r="1625">
      <c r="C1625" s="72"/>
      <c r="G1625" s="77"/>
      <c r="H1625" s="77"/>
    </row>
    <row r="1626">
      <c r="C1626" s="72"/>
      <c r="G1626" s="77"/>
      <c r="H1626" s="77"/>
    </row>
    <row r="1627">
      <c r="C1627" s="72"/>
      <c r="G1627" s="77"/>
      <c r="H1627" s="77"/>
    </row>
    <row r="1628">
      <c r="C1628" s="72"/>
      <c r="G1628" s="77"/>
      <c r="H1628" s="77"/>
    </row>
    <row r="1629">
      <c r="C1629" s="72"/>
      <c r="G1629" s="77"/>
      <c r="H1629" s="77"/>
    </row>
    <row r="1630">
      <c r="C1630" s="72"/>
      <c r="G1630" s="77"/>
      <c r="H1630" s="77"/>
    </row>
    <row r="1631">
      <c r="C1631" s="72"/>
      <c r="G1631" s="77"/>
      <c r="H1631" s="77"/>
    </row>
    <row r="1632">
      <c r="C1632" s="72"/>
      <c r="G1632" s="77"/>
      <c r="H1632" s="77"/>
    </row>
    <row r="1633">
      <c r="C1633" s="72"/>
      <c r="G1633" s="77"/>
      <c r="H1633" s="77"/>
    </row>
    <row r="1634">
      <c r="C1634" s="72"/>
      <c r="G1634" s="77"/>
      <c r="H1634" s="77"/>
    </row>
    <row r="1635">
      <c r="C1635" s="72"/>
      <c r="G1635" s="77"/>
      <c r="H1635" s="77"/>
    </row>
    <row r="1636">
      <c r="C1636" s="72"/>
      <c r="G1636" s="77"/>
      <c r="H1636" s="77"/>
    </row>
    <row r="1637">
      <c r="C1637" s="72"/>
      <c r="G1637" s="77"/>
      <c r="H1637" s="77"/>
    </row>
    <row r="1638">
      <c r="C1638" s="72"/>
      <c r="G1638" s="77"/>
      <c r="H1638" s="77"/>
    </row>
    <row r="1639">
      <c r="C1639" s="72"/>
      <c r="G1639" s="77"/>
      <c r="H1639" s="77"/>
    </row>
    <row r="1640">
      <c r="C1640" s="72"/>
      <c r="G1640" s="77"/>
      <c r="H1640" s="77"/>
    </row>
    <row r="1641">
      <c r="C1641" s="72"/>
      <c r="G1641" s="77"/>
      <c r="H1641" s="77"/>
    </row>
    <row r="1642">
      <c r="C1642" s="72"/>
      <c r="G1642" s="77"/>
      <c r="H1642" s="77"/>
    </row>
    <row r="1643">
      <c r="C1643" s="72"/>
      <c r="G1643" s="77"/>
      <c r="H1643" s="77"/>
    </row>
    <row r="1644">
      <c r="C1644" s="72"/>
      <c r="G1644" s="77"/>
      <c r="H1644" s="77"/>
    </row>
    <row r="1645">
      <c r="C1645" s="72"/>
      <c r="G1645" s="77"/>
      <c r="H1645" s="77"/>
    </row>
    <row r="1646">
      <c r="C1646" s="72"/>
      <c r="G1646" s="77"/>
      <c r="H1646" s="77"/>
    </row>
    <row r="1647">
      <c r="C1647" s="72"/>
      <c r="G1647" s="77"/>
      <c r="H1647" s="77"/>
    </row>
    <row r="1648">
      <c r="C1648" s="72"/>
      <c r="G1648" s="77"/>
      <c r="H1648" s="77"/>
    </row>
    <row r="1649">
      <c r="C1649" s="72"/>
      <c r="G1649" s="77"/>
      <c r="H1649" s="77"/>
    </row>
    <row r="1650">
      <c r="C1650" s="72"/>
      <c r="G1650" s="77"/>
      <c r="H1650" s="77"/>
    </row>
    <row r="1651">
      <c r="C1651" s="72"/>
      <c r="G1651" s="77"/>
      <c r="H1651" s="77"/>
    </row>
    <row r="1652">
      <c r="C1652" s="72"/>
      <c r="G1652" s="77"/>
      <c r="H1652" s="77"/>
    </row>
    <row r="1653">
      <c r="C1653" s="72"/>
      <c r="G1653" s="77"/>
      <c r="H1653" s="77"/>
    </row>
    <row r="1654">
      <c r="C1654" s="72"/>
      <c r="G1654" s="77"/>
      <c r="H1654" s="77"/>
    </row>
    <row r="1655">
      <c r="C1655" s="72"/>
      <c r="G1655" s="77"/>
      <c r="H1655" s="77"/>
    </row>
    <row r="1656">
      <c r="C1656" s="72"/>
      <c r="G1656" s="77"/>
      <c r="H1656" s="77"/>
    </row>
    <row r="1657">
      <c r="C1657" s="72"/>
      <c r="G1657" s="77"/>
      <c r="H1657" s="77"/>
    </row>
    <row r="1658">
      <c r="C1658" s="72"/>
      <c r="G1658" s="77"/>
      <c r="H1658" s="77"/>
    </row>
    <row r="1659">
      <c r="C1659" s="72"/>
      <c r="G1659" s="77"/>
      <c r="H1659" s="77"/>
    </row>
    <row r="1660">
      <c r="C1660" s="72"/>
      <c r="G1660" s="77"/>
      <c r="H1660" s="77"/>
    </row>
    <row r="1661">
      <c r="C1661" s="72"/>
      <c r="G1661" s="77"/>
      <c r="H1661" s="77"/>
    </row>
    <row r="1662">
      <c r="C1662" s="72"/>
      <c r="G1662" s="77"/>
      <c r="H1662" s="77"/>
    </row>
    <row r="1663">
      <c r="C1663" s="72"/>
      <c r="G1663" s="77"/>
      <c r="H1663" s="77"/>
    </row>
    <row r="1664">
      <c r="C1664" s="72"/>
      <c r="G1664" s="77"/>
      <c r="H1664" s="77"/>
    </row>
    <row r="1665">
      <c r="C1665" s="72"/>
      <c r="G1665" s="77"/>
      <c r="H1665" s="77"/>
    </row>
    <row r="1666">
      <c r="C1666" s="72"/>
      <c r="G1666" s="77"/>
      <c r="H1666" s="77"/>
    </row>
    <row r="1667">
      <c r="C1667" s="72"/>
      <c r="G1667" s="77"/>
      <c r="H1667" s="77"/>
    </row>
    <row r="1668">
      <c r="C1668" s="72"/>
      <c r="G1668" s="77"/>
      <c r="H1668" s="77"/>
    </row>
    <row r="1669">
      <c r="C1669" s="72"/>
      <c r="G1669" s="77"/>
      <c r="H1669" s="77"/>
    </row>
    <row r="1670">
      <c r="C1670" s="72"/>
      <c r="G1670" s="77"/>
      <c r="H1670" s="77"/>
    </row>
    <row r="1671">
      <c r="C1671" s="72"/>
      <c r="G1671" s="77"/>
      <c r="H1671" s="77"/>
    </row>
    <row r="1672">
      <c r="C1672" s="72"/>
      <c r="G1672" s="77"/>
      <c r="H1672" s="77"/>
    </row>
    <row r="1673">
      <c r="C1673" s="72"/>
      <c r="G1673" s="77"/>
      <c r="H1673" s="77"/>
    </row>
    <row r="1674">
      <c r="C1674" s="72"/>
      <c r="G1674" s="77"/>
      <c r="H1674" s="77"/>
    </row>
    <row r="1675">
      <c r="C1675" s="72"/>
      <c r="G1675" s="77"/>
      <c r="H1675" s="77"/>
    </row>
    <row r="1676">
      <c r="C1676" s="72"/>
      <c r="G1676" s="77"/>
      <c r="H1676" s="77"/>
    </row>
    <row r="1677">
      <c r="C1677" s="72"/>
      <c r="G1677" s="77"/>
      <c r="H1677" s="77"/>
    </row>
    <row r="1678">
      <c r="C1678" s="72"/>
      <c r="G1678" s="77"/>
      <c r="H1678" s="77"/>
    </row>
    <row r="1679">
      <c r="C1679" s="72"/>
      <c r="G1679" s="77"/>
      <c r="H1679" s="77"/>
    </row>
    <row r="1680">
      <c r="C1680" s="72"/>
      <c r="G1680" s="77"/>
      <c r="H1680" s="77"/>
    </row>
    <row r="1681">
      <c r="C1681" s="72"/>
      <c r="G1681" s="77"/>
      <c r="H1681" s="77"/>
    </row>
    <row r="1682">
      <c r="C1682" s="72"/>
      <c r="G1682" s="77"/>
      <c r="H1682" s="77"/>
    </row>
    <row r="1683">
      <c r="C1683" s="72"/>
      <c r="G1683" s="77"/>
      <c r="H1683" s="77"/>
    </row>
    <row r="1684">
      <c r="C1684" s="72"/>
      <c r="G1684" s="77"/>
      <c r="H1684" s="77"/>
    </row>
    <row r="1685">
      <c r="C1685" s="72"/>
      <c r="G1685" s="77"/>
      <c r="H1685" s="77"/>
    </row>
    <row r="1686">
      <c r="C1686" s="72"/>
      <c r="G1686" s="77"/>
      <c r="H1686" s="77"/>
    </row>
    <row r="1687">
      <c r="C1687" s="72"/>
      <c r="G1687" s="77"/>
      <c r="H1687" s="77"/>
    </row>
    <row r="1688">
      <c r="C1688" s="72"/>
      <c r="G1688" s="77"/>
      <c r="H1688" s="77"/>
    </row>
    <row r="1689">
      <c r="C1689" s="72"/>
      <c r="G1689" s="77"/>
      <c r="H1689" s="77"/>
    </row>
    <row r="1690">
      <c r="C1690" s="72"/>
      <c r="G1690" s="77"/>
      <c r="H1690" s="77"/>
    </row>
    <row r="1691">
      <c r="C1691" s="72"/>
      <c r="G1691" s="77"/>
      <c r="H1691" s="77"/>
    </row>
    <row r="1692">
      <c r="C1692" s="72"/>
      <c r="G1692" s="77"/>
      <c r="H1692" s="77"/>
    </row>
    <row r="1693">
      <c r="C1693" s="72"/>
      <c r="G1693" s="77"/>
      <c r="H1693" s="77"/>
    </row>
    <row r="1694">
      <c r="C1694" s="72"/>
      <c r="G1694" s="77"/>
      <c r="H1694" s="77"/>
    </row>
    <row r="1695">
      <c r="C1695" s="72"/>
      <c r="G1695" s="77"/>
      <c r="H1695" s="77"/>
    </row>
    <row r="1696">
      <c r="C1696" s="72"/>
      <c r="G1696" s="77"/>
      <c r="H1696" s="77"/>
    </row>
    <row r="1697">
      <c r="C1697" s="72"/>
      <c r="G1697" s="77"/>
      <c r="H1697" s="77"/>
    </row>
    <row r="1698">
      <c r="C1698" s="72"/>
      <c r="G1698" s="77"/>
      <c r="H1698" s="77"/>
    </row>
    <row r="1699">
      <c r="C1699" s="72"/>
      <c r="G1699" s="77"/>
      <c r="H1699" s="77"/>
    </row>
    <row r="1700">
      <c r="C1700" s="72"/>
      <c r="G1700" s="77"/>
      <c r="H1700" s="77"/>
    </row>
    <row r="1701">
      <c r="C1701" s="72"/>
      <c r="G1701" s="77"/>
      <c r="H1701" s="77"/>
    </row>
    <row r="1702">
      <c r="C1702" s="72"/>
      <c r="G1702" s="77"/>
      <c r="H1702" s="77"/>
    </row>
    <row r="1703">
      <c r="C1703" s="72"/>
      <c r="G1703" s="77"/>
      <c r="H1703" s="77"/>
    </row>
    <row r="1704">
      <c r="C1704" s="72"/>
      <c r="G1704" s="77"/>
      <c r="H1704" s="77"/>
    </row>
    <row r="1705">
      <c r="C1705" s="72"/>
      <c r="G1705" s="77"/>
      <c r="H1705" s="77"/>
    </row>
    <row r="1706">
      <c r="C1706" s="72"/>
      <c r="G1706" s="77"/>
      <c r="H1706" s="77"/>
    </row>
    <row r="1707">
      <c r="C1707" s="72"/>
      <c r="G1707" s="77"/>
      <c r="H1707" s="77"/>
    </row>
    <row r="1708">
      <c r="C1708" s="72"/>
      <c r="G1708" s="77"/>
      <c r="H1708" s="77"/>
    </row>
    <row r="1709">
      <c r="C1709" s="72"/>
      <c r="G1709" s="77"/>
      <c r="H1709" s="77"/>
    </row>
    <row r="1710">
      <c r="C1710" s="72"/>
      <c r="G1710" s="77"/>
      <c r="H1710" s="77"/>
    </row>
    <row r="1711">
      <c r="C1711" s="72"/>
      <c r="G1711" s="77"/>
      <c r="H1711" s="77"/>
    </row>
    <row r="1712">
      <c r="C1712" s="72"/>
      <c r="G1712" s="77"/>
      <c r="H1712" s="77"/>
    </row>
    <row r="1713">
      <c r="C1713" s="72"/>
      <c r="G1713" s="77"/>
      <c r="H1713" s="77"/>
    </row>
    <row r="1714">
      <c r="C1714" s="72"/>
      <c r="G1714" s="77"/>
      <c r="H1714" s="77"/>
    </row>
    <row r="1715">
      <c r="C1715" s="72"/>
      <c r="G1715" s="77"/>
      <c r="H1715" s="77"/>
    </row>
    <row r="1716">
      <c r="C1716" s="72"/>
      <c r="G1716" s="77"/>
      <c r="H1716" s="77"/>
    </row>
    <row r="1717">
      <c r="C1717" s="72"/>
      <c r="G1717" s="77"/>
      <c r="H1717" s="77"/>
    </row>
    <row r="1718">
      <c r="C1718" s="72"/>
      <c r="G1718" s="77"/>
      <c r="H1718" s="77"/>
    </row>
    <row r="1719">
      <c r="C1719" s="72"/>
      <c r="G1719" s="77"/>
      <c r="H1719" s="77"/>
    </row>
    <row r="1720">
      <c r="C1720" s="72"/>
      <c r="G1720" s="77"/>
      <c r="H1720" s="77"/>
    </row>
    <row r="1721">
      <c r="C1721" s="72"/>
      <c r="G1721" s="77"/>
      <c r="H1721" s="77"/>
    </row>
    <row r="1722">
      <c r="C1722" s="72"/>
      <c r="G1722" s="77"/>
      <c r="H1722" s="77"/>
    </row>
    <row r="1723">
      <c r="C1723" s="72"/>
      <c r="G1723" s="77"/>
      <c r="H1723" s="77"/>
    </row>
    <row r="1724">
      <c r="C1724" s="72"/>
      <c r="G1724" s="77"/>
      <c r="H1724" s="77"/>
    </row>
    <row r="1725">
      <c r="C1725" s="72"/>
      <c r="G1725" s="77"/>
      <c r="H1725" s="77"/>
    </row>
    <row r="1726">
      <c r="C1726" s="72"/>
      <c r="G1726" s="77"/>
      <c r="H1726" s="77"/>
    </row>
    <row r="1727">
      <c r="C1727" s="72"/>
      <c r="G1727" s="77"/>
      <c r="H1727" s="77"/>
    </row>
    <row r="1728">
      <c r="C1728" s="72"/>
      <c r="G1728" s="77"/>
      <c r="H1728" s="77"/>
    </row>
    <row r="1729">
      <c r="C1729" s="72"/>
      <c r="G1729" s="77"/>
      <c r="H1729" s="77"/>
    </row>
    <row r="1730">
      <c r="C1730" s="72"/>
      <c r="G1730" s="77"/>
      <c r="H1730" s="77"/>
    </row>
    <row r="1731">
      <c r="C1731" s="72"/>
      <c r="G1731" s="77"/>
      <c r="H1731" s="77"/>
    </row>
    <row r="1732">
      <c r="C1732" s="72"/>
      <c r="G1732" s="77"/>
      <c r="H1732" s="77"/>
    </row>
    <row r="1733">
      <c r="C1733" s="72"/>
      <c r="G1733" s="77"/>
      <c r="H1733" s="77"/>
    </row>
    <row r="1734">
      <c r="C1734" s="72"/>
      <c r="G1734" s="77"/>
      <c r="H1734" s="77"/>
    </row>
    <row r="1735">
      <c r="C1735" s="72"/>
      <c r="G1735" s="77"/>
      <c r="H1735" s="77"/>
    </row>
    <row r="1736">
      <c r="C1736" s="72"/>
      <c r="G1736" s="77"/>
      <c r="H1736" s="77"/>
    </row>
    <row r="1737">
      <c r="C1737" s="72"/>
      <c r="G1737" s="77"/>
      <c r="H1737" s="77"/>
    </row>
    <row r="1738">
      <c r="C1738" s="72"/>
      <c r="G1738" s="77"/>
      <c r="H1738" s="77"/>
    </row>
    <row r="1739">
      <c r="C1739" s="72"/>
      <c r="G1739" s="77"/>
      <c r="H1739" s="77"/>
    </row>
    <row r="1740">
      <c r="C1740" s="72"/>
      <c r="G1740" s="77"/>
      <c r="H1740" s="77"/>
    </row>
    <row r="1741">
      <c r="C1741" s="72"/>
      <c r="G1741" s="77"/>
      <c r="H1741" s="77"/>
    </row>
    <row r="1742">
      <c r="C1742" s="72"/>
      <c r="G1742" s="77"/>
      <c r="H1742" s="77"/>
    </row>
    <row r="1743">
      <c r="C1743" s="72"/>
      <c r="G1743" s="77"/>
      <c r="H1743" s="77"/>
    </row>
    <row r="1744">
      <c r="C1744" s="72"/>
      <c r="G1744" s="77"/>
      <c r="H1744" s="77"/>
    </row>
    <row r="1745">
      <c r="C1745" s="72"/>
      <c r="G1745" s="77"/>
      <c r="H1745" s="77"/>
    </row>
    <row r="1746">
      <c r="C1746" s="72"/>
      <c r="G1746" s="77"/>
      <c r="H1746" s="77"/>
    </row>
    <row r="1747">
      <c r="C1747" s="72"/>
      <c r="G1747" s="77"/>
      <c r="H1747" s="77"/>
    </row>
    <row r="1748">
      <c r="C1748" s="72"/>
      <c r="G1748" s="77"/>
      <c r="H1748" s="77"/>
    </row>
    <row r="1749">
      <c r="C1749" s="72"/>
      <c r="G1749" s="77"/>
      <c r="H1749" s="77"/>
    </row>
    <row r="1750">
      <c r="C1750" s="72"/>
      <c r="G1750" s="77"/>
      <c r="H1750" s="77"/>
    </row>
    <row r="1751">
      <c r="C1751" s="72"/>
      <c r="G1751" s="77"/>
      <c r="H1751" s="77"/>
    </row>
    <row r="1752">
      <c r="C1752" s="72"/>
      <c r="G1752" s="77"/>
      <c r="H1752" s="77"/>
    </row>
    <row r="1753">
      <c r="C1753" s="72"/>
      <c r="G1753" s="77"/>
      <c r="H1753" s="77"/>
    </row>
    <row r="1754">
      <c r="C1754" s="72"/>
      <c r="G1754" s="77"/>
      <c r="H1754" s="77"/>
    </row>
    <row r="1755">
      <c r="C1755" s="72"/>
      <c r="G1755" s="77"/>
      <c r="H1755" s="77"/>
    </row>
    <row r="1756">
      <c r="C1756" s="72"/>
      <c r="G1756" s="77"/>
      <c r="H1756" s="77"/>
    </row>
    <row r="1757">
      <c r="C1757" s="72"/>
      <c r="G1757" s="77"/>
      <c r="H1757" s="77"/>
    </row>
    <row r="1758">
      <c r="C1758" s="72"/>
      <c r="G1758" s="77"/>
      <c r="H1758" s="77"/>
    </row>
    <row r="1759">
      <c r="C1759" s="72"/>
      <c r="G1759" s="77"/>
      <c r="H1759" s="77"/>
    </row>
    <row r="1760">
      <c r="C1760" s="72"/>
      <c r="G1760" s="77"/>
      <c r="H1760" s="77"/>
    </row>
    <row r="1761">
      <c r="C1761" s="72"/>
      <c r="G1761" s="77"/>
      <c r="H1761" s="77"/>
    </row>
    <row r="1762">
      <c r="C1762" s="72"/>
      <c r="G1762" s="77"/>
      <c r="H1762" s="77"/>
    </row>
    <row r="1763">
      <c r="C1763" s="72"/>
      <c r="G1763" s="77"/>
      <c r="H1763" s="77"/>
    </row>
    <row r="1764">
      <c r="C1764" s="72"/>
      <c r="G1764" s="77"/>
      <c r="H1764" s="77"/>
    </row>
    <row r="1765">
      <c r="C1765" s="72"/>
      <c r="G1765" s="77"/>
      <c r="H1765" s="77"/>
    </row>
    <row r="1766">
      <c r="C1766" s="72"/>
      <c r="G1766" s="77"/>
      <c r="H1766" s="77"/>
    </row>
    <row r="1767">
      <c r="C1767" s="72"/>
      <c r="G1767" s="77"/>
      <c r="H1767" s="77"/>
    </row>
    <row r="1768">
      <c r="C1768" s="72"/>
      <c r="G1768" s="77"/>
      <c r="H1768" s="77"/>
    </row>
    <row r="1769">
      <c r="C1769" s="72"/>
      <c r="G1769" s="77"/>
      <c r="H1769" s="77"/>
    </row>
    <row r="1770">
      <c r="C1770" s="72"/>
      <c r="G1770" s="77"/>
      <c r="H1770" s="77"/>
    </row>
    <row r="1771">
      <c r="C1771" s="72"/>
      <c r="G1771" s="77"/>
      <c r="H1771" s="77"/>
    </row>
    <row r="1772">
      <c r="C1772" s="72"/>
      <c r="G1772" s="77"/>
      <c r="H1772" s="77"/>
    </row>
    <row r="1773">
      <c r="C1773" s="72"/>
      <c r="G1773" s="77"/>
      <c r="H1773" s="77"/>
    </row>
    <row r="1774">
      <c r="C1774" s="72"/>
      <c r="G1774" s="77"/>
      <c r="H1774" s="77"/>
    </row>
    <row r="1775">
      <c r="C1775" s="72"/>
      <c r="G1775" s="77"/>
      <c r="H1775" s="77"/>
    </row>
    <row r="1776">
      <c r="C1776" s="72"/>
      <c r="G1776" s="77"/>
      <c r="H1776" s="77"/>
    </row>
    <row r="1777">
      <c r="C1777" s="72"/>
      <c r="G1777" s="77"/>
      <c r="H1777" s="77"/>
    </row>
    <row r="1778">
      <c r="C1778" s="72"/>
      <c r="G1778" s="77"/>
      <c r="H1778" s="77"/>
    </row>
    <row r="1779">
      <c r="C1779" s="72"/>
      <c r="G1779" s="77"/>
      <c r="H1779" s="77"/>
    </row>
    <row r="1780">
      <c r="C1780" s="72"/>
      <c r="G1780" s="77"/>
      <c r="H1780" s="77"/>
    </row>
    <row r="1781">
      <c r="C1781" s="72"/>
      <c r="G1781" s="77"/>
      <c r="H1781" s="77"/>
    </row>
    <row r="1782">
      <c r="C1782" s="72"/>
      <c r="G1782" s="77"/>
      <c r="H1782" s="77"/>
    </row>
    <row r="1783">
      <c r="C1783" s="72"/>
      <c r="G1783" s="77"/>
      <c r="H1783" s="77"/>
    </row>
    <row r="1784">
      <c r="C1784" s="72"/>
      <c r="G1784" s="77"/>
      <c r="H1784" s="77"/>
    </row>
    <row r="1785">
      <c r="C1785" s="72"/>
      <c r="G1785" s="77"/>
      <c r="H1785" s="77"/>
    </row>
    <row r="1786">
      <c r="C1786" s="72"/>
      <c r="G1786" s="77"/>
      <c r="H1786" s="77"/>
    </row>
    <row r="1787">
      <c r="C1787" s="72"/>
      <c r="G1787" s="77"/>
      <c r="H1787" s="77"/>
    </row>
    <row r="1788">
      <c r="C1788" s="72"/>
      <c r="G1788" s="77"/>
      <c r="H1788" s="77"/>
    </row>
    <row r="1789">
      <c r="C1789" s="72"/>
      <c r="G1789" s="77"/>
      <c r="H1789" s="77"/>
    </row>
    <row r="1790">
      <c r="C1790" s="72"/>
      <c r="G1790" s="77"/>
      <c r="H1790" s="77"/>
    </row>
    <row r="1791">
      <c r="C1791" s="72"/>
      <c r="G1791" s="77"/>
      <c r="H1791" s="77"/>
    </row>
    <row r="1792">
      <c r="C1792" s="72"/>
      <c r="G1792" s="77"/>
      <c r="H1792" s="77"/>
    </row>
    <row r="1793">
      <c r="C1793" s="72"/>
      <c r="G1793" s="77"/>
      <c r="H1793" s="77"/>
    </row>
    <row r="1794">
      <c r="C1794" s="72"/>
      <c r="G1794" s="77"/>
      <c r="H1794" s="77"/>
    </row>
    <row r="1795">
      <c r="C1795" s="72"/>
      <c r="G1795" s="77"/>
      <c r="H1795" s="77"/>
    </row>
    <row r="1796">
      <c r="C1796" s="72"/>
      <c r="G1796" s="77"/>
      <c r="H1796" s="77"/>
    </row>
    <row r="1797">
      <c r="C1797" s="72"/>
      <c r="G1797" s="77"/>
      <c r="H1797" s="77"/>
    </row>
    <row r="1798">
      <c r="C1798" s="72"/>
      <c r="G1798" s="77"/>
      <c r="H1798" s="77"/>
    </row>
    <row r="1799">
      <c r="C1799" s="72"/>
      <c r="G1799" s="77"/>
      <c r="H1799" s="77"/>
    </row>
    <row r="1800">
      <c r="C1800" s="72"/>
      <c r="G1800" s="77"/>
      <c r="H1800" s="77"/>
    </row>
    <row r="1801">
      <c r="C1801" s="72"/>
      <c r="G1801" s="77"/>
      <c r="H1801" s="77"/>
    </row>
    <row r="1802">
      <c r="C1802" s="72"/>
      <c r="G1802" s="77"/>
      <c r="H1802" s="77"/>
    </row>
    <row r="1803">
      <c r="C1803" s="72"/>
      <c r="G1803" s="77"/>
      <c r="H1803" s="77"/>
    </row>
    <row r="1804">
      <c r="C1804" s="72"/>
      <c r="G1804" s="77"/>
      <c r="H1804" s="77"/>
    </row>
    <row r="1805">
      <c r="C1805" s="72"/>
      <c r="G1805" s="77"/>
      <c r="H1805" s="77"/>
    </row>
    <row r="1806">
      <c r="C1806" s="72"/>
      <c r="G1806" s="77"/>
      <c r="H1806" s="77"/>
    </row>
    <row r="1807">
      <c r="C1807" s="72"/>
      <c r="G1807" s="77"/>
      <c r="H1807" s="77"/>
    </row>
    <row r="1808">
      <c r="C1808" s="72"/>
      <c r="G1808" s="77"/>
      <c r="H1808" s="77"/>
    </row>
    <row r="1809">
      <c r="C1809" s="72"/>
      <c r="G1809" s="77"/>
      <c r="H1809" s="77"/>
    </row>
    <row r="1810">
      <c r="C1810" s="72"/>
      <c r="G1810" s="77"/>
      <c r="H1810" s="77"/>
    </row>
    <row r="1811">
      <c r="C1811" s="72"/>
      <c r="G1811" s="77"/>
      <c r="H1811" s="77"/>
    </row>
    <row r="1812">
      <c r="C1812" s="72"/>
      <c r="G1812" s="77"/>
      <c r="H1812" s="77"/>
    </row>
    <row r="1813">
      <c r="C1813" s="72"/>
      <c r="G1813" s="77"/>
      <c r="H1813" s="77"/>
    </row>
    <row r="1814">
      <c r="C1814" s="72"/>
      <c r="G1814" s="77"/>
      <c r="H1814" s="77"/>
    </row>
    <row r="1815">
      <c r="C1815" s="72"/>
      <c r="G1815" s="77"/>
      <c r="H1815" s="77"/>
    </row>
    <row r="1816">
      <c r="C1816" s="72"/>
      <c r="G1816" s="77"/>
      <c r="H1816" s="77"/>
    </row>
    <row r="1817">
      <c r="C1817" s="72"/>
      <c r="G1817" s="77"/>
      <c r="H1817" s="77"/>
    </row>
    <row r="1818">
      <c r="C1818" s="72"/>
      <c r="G1818" s="77"/>
      <c r="H1818" s="77"/>
    </row>
    <row r="1819">
      <c r="C1819" s="72"/>
      <c r="G1819" s="77"/>
      <c r="H1819" s="77"/>
    </row>
    <row r="1820">
      <c r="C1820" s="72"/>
      <c r="G1820" s="77"/>
      <c r="H1820" s="77"/>
    </row>
    <row r="1821">
      <c r="C1821" s="72"/>
      <c r="G1821" s="77"/>
      <c r="H1821" s="77"/>
    </row>
    <row r="1822">
      <c r="C1822" s="72"/>
      <c r="G1822" s="77"/>
      <c r="H1822" s="77"/>
    </row>
    <row r="1823">
      <c r="C1823" s="72"/>
      <c r="G1823" s="77"/>
      <c r="H1823" s="77"/>
    </row>
    <row r="1824">
      <c r="C1824" s="72"/>
      <c r="G1824" s="77"/>
      <c r="H1824" s="77"/>
    </row>
    <row r="1825">
      <c r="C1825" s="72"/>
      <c r="G1825" s="77"/>
      <c r="H1825" s="77"/>
    </row>
    <row r="1826">
      <c r="C1826" s="72"/>
      <c r="G1826" s="77"/>
      <c r="H1826" s="77"/>
    </row>
    <row r="1827">
      <c r="C1827" s="72"/>
      <c r="G1827" s="77"/>
      <c r="H1827" s="77"/>
    </row>
    <row r="1828">
      <c r="C1828" s="72"/>
      <c r="G1828" s="77"/>
      <c r="H1828" s="77"/>
    </row>
    <row r="1829">
      <c r="C1829" s="72"/>
      <c r="G1829" s="77"/>
      <c r="H1829" s="77"/>
    </row>
    <row r="1830">
      <c r="C1830" s="72"/>
      <c r="G1830" s="77"/>
      <c r="H1830" s="77"/>
    </row>
    <row r="1831">
      <c r="C1831" s="72"/>
      <c r="G1831" s="77"/>
      <c r="H1831" s="77"/>
    </row>
    <row r="1832">
      <c r="C1832" s="72"/>
      <c r="G1832" s="77"/>
      <c r="H1832" s="77"/>
    </row>
    <row r="1833">
      <c r="C1833" s="72"/>
      <c r="G1833" s="77"/>
      <c r="H1833" s="77"/>
    </row>
    <row r="1834">
      <c r="C1834" s="72"/>
      <c r="G1834" s="77"/>
      <c r="H1834" s="77"/>
    </row>
    <row r="1835">
      <c r="C1835" s="72"/>
      <c r="G1835" s="77"/>
      <c r="H1835" s="77"/>
    </row>
    <row r="1836">
      <c r="C1836" s="72"/>
      <c r="G1836" s="77"/>
      <c r="H1836" s="77"/>
    </row>
    <row r="1837">
      <c r="C1837" s="72"/>
      <c r="G1837" s="77"/>
      <c r="H1837" s="77"/>
    </row>
    <row r="1838">
      <c r="C1838" s="72"/>
      <c r="G1838" s="77"/>
      <c r="H1838" s="77"/>
    </row>
    <row r="1839">
      <c r="C1839" s="72"/>
      <c r="G1839" s="77"/>
      <c r="H1839" s="77"/>
    </row>
    <row r="1840">
      <c r="C1840" s="72"/>
      <c r="G1840" s="77"/>
      <c r="H1840" s="77"/>
    </row>
    <row r="1841">
      <c r="C1841" s="72"/>
      <c r="G1841" s="77"/>
      <c r="H1841" s="77"/>
    </row>
    <row r="1842">
      <c r="C1842" s="72"/>
      <c r="G1842" s="77"/>
      <c r="H1842" s="77"/>
    </row>
    <row r="1843">
      <c r="C1843" s="72"/>
      <c r="G1843" s="77"/>
      <c r="H1843" s="77"/>
    </row>
    <row r="1844">
      <c r="C1844" s="72"/>
      <c r="G1844" s="77"/>
      <c r="H1844" s="77"/>
    </row>
    <row r="1845">
      <c r="C1845" s="72"/>
      <c r="G1845" s="77"/>
      <c r="H1845" s="77"/>
    </row>
    <row r="1846">
      <c r="C1846" s="72"/>
      <c r="G1846" s="77"/>
      <c r="H1846" s="77"/>
    </row>
    <row r="1847">
      <c r="C1847" s="72"/>
      <c r="G1847" s="77"/>
      <c r="H1847" s="77"/>
    </row>
    <row r="1848">
      <c r="C1848" s="72"/>
      <c r="G1848" s="77"/>
      <c r="H1848" s="77"/>
    </row>
    <row r="1849">
      <c r="C1849" s="72"/>
      <c r="G1849" s="77"/>
      <c r="H1849" s="77"/>
    </row>
    <row r="1850">
      <c r="C1850" s="72"/>
      <c r="G1850" s="77"/>
      <c r="H1850" s="77"/>
    </row>
    <row r="1851">
      <c r="C1851" s="72"/>
      <c r="G1851" s="77"/>
      <c r="H1851" s="77"/>
    </row>
    <row r="1852">
      <c r="C1852" s="72"/>
      <c r="G1852" s="77"/>
      <c r="H1852" s="77"/>
    </row>
    <row r="1853">
      <c r="C1853" s="72"/>
      <c r="G1853" s="77"/>
      <c r="H1853" s="77"/>
    </row>
    <row r="1854">
      <c r="C1854" s="72"/>
      <c r="G1854" s="77"/>
      <c r="H1854" s="77"/>
    </row>
    <row r="1855">
      <c r="C1855" s="72"/>
      <c r="G1855" s="77"/>
      <c r="H1855" s="77"/>
    </row>
    <row r="1856">
      <c r="C1856" s="72"/>
      <c r="G1856" s="77"/>
      <c r="H1856" s="77"/>
    </row>
    <row r="1857">
      <c r="C1857" s="72"/>
      <c r="G1857" s="77"/>
      <c r="H1857" s="77"/>
    </row>
    <row r="1858">
      <c r="C1858" s="72"/>
      <c r="G1858" s="77"/>
      <c r="H1858" s="77"/>
    </row>
    <row r="1859">
      <c r="C1859" s="72"/>
      <c r="G1859" s="77"/>
      <c r="H1859" s="77"/>
    </row>
    <row r="1860">
      <c r="C1860" s="72"/>
      <c r="G1860" s="77"/>
      <c r="H1860" s="77"/>
    </row>
    <row r="1861">
      <c r="C1861" s="72"/>
      <c r="G1861" s="77"/>
      <c r="H1861" s="77"/>
    </row>
    <row r="1862">
      <c r="C1862" s="72"/>
      <c r="G1862" s="77"/>
      <c r="H1862" s="77"/>
    </row>
    <row r="1863">
      <c r="C1863" s="72"/>
      <c r="G1863" s="77"/>
      <c r="H1863" s="77"/>
    </row>
    <row r="1864">
      <c r="C1864" s="72"/>
      <c r="G1864" s="77"/>
      <c r="H1864" s="77"/>
    </row>
    <row r="1865">
      <c r="C1865" s="72"/>
      <c r="G1865" s="77"/>
      <c r="H1865" s="77"/>
    </row>
    <row r="1866">
      <c r="C1866" s="72"/>
      <c r="G1866" s="77"/>
      <c r="H1866" s="77"/>
    </row>
    <row r="1867">
      <c r="C1867" s="72"/>
      <c r="G1867" s="77"/>
      <c r="H1867" s="77"/>
    </row>
    <row r="1868">
      <c r="C1868" s="72"/>
      <c r="G1868" s="77"/>
      <c r="H1868" s="77"/>
    </row>
    <row r="1869">
      <c r="C1869" s="72"/>
      <c r="G1869" s="77"/>
      <c r="H1869" s="77"/>
    </row>
    <row r="1870">
      <c r="C1870" s="72"/>
      <c r="G1870" s="77"/>
      <c r="H1870" s="77"/>
    </row>
    <row r="1871">
      <c r="C1871" s="72"/>
      <c r="G1871" s="77"/>
      <c r="H1871" s="77"/>
    </row>
    <row r="1872">
      <c r="C1872" s="72"/>
      <c r="G1872" s="77"/>
      <c r="H1872" s="77"/>
    </row>
    <row r="1873">
      <c r="C1873" s="72"/>
      <c r="G1873" s="77"/>
      <c r="H1873" s="77"/>
    </row>
    <row r="1874">
      <c r="C1874" s="72"/>
      <c r="G1874" s="77"/>
      <c r="H1874" s="77"/>
    </row>
    <row r="1875">
      <c r="C1875" s="72"/>
      <c r="G1875" s="77"/>
      <c r="H1875" s="77"/>
    </row>
    <row r="1876">
      <c r="C1876" s="72"/>
      <c r="G1876" s="77"/>
      <c r="H1876" s="77"/>
    </row>
    <row r="1877">
      <c r="C1877" s="72"/>
      <c r="G1877" s="77"/>
      <c r="H1877" s="77"/>
    </row>
    <row r="1878">
      <c r="C1878" s="72"/>
      <c r="G1878" s="77"/>
      <c r="H1878" s="77"/>
    </row>
    <row r="1879">
      <c r="C1879" s="72"/>
      <c r="G1879" s="77"/>
      <c r="H1879" s="77"/>
    </row>
    <row r="1880">
      <c r="C1880" s="72"/>
      <c r="G1880" s="77"/>
      <c r="H1880" s="77"/>
    </row>
    <row r="1881">
      <c r="C1881" s="72"/>
      <c r="G1881" s="77"/>
      <c r="H1881" s="77"/>
    </row>
    <row r="1882">
      <c r="C1882" s="72"/>
      <c r="G1882" s="77"/>
      <c r="H1882" s="77"/>
    </row>
    <row r="1883">
      <c r="C1883" s="72"/>
      <c r="G1883" s="77"/>
      <c r="H1883" s="77"/>
    </row>
    <row r="1884">
      <c r="C1884" s="72"/>
      <c r="G1884" s="77"/>
      <c r="H1884" s="77"/>
    </row>
    <row r="1885">
      <c r="C1885" s="72"/>
      <c r="G1885" s="77"/>
      <c r="H1885" s="77"/>
    </row>
    <row r="1886">
      <c r="C1886" s="72"/>
      <c r="G1886" s="77"/>
      <c r="H1886" s="77"/>
    </row>
    <row r="1887">
      <c r="C1887" s="72"/>
      <c r="G1887" s="77"/>
      <c r="H1887" s="77"/>
    </row>
    <row r="1888">
      <c r="C1888" s="72"/>
      <c r="G1888" s="77"/>
      <c r="H1888" s="77"/>
    </row>
    <row r="1889">
      <c r="C1889" s="72"/>
      <c r="G1889" s="77"/>
      <c r="H1889" s="77"/>
    </row>
    <row r="1890">
      <c r="C1890" s="72"/>
      <c r="G1890" s="77"/>
      <c r="H1890" s="77"/>
    </row>
    <row r="1891">
      <c r="C1891" s="72"/>
      <c r="G1891" s="77"/>
      <c r="H1891" s="77"/>
    </row>
    <row r="1892">
      <c r="C1892" s="72"/>
      <c r="G1892" s="77"/>
      <c r="H1892" s="77"/>
    </row>
    <row r="1893">
      <c r="C1893" s="72"/>
      <c r="G1893" s="77"/>
      <c r="H1893" s="77"/>
    </row>
    <row r="1894">
      <c r="C1894" s="72"/>
      <c r="G1894" s="77"/>
      <c r="H1894" s="77"/>
    </row>
    <row r="1895">
      <c r="C1895" s="72"/>
      <c r="G1895" s="77"/>
      <c r="H1895" s="77"/>
    </row>
    <row r="1896">
      <c r="C1896" s="72"/>
      <c r="G1896" s="77"/>
      <c r="H1896" s="77"/>
    </row>
    <row r="1897">
      <c r="C1897" s="72"/>
      <c r="G1897" s="77"/>
      <c r="H1897" s="77"/>
    </row>
    <row r="1898">
      <c r="C1898" s="72"/>
      <c r="G1898" s="77"/>
      <c r="H1898" s="77"/>
    </row>
    <row r="1899">
      <c r="C1899" s="72"/>
      <c r="G1899" s="77"/>
      <c r="H1899" s="77"/>
    </row>
    <row r="1900">
      <c r="C1900" s="72"/>
      <c r="G1900" s="77"/>
      <c r="H1900" s="77"/>
    </row>
    <row r="1901">
      <c r="C1901" s="72"/>
      <c r="G1901" s="77"/>
      <c r="H1901" s="77"/>
    </row>
    <row r="1902">
      <c r="C1902" s="72"/>
      <c r="G1902" s="77"/>
      <c r="H1902" s="77"/>
    </row>
    <row r="1903">
      <c r="C1903" s="72"/>
      <c r="G1903" s="77"/>
      <c r="H1903" s="77"/>
    </row>
    <row r="1904">
      <c r="C1904" s="72"/>
      <c r="G1904" s="77"/>
      <c r="H1904" s="77"/>
    </row>
    <row r="1905">
      <c r="C1905" s="72"/>
      <c r="G1905" s="77"/>
      <c r="H1905" s="77"/>
    </row>
    <row r="1906">
      <c r="C1906" s="72"/>
      <c r="G1906" s="77"/>
      <c r="H1906" s="77"/>
    </row>
    <row r="1907">
      <c r="C1907" s="72"/>
      <c r="G1907" s="77"/>
      <c r="H1907" s="77"/>
    </row>
    <row r="1908">
      <c r="C1908" s="72"/>
      <c r="G1908" s="77"/>
      <c r="H1908" s="77"/>
    </row>
    <row r="1909">
      <c r="C1909" s="72"/>
      <c r="G1909" s="77"/>
      <c r="H1909" s="77"/>
    </row>
    <row r="1910">
      <c r="C1910" s="72"/>
      <c r="G1910" s="77"/>
      <c r="H1910" s="77"/>
    </row>
    <row r="1911">
      <c r="C1911" s="72"/>
      <c r="G1911" s="77"/>
      <c r="H1911" s="77"/>
    </row>
    <row r="1912">
      <c r="C1912" s="72"/>
      <c r="G1912" s="77"/>
      <c r="H1912" s="77"/>
    </row>
    <row r="1913">
      <c r="C1913" s="72"/>
      <c r="G1913" s="77"/>
      <c r="H1913" s="77"/>
    </row>
    <row r="1914">
      <c r="C1914" s="72"/>
      <c r="G1914" s="77"/>
      <c r="H1914" s="77"/>
    </row>
    <row r="1915">
      <c r="C1915" s="72"/>
      <c r="G1915" s="77"/>
      <c r="H1915" s="77"/>
    </row>
    <row r="1916">
      <c r="C1916" s="72"/>
      <c r="G1916" s="77"/>
      <c r="H1916" s="77"/>
    </row>
    <row r="1917">
      <c r="C1917" s="72"/>
      <c r="G1917" s="77"/>
      <c r="H1917" s="77"/>
    </row>
    <row r="1918">
      <c r="C1918" s="72"/>
      <c r="G1918" s="77"/>
      <c r="H1918" s="77"/>
    </row>
    <row r="1919">
      <c r="C1919" s="72"/>
      <c r="G1919" s="77"/>
      <c r="H1919" s="77"/>
    </row>
    <row r="1920">
      <c r="C1920" s="72"/>
      <c r="G1920" s="77"/>
      <c r="H1920" s="77"/>
    </row>
    <row r="1921">
      <c r="C1921" s="72"/>
      <c r="G1921" s="77"/>
      <c r="H1921" s="77"/>
    </row>
    <row r="1922">
      <c r="C1922" s="72"/>
      <c r="G1922" s="77"/>
      <c r="H1922" s="77"/>
    </row>
    <row r="1923">
      <c r="C1923" s="72"/>
      <c r="G1923" s="77"/>
      <c r="H1923" s="77"/>
    </row>
    <row r="1924">
      <c r="C1924" s="72"/>
      <c r="G1924" s="77"/>
      <c r="H1924" s="77"/>
    </row>
    <row r="1925">
      <c r="C1925" s="72"/>
      <c r="G1925" s="77"/>
      <c r="H1925" s="77"/>
    </row>
    <row r="1926">
      <c r="C1926" s="72"/>
      <c r="G1926" s="77"/>
      <c r="H1926" s="77"/>
    </row>
    <row r="1927">
      <c r="C1927" s="72"/>
      <c r="G1927" s="77"/>
      <c r="H1927" s="77"/>
    </row>
    <row r="1928">
      <c r="C1928" s="72"/>
      <c r="G1928" s="77"/>
      <c r="H1928" s="77"/>
    </row>
    <row r="1929">
      <c r="C1929" s="72"/>
      <c r="G1929" s="77"/>
      <c r="H1929" s="77"/>
    </row>
    <row r="1930">
      <c r="C1930" s="72"/>
      <c r="G1930" s="77"/>
      <c r="H1930" s="77"/>
    </row>
    <row r="1931">
      <c r="C1931" s="72"/>
      <c r="G1931" s="77"/>
      <c r="H1931" s="77"/>
    </row>
    <row r="1932">
      <c r="C1932" s="72"/>
      <c r="G1932" s="77"/>
      <c r="H1932" s="77"/>
    </row>
    <row r="1933">
      <c r="C1933" s="72"/>
      <c r="G1933" s="77"/>
      <c r="H1933" s="77"/>
    </row>
    <row r="1934">
      <c r="C1934" s="72"/>
      <c r="G1934" s="77"/>
      <c r="H1934" s="77"/>
    </row>
    <row r="1935">
      <c r="C1935" s="72"/>
      <c r="G1935" s="77"/>
      <c r="H1935" s="77"/>
    </row>
    <row r="1936">
      <c r="C1936" s="72"/>
      <c r="G1936" s="77"/>
      <c r="H1936" s="77"/>
    </row>
    <row r="1937">
      <c r="C1937" s="72"/>
      <c r="G1937" s="77"/>
      <c r="H1937" s="77"/>
    </row>
    <row r="1938">
      <c r="C1938" s="72"/>
      <c r="G1938" s="77"/>
      <c r="H1938" s="77"/>
    </row>
    <row r="1939">
      <c r="C1939" s="72"/>
      <c r="G1939" s="77"/>
      <c r="H1939" s="77"/>
    </row>
    <row r="1940">
      <c r="C1940" s="72"/>
      <c r="G1940" s="77"/>
      <c r="H1940" s="77"/>
    </row>
    <row r="1941">
      <c r="C1941" s="72"/>
      <c r="G1941" s="77"/>
      <c r="H1941" s="77"/>
    </row>
    <row r="1942">
      <c r="C1942" s="72"/>
      <c r="G1942" s="77"/>
      <c r="H1942" s="77"/>
    </row>
    <row r="1943">
      <c r="C1943" s="72"/>
      <c r="G1943" s="77"/>
      <c r="H1943" s="77"/>
    </row>
    <row r="1944">
      <c r="C1944" s="72"/>
      <c r="G1944" s="77"/>
      <c r="H1944" s="77"/>
    </row>
    <row r="1945">
      <c r="C1945" s="72"/>
      <c r="G1945" s="77"/>
      <c r="H1945" s="77"/>
    </row>
    <row r="1946">
      <c r="C1946" s="72"/>
      <c r="G1946" s="77"/>
      <c r="H1946" s="77"/>
    </row>
    <row r="1947">
      <c r="C1947" s="72"/>
      <c r="G1947" s="77"/>
      <c r="H1947" s="77"/>
    </row>
    <row r="1948">
      <c r="C1948" s="72"/>
      <c r="G1948" s="77"/>
      <c r="H1948" s="77"/>
    </row>
    <row r="1949">
      <c r="C1949" s="72"/>
      <c r="G1949" s="77"/>
      <c r="H1949" s="77"/>
    </row>
    <row r="1950">
      <c r="C1950" s="72"/>
      <c r="G1950" s="77"/>
      <c r="H1950" s="77"/>
    </row>
    <row r="1951">
      <c r="C1951" s="72"/>
      <c r="G1951" s="77"/>
      <c r="H1951" s="77"/>
    </row>
    <row r="1952">
      <c r="C1952" s="72"/>
      <c r="G1952" s="77"/>
      <c r="H1952" s="77"/>
    </row>
    <row r="1953">
      <c r="C1953" s="72"/>
      <c r="G1953" s="77"/>
      <c r="H1953" s="77"/>
    </row>
    <row r="1954">
      <c r="C1954" s="72"/>
      <c r="G1954" s="77"/>
      <c r="H1954" s="77"/>
    </row>
    <row r="1955">
      <c r="C1955" s="72"/>
      <c r="G1955" s="77"/>
      <c r="H1955" s="77"/>
    </row>
    <row r="1956">
      <c r="C1956" s="72"/>
      <c r="G1956" s="77"/>
      <c r="H1956" s="77"/>
    </row>
    <row r="1957">
      <c r="C1957" s="72"/>
      <c r="G1957" s="77"/>
      <c r="H1957" s="77"/>
    </row>
    <row r="1958">
      <c r="C1958" s="72"/>
      <c r="G1958" s="77"/>
      <c r="H1958" s="77"/>
    </row>
    <row r="1959">
      <c r="C1959" s="72"/>
      <c r="G1959" s="77"/>
      <c r="H1959" s="77"/>
    </row>
    <row r="1960">
      <c r="C1960" s="72"/>
      <c r="G1960" s="77"/>
      <c r="H1960" s="77"/>
    </row>
    <row r="1961">
      <c r="C1961" s="72"/>
      <c r="G1961" s="77"/>
      <c r="H1961" s="77"/>
    </row>
    <row r="1962">
      <c r="C1962" s="72"/>
      <c r="G1962" s="77"/>
      <c r="H1962" s="77"/>
    </row>
    <row r="1963">
      <c r="C1963" s="72"/>
      <c r="G1963" s="77"/>
      <c r="H1963" s="77"/>
    </row>
    <row r="1964">
      <c r="C1964" s="72"/>
      <c r="G1964" s="77"/>
      <c r="H1964" s="77"/>
    </row>
    <row r="1965">
      <c r="C1965" s="72"/>
      <c r="G1965" s="77"/>
      <c r="H1965" s="77"/>
    </row>
    <row r="1966">
      <c r="C1966" s="72"/>
      <c r="G1966" s="77"/>
      <c r="H1966" s="77"/>
    </row>
    <row r="1967">
      <c r="C1967" s="72"/>
      <c r="G1967" s="77"/>
      <c r="H1967" s="77"/>
    </row>
    <row r="1968">
      <c r="C1968" s="72"/>
      <c r="G1968" s="77"/>
      <c r="H1968" s="77"/>
    </row>
    <row r="1969">
      <c r="C1969" s="72"/>
      <c r="G1969" s="77"/>
      <c r="H1969" s="77"/>
    </row>
    <row r="1970">
      <c r="C1970" s="72"/>
      <c r="G1970" s="77"/>
      <c r="H1970" s="77"/>
    </row>
    <row r="1971">
      <c r="C1971" s="72"/>
      <c r="G1971" s="77"/>
      <c r="H1971" s="77"/>
    </row>
    <row r="1972">
      <c r="C1972" s="72"/>
      <c r="G1972" s="77"/>
      <c r="H1972" s="77"/>
    </row>
    <row r="1973">
      <c r="C1973" s="72"/>
      <c r="G1973" s="77"/>
      <c r="H1973" s="77"/>
    </row>
    <row r="1974">
      <c r="C1974" s="72"/>
      <c r="G1974" s="77"/>
      <c r="H1974" s="77"/>
    </row>
    <row r="1975">
      <c r="C1975" s="72"/>
      <c r="G1975" s="77"/>
      <c r="H1975" s="77"/>
    </row>
    <row r="1976">
      <c r="C1976" s="72"/>
      <c r="G1976" s="77"/>
      <c r="H1976" s="77"/>
    </row>
    <row r="1977">
      <c r="C1977" s="72"/>
      <c r="G1977" s="77"/>
      <c r="H1977" s="77"/>
    </row>
    <row r="1978">
      <c r="C1978" s="72"/>
      <c r="G1978" s="77"/>
      <c r="H1978" s="77"/>
    </row>
    <row r="1979">
      <c r="C1979" s="72"/>
      <c r="G1979" s="77"/>
      <c r="H1979" s="77"/>
    </row>
    <row r="1980">
      <c r="C1980" s="72"/>
      <c r="G1980" s="77"/>
      <c r="H1980" s="77"/>
    </row>
    <row r="1981">
      <c r="C1981" s="72"/>
      <c r="G1981" s="77"/>
      <c r="H1981" s="77"/>
    </row>
    <row r="1982">
      <c r="C1982" s="72"/>
      <c r="G1982" s="77"/>
      <c r="H1982" s="77"/>
    </row>
    <row r="1983">
      <c r="C1983" s="72"/>
      <c r="G1983" s="77"/>
      <c r="H1983" s="77"/>
    </row>
    <row r="1984">
      <c r="C1984" s="72"/>
      <c r="G1984" s="77"/>
      <c r="H1984" s="77"/>
    </row>
    <row r="1985">
      <c r="C1985" s="72"/>
      <c r="G1985" s="77"/>
      <c r="H1985" s="77"/>
    </row>
    <row r="1986">
      <c r="C1986" s="72"/>
      <c r="G1986" s="77"/>
      <c r="H1986" s="77"/>
    </row>
    <row r="1987">
      <c r="C1987" s="72"/>
      <c r="G1987" s="77"/>
      <c r="H1987" s="77"/>
    </row>
    <row r="1988">
      <c r="C1988" s="72"/>
      <c r="G1988" s="77"/>
      <c r="H1988" s="77"/>
    </row>
    <row r="1989">
      <c r="C1989" s="72"/>
      <c r="G1989" s="77"/>
      <c r="H1989" s="77"/>
    </row>
    <row r="1990">
      <c r="C1990" s="72"/>
      <c r="G1990" s="77"/>
      <c r="H1990" s="77"/>
    </row>
    <row r="1991">
      <c r="C1991" s="72"/>
      <c r="G1991" s="77"/>
      <c r="H1991" s="77"/>
    </row>
    <row r="1992">
      <c r="C1992" s="72"/>
      <c r="G1992" s="77"/>
      <c r="H1992" s="77"/>
    </row>
    <row r="1993">
      <c r="C1993" s="72"/>
      <c r="G1993" s="77"/>
      <c r="H1993" s="77"/>
    </row>
    <row r="1994">
      <c r="C1994" s="72"/>
      <c r="G1994" s="77"/>
      <c r="H1994" s="77"/>
    </row>
    <row r="1995">
      <c r="C1995" s="72"/>
      <c r="G1995" s="77"/>
      <c r="H1995" s="77"/>
    </row>
    <row r="1996">
      <c r="C1996" s="72"/>
      <c r="G1996" s="77"/>
      <c r="H1996" s="77"/>
    </row>
    <row r="1997">
      <c r="C1997" s="72"/>
      <c r="G1997" s="77"/>
      <c r="H1997" s="77"/>
    </row>
    <row r="1998">
      <c r="C1998" s="72"/>
      <c r="G1998" s="77"/>
      <c r="H1998" s="77"/>
    </row>
    <row r="1999">
      <c r="C1999" s="72"/>
      <c r="G1999" s="77"/>
      <c r="H1999" s="77"/>
    </row>
    <row r="2000">
      <c r="C2000" s="72"/>
      <c r="G2000" s="77"/>
      <c r="H2000" s="77"/>
    </row>
    <row r="2001">
      <c r="C2001" s="72"/>
      <c r="G2001" s="77"/>
      <c r="H2001" s="77"/>
    </row>
    <row r="2002">
      <c r="C2002" s="72"/>
      <c r="G2002" s="77"/>
      <c r="H2002" s="77"/>
    </row>
    <row r="2003">
      <c r="C2003" s="72"/>
      <c r="G2003" s="77"/>
      <c r="H2003" s="77"/>
    </row>
    <row r="2004">
      <c r="C2004" s="72"/>
      <c r="G2004" s="77"/>
      <c r="H2004" s="77"/>
    </row>
    <row r="2005">
      <c r="C2005" s="72"/>
      <c r="G2005" s="77"/>
      <c r="H2005" s="77"/>
    </row>
    <row r="2006">
      <c r="C2006" s="72"/>
      <c r="G2006" s="77"/>
      <c r="H2006" s="77"/>
    </row>
    <row r="2007">
      <c r="C2007" s="72"/>
      <c r="G2007" s="77"/>
      <c r="H2007" s="77"/>
    </row>
    <row r="2008">
      <c r="C2008" s="72"/>
      <c r="G2008" s="77"/>
      <c r="H2008" s="77"/>
    </row>
    <row r="2009">
      <c r="C2009" s="72"/>
      <c r="G2009" s="77"/>
      <c r="H2009" s="77"/>
    </row>
    <row r="2010">
      <c r="C2010" s="72"/>
      <c r="G2010" s="77"/>
      <c r="H2010" s="77"/>
    </row>
    <row r="2011">
      <c r="C2011" s="72"/>
      <c r="G2011" s="77"/>
      <c r="H2011" s="77"/>
    </row>
    <row r="2012">
      <c r="C2012" s="72"/>
      <c r="G2012" s="77"/>
      <c r="H2012" s="77"/>
    </row>
    <row r="2013">
      <c r="C2013" s="72"/>
      <c r="G2013" s="77"/>
      <c r="H2013" s="77"/>
    </row>
    <row r="2014">
      <c r="C2014" s="72"/>
      <c r="G2014" s="77"/>
      <c r="H2014" s="77"/>
    </row>
    <row r="2015">
      <c r="C2015" s="72"/>
      <c r="G2015" s="77"/>
      <c r="H2015" s="77"/>
    </row>
    <row r="2016">
      <c r="C2016" s="72"/>
      <c r="G2016" s="77"/>
      <c r="H2016" s="77"/>
    </row>
    <row r="2017">
      <c r="C2017" s="72"/>
      <c r="G2017" s="77"/>
      <c r="H2017" s="77"/>
    </row>
    <row r="2018">
      <c r="C2018" s="72"/>
      <c r="G2018" s="77"/>
      <c r="H2018" s="77"/>
    </row>
    <row r="2019">
      <c r="C2019" s="72"/>
      <c r="G2019" s="77"/>
      <c r="H2019" s="77"/>
    </row>
    <row r="2020">
      <c r="C2020" s="72"/>
      <c r="G2020" s="77"/>
      <c r="H2020" s="77"/>
    </row>
    <row r="2021">
      <c r="C2021" s="72"/>
      <c r="G2021" s="77"/>
      <c r="H2021" s="77"/>
    </row>
    <row r="2022">
      <c r="C2022" s="72"/>
      <c r="G2022" s="77"/>
      <c r="H2022" s="77"/>
    </row>
    <row r="2023">
      <c r="C2023" s="72"/>
      <c r="G2023" s="77"/>
      <c r="H2023" s="77"/>
    </row>
    <row r="2024">
      <c r="C2024" s="72"/>
      <c r="G2024" s="77"/>
      <c r="H2024" s="77"/>
    </row>
    <row r="2025">
      <c r="C2025" s="72"/>
      <c r="G2025" s="77"/>
      <c r="H2025" s="77"/>
    </row>
    <row r="2026">
      <c r="C2026" s="72"/>
      <c r="G2026" s="77"/>
      <c r="H2026" s="77"/>
    </row>
    <row r="2027">
      <c r="C2027" s="72"/>
      <c r="G2027" s="77"/>
      <c r="H2027" s="77"/>
    </row>
    <row r="2028">
      <c r="C2028" s="72"/>
      <c r="G2028" s="77"/>
      <c r="H2028" s="77"/>
    </row>
    <row r="2029">
      <c r="C2029" s="72"/>
      <c r="G2029" s="77"/>
      <c r="H2029" s="77"/>
    </row>
    <row r="2030">
      <c r="C2030" s="72"/>
      <c r="G2030" s="77"/>
      <c r="H2030" s="77"/>
    </row>
    <row r="2031">
      <c r="C2031" s="72"/>
      <c r="G2031" s="77"/>
      <c r="H2031" s="77"/>
    </row>
    <row r="2032">
      <c r="C2032" s="72"/>
      <c r="G2032" s="77"/>
      <c r="H2032" s="77"/>
    </row>
    <row r="2033">
      <c r="C2033" s="72"/>
      <c r="G2033" s="77"/>
      <c r="H2033" s="77"/>
    </row>
    <row r="2034">
      <c r="C2034" s="72"/>
      <c r="G2034" s="77"/>
      <c r="H2034" s="77"/>
    </row>
    <row r="2035">
      <c r="C2035" s="72"/>
      <c r="G2035" s="77"/>
      <c r="H2035" s="77"/>
    </row>
    <row r="2036">
      <c r="C2036" s="72"/>
      <c r="G2036" s="77"/>
      <c r="H2036" s="77"/>
    </row>
    <row r="2037">
      <c r="C2037" s="72"/>
      <c r="G2037" s="77"/>
      <c r="H2037" s="77"/>
    </row>
    <row r="2038">
      <c r="C2038" s="72"/>
      <c r="G2038" s="77"/>
      <c r="H2038" s="77"/>
    </row>
    <row r="2039">
      <c r="C2039" s="72"/>
      <c r="G2039" s="77"/>
      <c r="H2039" s="77"/>
    </row>
    <row r="2040">
      <c r="C2040" s="72"/>
      <c r="G2040" s="77"/>
      <c r="H2040" s="77"/>
    </row>
    <row r="2041">
      <c r="C2041" s="72"/>
      <c r="G2041" s="77"/>
      <c r="H2041" s="77"/>
    </row>
    <row r="2042">
      <c r="C2042" s="72"/>
      <c r="G2042" s="77"/>
      <c r="H2042" s="77"/>
    </row>
    <row r="2043">
      <c r="C2043" s="72"/>
      <c r="G2043" s="77"/>
      <c r="H2043" s="77"/>
    </row>
    <row r="2044">
      <c r="C2044" s="72"/>
      <c r="G2044" s="77"/>
      <c r="H2044" s="77"/>
    </row>
    <row r="2045">
      <c r="C2045" s="72"/>
      <c r="G2045" s="77"/>
      <c r="H2045" s="77"/>
    </row>
    <row r="2046">
      <c r="C2046" s="72"/>
      <c r="G2046" s="77"/>
      <c r="H2046" s="77"/>
    </row>
    <row r="2047">
      <c r="C2047" s="72"/>
      <c r="G2047" s="77"/>
      <c r="H2047" s="77"/>
    </row>
    <row r="2048">
      <c r="C2048" s="72"/>
      <c r="G2048" s="77"/>
      <c r="H2048" s="77"/>
    </row>
    <row r="2049">
      <c r="C2049" s="72"/>
      <c r="G2049" s="77"/>
      <c r="H2049" s="77"/>
    </row>
    <row r="2050">
      <c r="C2050" s="72"/>
      <c r="G2050" s="77"/>
      <c r="H2050" s="77"/>
    </row>
    <row r="2051">
      <c r="C2051" s="72"/>
      <c r="G2051" s="77"/>
      <c r="H2051" s="77"/>
    </row>
    <row r="2052">
      <c r="C2052" s="72"/>
      <c r="G2052" s="77"/>
      <c r="H2052" s="77"/>
    </row>
    <row r="2053">
      <c r="C2053" s="72"/>
      <c r="G2053" s="77"/>
      <c r="H2053" s="77"/>
    </row>
    <row r="2054">
      <c r="C2054" s="72"/>
      <c r="G2054" s="77"/>
      <c r="H2054" s="77"/>
    </row>
    <row r="2055">
      <c r="C2055" s="72"/>
      <c r="G2055" s="77"/>
      <c r="H2055" s="77"/>
    </row>
    <row r="2056">
      <c r="C2056" s="72"/>
      <c r="G2056" s="77"/>
      <c r="H2056" s="77"/>
    </row>
    <row r="2057">
      <c r="C2057" s="72"/>
      <c r="G2057" s="77"/>
      <c r="H2057" s="77"/>
    </row>
    <row r="2058">
      <c r="C2058" s="72"/>
      <c r="G2058" s="77"/>
      <c r="H2058" s="77"/>
    </row>
    <row r="2059">
      <c r="C2059" s="72"/>
      <c r="G2059" s="77"/>
      <c r="H2059" s="77"/>
    </row>
    <row r="2060">
      <c r="C2060" s="72"/>
      <c r="G2060" s="77"/>
      <c r="H2060" s="77"/>
    </row>
    <row r="2061">
      <c r="C2061" s="72"/>
      <c r="G2061" s="77"/>
      <c r="H2061" s="77"/>
    </row>
    <row r="2062">
      <c r="C2062" s="72"/>
      <c r="G2062" s="77"/>
      <c r="H2062" s="77"/>
    </row>
    <row r="2063">
      <c r="C2063" s="72"/>
      <c r="G2063" s="77"/>
      <c r="H2063" s="77"/>
    </row>
    <row r="2064">
      <c r="C2064" s="72"/>
      <c r="G2064" s="77"/>
      <c r="H2064" s="77"/>
    </row>
    <row r="2065">
      <c r="C2065" s="72"/>
      <c r="G2065" s="77"/>
      <c r="H2065" s="77"/>
    </row>
    <row r="2066">
      <c r="C2066" s="72"/>
      <c r="G2066" s="77"/>
      <c r="H2066" s="77"/>
    </row>
    <row r="2067">
      <c r="C2067" s="72"/>
      <c r="G2067" s="77"/>
      <c r="H2067" s="77"/>
    </row>
    <row r="2068">
      <c r="C2068" s="72"/>
      <c r="G2068" s="77"/>
      <c r="H2068" s="77"/>
    </row>
    <row r="2069">
      <c r="C2069" s="72"/>
      <c r="G2069" s="77"/>
      <c r="H2069" s="77"/>
    </row>
    <row r="2070">
      <c r="C2070" s="72"/>
      <c r="G2070" s="77"/>
      <c r="H2070" s="77"/>
    </row>
    <row r="2071">
      <c r="C2071" s="72"/>
      <c r="G2071" s="77"/>
      <c r="H2071" s="77"/>
    </row>
    <row r="2072">
      <c r="C2072" s="72"/>
      <c r="G2072" s="77"/>
      <c r="H2072" s="77"/>
    </row>
    <row r="2073">
      <c r="C2073" s="72"/>
      <c r="G2073" s="77"/>
      <c r="H2073" s="77"/>
    </row>
    <row r="2074">
      <c r="C2074" s="72"/>
      <c r="G2074" s="77"/>
      <c r="H2074" s="77"/>
    </row>
    <row r="2075">
      <c r="C2075" s="72"/>
      <c r="G2075" s="77"/>
      <c r="H2075" s="77"/>
    </row>
    <row r="2076">
      <c r="C2076" s="72"/>
      <c r="G2076" s="77"/>
      <c r="H2076" s="77"/>
    </row>
    <row r="2077">
      <c r="C2077" s="72"/>
      <c r="G2077" s="77"/>
      <c r="H2077" s="77"/>
    </row>
    <row r="2078">
      <c r="C2078" s="72"/>
      <c r="G2078" s="77"/>
      <c r="H2078" s="77"/>
    </row>
    <row r="2079">
      <c r="C2079" s="72"/>
      <c r="G2079" s="77"/>
      <c r="H2079" s="77"/>
    </row>
    <row r="2080">
      <c r="C2080" s="72"/>
      <c r="G2080" s="77"/>
      <c r="H2080" s="77"/>
    </row>
    <row r="2081">
      <c r="C2081" s="72"/>
      <c r="G2081" s="77"/>
      <c r="H2081" s="77"/>
    </row>
    <row r="2082">
      <c r="C2082" s="72"/>
      <c r="G2082" s="77"/>
      <c r="H2082" s="77"/>
    </row>
    <row r="2083">
      <c r="C2083" s="72"/>
      <c r="G2083" s="77"/>
      <c r="H2083" s="77"/>
    </row>
    <row r="2084">
      <c r="C2084" s="72"/>
      <c r="G2084" s="77"/>
      <c r="H2084" s="77"/>
    </row>
    <row r="2085">
      <c r="C2085" s="72"/>
      <c r="G2085" s="77"/>
      <c r="H2085" s="77"/>
    </row>
    <row r="2086">
      <c r="C2086" s="72"/>
      <c r="G2086" s="77"/>
      <c r="H2086" s="77"/>
    </row>
    <row r="2087">
      <c r="C2087" s="72"/>
      <c r="G2087" s="77"/>
      <c r="H2087" s="77"/>
    </row>
    <row r="2088">
      <c r="C2088" s="72"/>
      <c r="G2088" s="77"/>
      <c r="H2088" s="77"/>
    </row>
    <row r="2089">
      <c r="C2089" s="72"/>
      <c r="G2089" s="77"/>
      <c r="H2089" s="77"/>
    </row>
    <row r="2090">
      <c r="C2090" s="72"/>
      <c r="G2090" s="77"/>
      <c r="H2090" s="77"/>
    </row>
    <row r="2091">
      <c r="C2091" s="72"/>
      <c r="G2091" s="77"/>
      <c r="H2091" s="77"/>
    </row>
    <row r="2092">
      <c r="C2092" s="72"/>
      <c r="G2092" s="77"/>
      <c r="H2092" s="77"/>
    </row>
    <row r="2093">
      <c r="C2093" s="72"/>
      <c r="G2093" s="77"/>
      <c r="H2093" s="77"/>
    </row>
    <row r="2094">
      <c r="C2094" s="72"/>
      <c r="G2094" s="77"/>
      <c r="H2094" s="77"/>
    </row>
    <row r="2095">
      <c r="C2095" s="72"/>
      <c r="G2095" s="77"/>
      <c r="H2095" s="77"/>
    </row>
    <row r="2096">
      <c r="C2096" s="72"/>
      <c r="G2096" s="77"/>
      <c r="H2096" s="77"/>
    </row>
    <row r="2097">
      <c r="C2097" s="72"/>
      <c r="G2097" s="77"/>
      <c r="H2097" s="77"/>
    </row>
    <row r="2098">
      <c r="C2098" s="72"/>
      <c r="G2098" s="77"/>
      <c r="H2098" s="77"/>
    </row>
    <row r="2099">
      <c r="C2099" s="72"/>
      <c r="G2099" s="77"/>
      <c r="H2099" s="77"/>
    </row>
    <row r="2100">
      <c r="C2100" s="72"/>
      <c r="G2100" s="77"/>
      <c r="H2100" s="77"/>
    </row>
    <row r="2101">
      <c r="C2101" s="72"/>
      <c r="G2101" s="77"/>
      <c r="H2101" s="77"/>
    </row>
    <row r="2102">
      <c r="C2102" s="72"/>
      <c r="G2102" s="77"/>
      <c r="H2102" s="77"/>
    </row>
    <row r="2103">
      <c r="C2103" s="72"/>
      <c r="G2103" s="77"/>
      <c r="H2103" s="77"/>
    </row>
    <row r="2104">
      <c r="C2104" s="72"/>
      <c r="G2104" s="77"/>
      <c r="H2104" s="77"/>
    </row>
    <row r="2105">
      <c r="C2105" s="72"/>
      <c r="G2105" s="77"/>
      <c r="H2105" s="77"/>
    </row>
    <row r="2106">
      <c r="C2106" s="72"/>
      <c r="G2106" s="77"/>
      <c r="H2106" s="77"/>
    </row>
    <row r="2107">
      <c r="C2107" s="72"/>
      <c r="G2107" s="77"/>
      <c r="H2107" s="77"/>
    </row>
    <row r="2108">
      <c r="C2108" s="72"/>
      <c r="G2108" s="77"/>
      <c r="H2108" s="77"/>
    </row>
    <row r="2109">
      <c r="C2109" s="72"/>
      <c r="G2109" s="77"/>
      <c r="H2109" s="77"/>
    </row>
    <row r="2110">
      <c r="C2110" s="72"/>
      <c r="G2110" s="77"/>
      <c r="H2110" s="77"/>
    </row>
    <row r="2111">
      <c r="C2111" s="72"/>
      <c r="G2111" s="77"/>
      <c r="H2111" s="77"/>
    </row>
    <row r="2112">
      <c r="C2112" s="72"/>
      <c r="G2112" s="77"/>
      <c r="H2112" s="77"/>
    </row>
    <row r="2113">
      <c r="C2113" s="72"/>
      <c r="G2113" s="77"/>
      <c r="H2113" s="77"/>
    </row>
    <row r="2114">
      <c r="C2114" s="72"/>
      <c r="G2114" s="77"/>
      <c r="H2114" s="77"/>
    </row>
    <row r="2115">
      <c r="C2115" s="72"/>
      <c r="G2115" s="77"/>
      <c r="H2115" s="77"/>
    </row>
    <row r="2116">
      <c r="C2116" s="72"/>
      <c r="G2116" s="77"/>
      <c r="H2116" s="77"/>
    </row>
    <row r="2117">
      <c r="C2117" s="72"/>
      <c r="G2117" s="77"/>
      <c r="H2117" s="77"/>
    </row>
    <row r="2118">
      <c r="C2118" s="72"/>
      <c r="G2118" s="77"/>
      <c r="H2118" s="77"/>
    </row>
    <row r="2119">
      <c r="C2119" s="72"/>
      <c r="G2119" s="77"/>
      <c r="H2119" s="77"/>
    </row>
    <row r="2120">
      <c r="C2120" s="72"/>
      <c r="G2120" s="77"/>
      <c r="H2120" s="77"/>
    </row>
    <row r="2121">
      <c r="C2121" s="72"/>
      <c r="G2121" s="77"/>
      <c r="H2121" s="77"/>
    </row>
    <row r="2122">
      <c r="C2122" s="72"/>
      <c r="G2122" s="77"/>
      <c r="H2122" s="77"/>
    </row>
    <row r="2123">
      <c r="C2123" s="72"/>
      <c r="G2123" s="77"/>
      <c r="H2123" s="77"/>
    </row>
    <row r="2124">
      <c r="C2124" s="72"/>
      <c r="G2124" s="77"/>
      <c r="H2124" s="77"/>
    </row>
    <row r="2125">
      <c r="C2125" s="72"/>
      <c r="G2125" s="77"/>
      <c r="H2125" s="77"/>
    </row>
    <row r="2126">
      <c r="C2126" s="72"/>
      <c r="G2126" s="77"/>
      <c r="H2126" s="77"/>
    </row>
    <row r="2127">
      <c r="C2127" s="72"/>
      <c r="G2127" s="77"/>
      <c r="H2127" s="77"/>
    </row>
    <row r="2128">
      <c r="C2128" s="72"/>
      <c r="G2128" s="77"/>
      <c r="H2128" s="77"/>
    </row>
    <row r="2129">
      <c r="C2129" s="72"/>
      <c r="G2129" s="77"/>
      <c r="H2129" s="77"/>
    </row>
    <row r="2130">
      <c r="C2130" s="72"/>
      <c r="G2130" s="77"/>
      <c r="H2130" s="77"/>
    </row>
    <row r="2131">
      <c r="C2131" s="72"/>
      <c r="G2131" s="77"/>
      <c r="H2131" s="77"/>
    </row>
    <row r="2132">
      <c r="C2132" s="72"/>
      <c r="G2132" s="77"/>
      <c r="H2132" s="77"/>
    </row>
    <row r="2133">
      <c r="C2133" s="72"/>
      <c r="G2133" s="77"/>
      <c r="H2133" s="77"/>
    </row>
    <row r="2134">
      <c r="C2134" s="72"/>
      <c r="G2134" s="77"/>
      <c r="H2134" s="77"/>
    </row>
    <row r="2135">
      <c r="C2135" s="72"/>
      <c r="G2135" s="77"/>
      <c r="H2135" s="77"/>
    </row>
    <row r="2136">
      <c r="C2136" s="72"/>
      <c r="G2136" s="77"/>
      <c r="H2136" s="77"/>
    </row>
    <row r="2137">
      <c r="C2137" s="72"/>
      <c r="G2137" s="77"/>
      <c r="H2137" s="77"/>
    </row>
    <row r="2138">
      <c r="C2138" s="72"/>
      <c r="G2138" s="77"/>
      <c r="H2138" s="77"/>
    </row>
    <row r="2139">
      <c r="C2139" s="72"/>
      <c r="G2139" s="77"/>
      <c r="H2139" s="77"/>
    </row>
    <row r="2140">
      <c r="C2140" s="72"/>
      <c r="G2140" s="77"/>
      <c r="H2140" s="77"/>
    </row>
    <row r="2141">
      <c r="C2141" s="72"/>
      <c r="G2141" s="77"/>
      <c r="H2141" s="77"/>
    </row>
    <row r="2142">
      <c r="C2142" s="72"/>
      <c r="G2142" s="77"/>
      <c r="H2142" s="77"/>
    </row>
    <row r="2143">
      <c r="C2143" s="72"/>
      <c r="G2143" s="77"/>
      <c r="H2143" s="77"/>
    </row>
    <row r="2144">
      <c r="C2144" s="72"/>
      <c r="G2144" s="77"/>
      <c r="H2144" s="77"/>
    </row>
    <row r="2145">
      <c r="C2145" s="72"/>
      <c r="G2145" s="77"/>
      <c r="H2145" s="77"/>
    </row>
    <row r="2146">
      <c r="C2146" s="72"/>
      <c r="G2146" s="77"/>
      <c r="H2146" s="77"/>
    </row>
    <row r="2147">
      <c r="C2147" s="72"/>
      <c r="G2147" s="77"/>
      <c r="H2147" s="77"/>
    </row>
    <row r="2148">
      <c r="C2148" s="72"/>
      <c r="G2148" s="77"/>
      <c r="H2148" s="77"/>
    </row>
    <row r="2149">
      <c r="C2149" s="72"/>
      <c r="G2149" s="77"/>
      <c r="H2149" s="77"/>
    </row>
    <row r="2150">
      <c r="C2150" s="72"/>
      <c r="G2150" s="77"/>
      <c r="H2150" s="77"/>
    </row>
    <row r="2151">
      <c r="C2151" s="72"/>
      <c r="G2151" s="77"/>
      <c r="H2151" s="77"/>
    </row>
    <row r="2152">
      <c r="C2152" s="72"/>
      <c r="G2152" s="77"/>
      <c r="H2152" s="77"/>
    </row>
    <row r="2153">
      <c r="C2153" s="72"/>
      <c r="G2153" s="77"/>
      <c r="H2153" s="77"/>
    </row>
    <row r="2154">
      <c r="C2154" s="72"/>
      <c r="G2154" s="77"/>
      <c r="H2154" s="77"/>
    </row>
    <row r="2155">
      <c r="C2155" s="72"/>
      <c r="G2155" s="77"/>
      <c r="H2155" s="77"/>
    </row>
    <row r="2156">
      <c r="C2156" s="72"/>
      <c r="G2156" s="77"/>
      <c r="H2156" s="77"/>
    </row>
    <row r="2157">
      <c r="C2157" s="72"/>
      <c r="G2157" s="77"/>
      <c r="H2157" s="77"/>
    </row>
    <row r="2158">
      <c r="C2158" s="72"/>
      <c r="G2158" s="77"/>
      <c r="H2158" s="77"/>
    </row>
    <row r="2159">
      <c r="C2159" s="72"/>
      <c r="G2159" s="77"/>
      <c r="H2159" s="77"/>
    </row>
    <row r="2160">
      <c r="C2160" s="72"/>
      <c r="G2160" s="77"/>
      <c r="H2160" s="77"/>
    </row>
    <row r="2161">
      <c r="C2161" s="72"/>
      <c r="G2161" s="77"/>
      <c r="H2161" s="77"/>
    </row>
    <row r="2162">
      <c r="C2162" s="72"/>
      <c r="G2162" s="77"/>
      <c r="H2162" s="77"/>
    </row>
    <row r="2163">
      <c r="C2163" s="72"/>
      <c r="G2163" s="77"/>
      <c r="H2163" s="77"/>
    </row>
    <row r="2164">
      <c r="C2164" s="72"/>
      <c r="G2164" s="77"/>
      <c r="H2164" s="77"/>
    </row>
    <row r="2165">
      <c r="C2165" s="72"/>
      <c r="G2165" s="77"/>
      <c r="H2165" s="77"/>
    </row>
    <row r="2166">
      <c r="C2166" s="72"/>
      <c r="G2166" s="77"/>
      <c r="H2166" s="77"/>
    </row>
    <row r="2167">
      <c r="C2167" s="72"/>
      <c r="G2167" s="77"/>
      <c r="H2167" s="77"/>
    </row>
    <row r="2168">
      <c r="C2168" s="72"/>
      <c r="G2168" s="77"/>
      <c r="H2168" s="77"/>
    </row>
    <row r="2169">
      <c r="C2169" s="72"/>
      <c r="G2169" s="77"/>
      <c r="H2169" s="77"/>
    </row>
    <row r="2170">
      <c r="C2170" s="72"/>
      <c r="G2170" s="77"/>
      <c r="H2170" s="77"/>
    </row>
    <row r="2171">
      <c r="C2171" s="72"/>
      <c r="G2171" s="77"/>
      <c r="H2171" s="77"/>
    </row>
    <row r="2172">
      <c r="C2172" s="72"/>
      <c r="G2172" s="77"/>
      <c r="H2172" s="77"/>
    </row>
    <row r="2173">
      <c r="C2173" s="72"/>
      <c r="G2173" s="77"/>
      <c r="H2173" s="77"/>
    </row>
    <row r="2174">
      <c r="C2174" s="72"/>
      <c r="G2174" s="77"/>
      <c r="H2174" s="77"/>
    </row>
    <row r="2175">
      <c r="C2175" s="72"/>
      <c r="G2175" s="77"/>
      <c r="H2175" s="77"/>
    </row>
    <row r="2176">
      <c r="C2176" s="72"/>
      <c r="G2176" s="77"/>
      <c r="H2176" s="77"/>
    </row>
    <row r="2177">
      <c r="C2177" s="72"/>
      <c r="G2177" s="77"/>
      <c r="H2177" s="77"/>
    </row>
    <row r="2178">
      <c r="C2178" s="72"/>
      <c r="G2178" s="77"/>
      <c r="H2178" s="77"/>
    </row>
    <row r="2179">
      <c r="C2179" s="72"/>
      <c r="G2179" s="77"/>
      <c r="H2179" s="77"/>
    </row>
    <row r="2180">
      <c r="C2180" s="72"/>
      <c r="G2180" s="77"/>
      <c r="H2180" s="77"/>
    </row>
    <row r="2181">
      <c r="C2181" s="72"/>
      <c r="G2181" s="77"/>
      <c r="H2181" s="77"/>
    </row>
    <row r="2182">
      <c r="C2182" s="72"/>
      <c r="G2182" s="77"/>
      <c r="H2182" s="77"/>
    </row>
    <row r="2183">
      <c r="C2183" s="72"/>
      <c r="G2183" s="77"/>
      <c r="H2183" s="77"/>
    </row>
    <row r="2184">
      <c r="C2184" s="72"/>
      <c r="G2184" s="77"/>
      <c r="H2184" s="77"/>
    </row>
    <row r="2185">
      <c r="C2185" s="72"/>
      <c r="G2185" s="77"/>
      <c r="H2185" s="77"/>
    </row>
    <row r="2186">
      <c r="C2186" s="72"/>
      <c r="G2186" s="77"/>
      <c r="H2186" s="77"/>
    </row>
    <row r="2187">
      <c r="C2187" s="72"/>
      <c r="G2187" s="77"/>
      <c r="H2187" s="77"/>
    </row>
    <row r="2188">
      <c r="C2188" s="72"/>
      <c r="G2188" s="77"/>
      <c r="H2188" s="77"/>
    </row>
    <row r="2189">
      <c r="C2189" s="72"/>
      <c r="G2189" s="77"/>
      <c r="H2189" s="77"/>
    </row>
    <row r="2190">
      <c r="C2190" s="72"/>
      <c r="G2190" s="77"/>
      <c r="H2190" s="77"/>
    </row>
    <row r="2191">
      <c r="C2191" s="72"/>
      <c r="G2191" s="77"/>
      <c r="H2191" s="77"/>
    </row>
    <row r="2192">
      <c r="C2192" s="72"/>
      <c r="G2192" s="77"/>
      <c r="H2192" s="77"/>
    </row>
    <row r="2193">
      <c r="C2193" s="72"/>
      <c r="G2193" s="77"/>
      <c r="H2193" s="77"/>
    </row>
    <row r="2194">
      <c r="C2194" s="72"/>
      <c r="G2194" s="77"/>
      <c r="H2194" s="77"/>
    </row>
    <row r="2195">
      <c r="C2195" s="72"/>
      <c r="G2195" s="77"/>
      <c r="H2195" s="77"/>
    </row>
    <row r="2196">
      <c r="C2196" s="72"/>
      <c r="G2196" s="77"/>
      <c r="H2196" s="77"/>
    </row>
    <row r="2197">
      <c r="C2197" s="72"/>
      <c r="G2197" s="77"/>
      <c r="H2197" s="77"/>
    </row>
    <row r="2198">
      <c r="C2198" s="72"/>
      <c r="G2198" s="77"/>
      <c r="H2198" s="77"/>
    </row>
    <row r="2199">
      <c r="C2199" s="72"/>
      <c r="G2199" s="77"/>
      <c r="H2199" s="77"/>
    </row>
    <row r="2200">
      <c r="C2200" s="72"/>
      <c r="G2200" s="77"/>
      <c r="H2200" s="77"/>
    </row>
    <row r="2201">
      <c r="C2201" s="72"/>
      <c r="G2201" s="77"/>
      <c r="H2201" s="77"/>
    </row>
    <row r="2202">
      <c r="C2202" s="72"/>
      <c r="G2202" s="77"/>
      <c r="H2202" s="77"/>
    </row>
    <row r="2203">
      <c r="C2203" s="72"/>
      <c r="G2203" s="77"/>
      <c r="H2203" s="77"/>
    </row>
    <row r="2204">
      <c r="C2204" s="72"/>
      <c r="G2204" s="77"/>
      <c r="H2204" s="77"/>
    </row>
    <row r="2205">
      <c r="C2205" s="72"/>
      <c r="G2205" s="77"/>
      <c r="H2205" s="77"/>
    </row>
    <row r="2206">
      <c r="C2206" s="72"/>
      <c r="G2206" s="77"/>
      <c r="H2206" s="77"/>
    </row>
    <row r="2207">
      <c r="C2207" s="72"/>
      <c r="G2207" s="77"/>
      <c r="H2207" s="77"/>
    </row>
    <row r="2208">
      <c r="C2208" s="72"/>
      <c r="G2208" s="77"/>
      <c r="H2208" s="77"/>
    </row>
    <row r="2209">
      <c r="C2209" s="72"/>
      <c r="G2209" s="77"/>
      <c r="H2209" s="77"/>
    </row>
    <row r="2210">
      <c r="C2210" s="72"/>
      <c r="G2210" s="77"/>
      <c r="H2210" s="77"/>
    </row>
    <row r="2211">
      <c r="C2211" s="72"/>
      <c r="G2211" s="77"/>
      <c r="H2211" s="77"/>
    </row>
    <row r="2212">
      <c r="C2212" s="72"/>
      <c r="G2212" s="77"/>
      <c r="H2212" s="77"/>
    </row>
    <row r="2213">
      <c r="C2213" s="72"/>
      <c r="G2213" s="77"/>
      <c r="H2213" s="77"/>
    </row>
    <row r="2214">
      <c r="C2214" s="72"/>
      <c r="G2214" s="77"/>
      <c r="H2214" s="77"/>
    </row>
    <row r="2215">
      <c r="C2215" s="72"/>
      <c r="G2215" s="77"/>
      <c r="H2215" s="77"/>
    </row>
    <row r="2216">
      <c r="C2216" s="72"/>
      <c r="G2216" s="77"/>
      <c r="H2216" s="77"/>
    </row>
    <row r="2217">
      <c r="C2217" s="72"/>
      <c r="G2217" s="77"/>
      <c r="H2217" s="77"/>
    </row>
    <row r="2218">
      <c r="C2218" s="72"/>
      <c r="G2218" s="77"/>
      <c r="H2218" s="77"/>
    </row>
    <row r="2219">
      <c r="C2219" s="72"/>
      <c r="G2219" s="77"/>
      <c r="H2219" s="77"/>
    </row>
    <row r="2220">
      <c r="C2220" s="72"/>
      <c r="G2220" s="77"/>
      <c r="H2220" s="77"/>
    </row>
    <row r="2221">
      <c r="C2221" s="72"/>
      <c r="G2221" s="77"/>
      <c r="H2221" s="77"/>
    </row>
    <row r="2222">
      <c r="C2222" s="72"/>
      <c r="G2222" s="77"/>
      <c r="H2222" s="77"/>
    </row>
    <row r="2223">
      <c r="C2223" s="72"/>
      <c r="G2223" s="77"/>
      <c r="H2223" s="77"/>
    </row>
    <row r="2224">
      <c r="C2224" s="72"/>
      <c r="G2224" s="77"/>
      <c r="H2224" s="77"/>
    </row>
    <row r="2225">
      <c r="C2225" s="72"/>
      <c r="G2225" s="77"/>
      <c r="H2225" s="77"/>
    </row>
    <row r="2226">
      <c r="C2226" s="72"/>
      <c r="G2226" s="77"/>
      <c r="H2226" s="77"/>
    </row>
    <row r="2227">
      <c r="C2227" s="72"/>
      <c r="G2227" s="77"/>
      <c r="H2227" s="77"/>
    </row>
    <row r="2228">
      <c r="C2228" s="72"/>
      <c r="G2228" s="77"/>
      <c r="H2228" s="77"/>
    </row>
    <row r="2229">
      <c r="C2229" s="72"/>
      <c r="G2229" s="77"/>
      <c r="H2229" s="77"/>
    </row>
    <row r="2230">
      <c r="C2230" s="72"/>
      <c r="G2230" s="77"/>
      <c r="H2230" s="77"/>
    </row>
    <row r="2231">
      <c r="C2231" s="72"/>
      <c r="G2231" s="77"/>
      <c r="H2231" s="77"/>
    </row>
    <row r="2232">
      <c r="C2232" s="72"/>
      <c r="G2232" s="77"/>
      <c r="H2232" s="77"/>
    </row>
    <row r="2233">
      <c r="C2233" s="72"/>
      <c r="G2233" s="77"/>
      <c r="H2233" s="77"/>
    </row>
    <row r="2234">
      <c r="C2234" s="72"/>
      <c r="G2234" s="77"/>
      <c r="H2234" s="77"/>
    </row>
    <row r="2235">
      <c r="C2235" s="72"/>
      <c r="G2235" s="77"/>
      <c r="H2235" s="77"/>
    </row>
    <row r="2236">
      <c r="C2236" s="72"/>
      <c r="G2236" s="77"/>
      <c r="H2236" s="77"/>
    </row>
    <row r="2237">
      <c r="C2237" s="72"/>
      <c r="G2237" s="77"/>
      <c r="H2237" s="77"/>
    </row>
    <row r="2238">
      <c r="C2238" s="72"/>
      <c r="G2238" s="77"/>
      <c r="H2238" s="77"/>
    </row>
    <row r="2239">
      <c r="C2239" s="72"/>
      <c r="G2239" s="77"/>
      <c r="H2239" s="77"/>
    </row>
    <row r="2240">
      <c r="C2240" s="72"/>
      <c r="G2240" s="77"/>
      <c r="H2240" s="77"/>
    </row>
    <row r="2241">
      <c r="C2241" s="72"/>
      <c r="G2241" s="77"/>
      <c r="H2241" s="77"/>
    </row>
    <row r="2242">
      <c r="C2242" s="72"/>
      <c r="G2242" s="77"/>
      <c r="H2242" s="77"/>
    </row>
    <row r="2243">
      <c r="C2243" s="72"/>
      <c r="G2243" s="77"/>
      <c r="H2243" s="77"/>
    </row>
    <row r="2244">
      <c r="C2244" s="72"/>
      <c r="G2244" s="77"/>
      <c r="H2244" s="77"/>
    </row>
    <row r="2245">
      <c r="C2245" s="72"/>
      <c r="G2245" s="77"/>
      <c r="H2245" s="77"/>
    </row>
    <row r="2246">
      <c r="C2246" s="72"/>
      <c r="G2246" s="77"/>
      <c r="H2246" s="77"/>
    </row>
    <row r="2247">
      <c r="C2247" s="72"/>
      <c r="G2247" s="77"/>
      <c r="H2247" s="77"/>
    </row>
    <row r="2248">
      <c r="C2248" s="72"/>
      <c r="G2248" s="77"/>
      <c r="H2248" s="77"/>
    </row>
    <row r="2249">
      <c r="C2249" s="72"/>
      <c r="G2249" s="77"/>
      <c r="H2249" s="77"/>
    </row>
    <row r="2250">
      <c r="C2250" s="72"/>
      <c r="G2250" s="77"/>
      <c r="H2250" s="77"/>
    </row>
    <row r="2251">
      <c r="C2251" s="72"/>
      <c r="G2251" s="77"/>
      <c r="H2251" s="77"/>
    </row>
    <row r="2252">
      <c r="C2252" s="72"/>
      <c r="G2252" s="77"/>
      <c r="H2252" s="77"/>
    </row>
    <row r="2253">
      <c r="C2253" s="72"/>
      <c r="G2253" s="77"/>
      <c r="H2253" s="77"/>
    </row>
    <row r="2254">
      <c r="C2254" s="72"/>
      <c r="G2254" s="77"/>
      <c r="H2254" s="77"/>
    </row>
    <row r="2255">
      <c r="C2255" s="72"/>
      <c r="G2255" s="77"/>
      <c r="H2255" s="77"/>
    </row>
    <row r="2256">
      <c r="C2256" s="72"/>
      <c r="G2256" s="77"/>
      <c r="H2256" s="77"/>
    </row>
    <row r="2257">
      <c r="C2257" s="72"/>
      <c r="G2257" s="77"/>
      <c r="H2257" s="77"/>
    </row>
    <row r="2258">
      <c r="C2258" s="72"/>
      <c r="G2258" s="77"/>
      <c r="H2258" s="77"/>
    </row>
    <row r="2259">
      <c r="C2259" s="72"/>
      <c r="G2259" s="77"/>
      <c r="H2259" s="77"/>
    </row>
    <row r="2260">
      <c r="C2260" s="72"/>
      <c r="G2260" s="77"/>
      <c r="H2260" s="77"/>
    </row>
    <row r="2261">
      <c r="C2261" s="72"/>
      <c r="G2261" s="77"/>
      <c r="H2261" s="77"/>
    </row>
    <row r="2262">
      <c r="C2262" s="72"/>
      <c r="G2262" s="77"/>
      <c r="H2262" s="77"/>
    </row>
    <row r="2263">
      <c r="C2263" s="72"/>
      <c r="G2263" s="77"/>
      <c r="H2263" s="77"/>
    </row>
    <row r="2264">
      <c r="C2264" s="72"/>
      <c r="G2264" s="77"/>
      <c r="H2264" s="77"/>
    </row>
    <row r="2265">
      <c r="C2265" s="72"/>
      <c r="G2265" s="77"/>
      <c r="H2265" s="77"/>
    </row>
    <row r="2266">
      <c r="C2266" s="72"/>
      <c r="G2266" s="77"/>
      <c r="H2266" s="77"/>
    </row>
    <row r="2267">
      <c r="C2267" s="72"/>
      <c r="G2267" s="77"/>
      <c r="H2267" s="77"/>
    </row>
    <row r="2268">
      <c r="C2268" s="72"/>
      <c r="G2268" s="77"/>
      <c r="H2268" s="77"/>
    </row>
    <row r="2269">
      <c r="C2269" s="72"/>
      <c r="G2269" s="77"/>
      <c r="H2269" s="77"/>
    </row>
    <row r="2270">
      <c r="C2270" s="72"/>
      <c r="G2270" s="77"/>
      <c r="H2270" s="77"/>
    </row>
    <row r="2271">
      <c r="C2271" s="72"/>
      <c r="G2271" s="77"/>
      <c r="H2271" s="77"/>
    </row>
    <row r="2272">
      <c r="C2272" s="72"/>
      <c r="G2272" s="77"/>
      <c r="H2272" s="77"/>
    </row>
    <row r="2273">
      <c r="C2273" s="72"/>
      <c r="G2273" s="77"/>
      <c r="H2273" s="77"/>
    </row>
    <row r="2274">
      <c r="C2274" s="72"/>
      <c r="G2274" s="77"/>
      <c r="H2274" s="77"/>
    </row>
    <row r="2275">
      <c r="C2275" s="72"/>
      <c r="G2275" s="77"/>
      <c r="H2275" s="77"/>
    </row>
    <row r="2276">
      <c r="C2276" s="72"/>
      <c r="G2276" s="77"/>
      <c r="H2276" s="77"/>
    </row>
    <row r="2277">
      <c r="C2277" s="72"/>
      <c r="G2277" s="77"/>
      <c r="H2277" s="77"/>
    </row>
    <row r="2278">
      <c r="C2278" s="72"/>
      <c r="G2278" s="77"/>
      <c r="H2278" s="77"/>
    </row>
    <row r="2279">
      <c r="C2279" s="72"/>
      <c r="G2279" s="77"/>
      <c r="H2279" s="77"/>
    </row>
    <row r="2280">
      <c r="C2280" s="72"/>
      <c r="G2280" s="77"/>
      <c r="H2280" s="77"/>
    </row>
    <row r="2281">
      <c r="C2281" s="72"/>
      <c r="G2281" s="77"/>
      <c r="H2281" s="77"/>
    </row>
    <row r="2282">
      <c r="C2282" s="72"/>
      <c r="G2282" s="77"/>
      <c r="H2282" s="77"/>
    </row>
    <row r="2283">
      <c r="C2283" s="72"/>
      <c r="G2283" s="77"/>
      <c r="H2283" s="77"/>
    </row>
    <row r="2284">
      <c r="C2284" s="72"/>
      <c r="G2284" s="77"/>
      <c r="H2284" s="77"/>
    </row>
    <row r="2285">
      <c r="C2285" s="72"/>
      <c r="G2285" s="77"/>
      <c r="H2285" s="77"/>
    </row>
    <row r="2286">
      <c r="C2286" s="72"/>
      <c r="G2286" s="77"/>
      <c r="H2286" s="77"/>
    </row>
    <row r="2287">
      <c r="C2287" s="72"/>
      <c r="G2287" s="77"/>
      <c r="H2287" s="77"/>
    </row>
    <row r="2288">
      <c r="C2288" s="72"/>
      <c r="G2288" s="77"/>
      <c r="H2288" s="77"/>
    </row>
    <row r="2289">
      <c r="C2289" s="72"/>
      <c r="G2289" s="77"/>
      <c r="H2289" s="77"/>
    </row>
    <row r="2290">
      <c r="C2290" s="72"/>
      <c r="G2290" s="77"/>
      <c r="H2290" s="77"/>
    </row>
    <row r="2291">
      <c r="C2291" s="72"/>
      <c r="G2291" s="77"/>
      <c r="H2291" s="77"/>
    </row>
    <row r="2292">
      <c r="C2292" s="72"/>
      <c r="G2292" s="77"/>
      <c r="H2292" s="77"/>
    </row>
    <row r="2293">
      <c r="C2293" s="72"/>
      <c r="G2293" s="77"/>
      <c r="H2293" s="77"/>
    </row>
    <row r="2294">
      <c r="C2294" s="72"/>
      <c r="G2294" s="77"/>
      <c r="H2294" s="77"/>
    </row>
    <row r="2295">
      <c r="C2295" s="72"/>
      <c r="G2295" s="77"/>
      <c r="H2295" s="77"/>
    </row>
    <row r="2296">
      <c r="C2296" s="72"/>
      <c r="G2296" s="77"/>
      <c r="H2296" s="77"/>
    </row>
    <row r="2297">
      <c r="C2297" s="72"/>
      <c r="G2297" s="77"/>
      <c r="H2297" s="77"/>
    </row>
    <row r="2298">
      <c r="C2298" s="72"/>
      <c r="G2298" s="77"/>
      <c r="H2298" s="77"/>
    </row>
    <row r="2299">
      <c r="C2299" s="72"/>
      <c r="G2299" s="77"/>
      <c r="H2299" s="77"/>
    </row>
    <row r="2300">
      <c r="C2300" s="72"/>
      <c r="G2300" s="77"/>
      <c r="H2300" s="77"/>
    </row>
    <row r="2301">
      <c r="C2301" s="72"/>
      <c r="G2301" s="77"/>
      <c r="H2301" s="77"/>
    </row>
    <row r="2302">
      <c r="C2302" s="72"/>
      <c r="G2302" s="77"/>
      <c r="H2302" s="77"/>
    </row>
    <row r="2303">
      <c r="C2303" s="72"/>
      <c r="G2303" s="77"/>
      <c r="H2303" s="77"/>
    </row>
    <row r="2304">
      <c r="C2304" s="72"/>
      <c r="G2304" s="77"/>
      <c r="H2304" s="77"/>
    </row>
    <row r="2305">
      <c r="C2305" s="72"/>
      <c r="G2305" s="77"/>
      <c r="H2305" s="77"/>
    </row>
    <row r="2306">
      <c r="C2306" s="72"/>
      <c r="G2306" s="77"/>
      <c r="H2306" s="77"/>
    </row>
    <row r="2307">
      <c r="C2307" s="72"/>
      <c r="G2307" s="77"/>
      <c r="H2307" s="77"/>
    </row>
    <row r="2308">
      <c r="C2308" s="72"/>
      <c r="G2308" s="77"/>
      <c r="H2308" s="77"/>
    </row>
    <row r="2309">
      <c r="C2309" s="72"/>
      <c r="G2309" s="77"/>
      <c r="H2309" s="77"/>
    </row>
    <row r="2310">
      <c r="C2310" s="72"/>
      <c r="G2310" s="77"/>
      <c r="H2310" s="77"/>
    </row>
    <row r="2311">
      <c r="C2311" s="72"/>
      <c r="G2311" s="77"/>
      <c r="H2311" s="77"/>
    </row>
    <row r="2312">
      <c r="C2312" s="72"/>
      <c r="G2312" s="77"/>
      <c r="H2312" s="77"/>
    </row>
    <row r="2313">
      <c r="C2313" s="72"/>
      <c r="G2313" s="77"/>
      <c r="H2313" s="77"/>
    </row>
    <row r="2314">
      <c r="C2314" s="72"/>
      <c r="G2314" s="77"/>
      <c r="H2314" s="77"/>
    </row>
    <row r="2315">
      <c r="C2315" s="72"/>
      <c r="G2315" s="77"/>
      <c r="H2315" s="77"/>
    </row>
    <row r="2316">
      <c r="C2316" s="72"/>
      <c r="G2316" s="77"/>
      <c r="H2316" s="77"/>
    </row>
    <row r="2317">
      <c r="C2317" s="72"/>
      <c r="G2317" s="77"/>
      <c r="H2317" s="77"/>
    </row>
    <row r="2318">
      <c r="C2318" s="72"/>
      <c r="G2318" s="77"/>
      <c r="H2318" s="77"/>
    </row>
    <row r="2319">
      <c r="C2319" s="72"/>
      <c r="G2319" s="77"/>
      <c r="H2319" s="77"/>
    </row>
    <row r="2320">
      <c r="C2320" s="72"/>
      <c r="G2320" s="77"/>
      <c r="H2320" s="77"/>
    </row>
    <row r="2321">
      <c r="C2321" s="72"/>
      <c r="G2321" s="77"/>
      <c r="H2321" s="77"/>
    </row>
    <row r="2322">
      <c r="C2322" s="72"/>
      <c r="G2322" s="77"/>
      <c r="H2322" s="77"/>
    </row>
    <row r="2323">
      <c r="C2323" s="72"/>
      <c r="G2323" s="77"/>
      <c r="H2323" s="77"/>
    </row>
    <row r="2324">
      <c r="C2324" s="72"/>
      <c r="G2324" s="77"/>
      <c r="H2324" s="77"/>
    </row>
    <row r="2325">
      <c r="C2325" s="72"/>
      <c r="G2325" s="77"/>
      <c r="H2325" s="77"/>
    </row>
    <row r="2326">
      <c r="C2326" s="72"/>
      <c r="G2326" s="77"/>
      <c r="H2326" s="77"/>
    </row>
    <row r="2327">
      <c r="C2327" s="72"/>
      <c r="G2327" s="77"/>
      <c r="H2327" s="77"/>
    </row>
    <row r="2328">
      <c r="C2328" s="72"/>
      <c r="G2328" s="77"/>
      <c r="H2328" s="77"/>
    </row>
    <row r="2329">
      <c r="C2329" s="72"/>
      <c r="G2329" s="77"/>
      <c r="H2329" s="77"/>
    </row>
    <row r="2330">
      <c r="C2330" s="72"/>
      <c r="G2330" s="77"/>
      <c r="H2330" s="77"/>
    </row>
    <row r="2331">
      <c r="C2331" s="72"/>
      <c r="G2331" s="77"/>
      <c r="H2331" s="77"/>
    </row>
    <row r="2332">
      <c r="C2332" s="72"/>
      <c r="G2332" s="77"/>
      <c r="H2332" s="77"/>
    </row>
    <row r="2333">
      <c r="C2333" s="72"/>
      <c r="G2333" s="77"/>
      <c r="H2333" s="77"/>
    </row>
    <row r="2334">
      <c r="C2334" s="72"/>
      <c r="G2334" s="77"/>
      <c r="H2334" s="77"/>
    </row>
    <row r="2335">
      <c r="C2335" s="72"/>
      <c r="G2335" s="77"/>
      <c r="H2335" s="77"/>
    </row>
    <row r="2336">
      <c r="C2336" s="72"/>
      <c r="G2336" s="77"/>
      <c r="H2336" s="77"/>
    </row>
    <row r="2337">
      <c r="C2337" s="72"/>
      <c r="G2337" s="77"/>
      <c r="H2337" s="77"/>
    </row>
    <row r="2338">
      <c r="C2338" s="72"/>
      <c r="G2338" s="77"/>
      <c r="H2338" s="77"/>
    </row>
    <row r="2339">
      <c r="C2339" s="72"/>
      <c r="G2339" s="77"/>
      <c r="H2339" s="77"/>
    </row>
    <row r="2340">
      <c r="C2340" s="72"/>
      <c r="G2340" s="77"/>
      <c r="H2340" s="77"/>
    </row>
    <row r="2341">
      <c r="C2341" s="72"/>
      <c r="G2341" s="77"/>
      <c r="H2341" s="77"/>
    </row>
    <row r="2342">
      <c r="C2342" s="72"/>
      <c r="G2342" s="77"/>
      <c r="H2342" s="77"/>
    </row>
    <row r="2343">
      <c r="C2343" s="72"/>
      <c r="G2343" s="77"/>
      <c r="H2343" s="77"/>
    </row>
    <row r="2344">
      <c r="C2344" s="72"/>
      <c r="G2344" s="77"/>
      <c r="H2344" s="77"/>
    </row>
    <row r="2345">
      <c r="C2345" s="72"/>
      <c r="G2345" s="77"/>
      <c r="H2345" s="77"/>
    </row>
    <row r="2346">
      <c r="C2346" s="72"/>
      <c r="G2346" s="77"/>
      <c r="H2346" s="77"/>
    </row>
    <row r="2347">
      <c r="C2347" s="72"/>
      <c r="G2347" s="77"/>
      <c r="H2347" s="77"/>
    </row>
    <row r="2348">
      <c r="C2348" s="72"/>
      <c r="G2348" s="77"/>
      <c r="H2348" s="77"/>
    </row>
    <row r="2349">
      <c r="C2349" s="72"/>
      <c r="G2349" s="77"/>
      <c r="H2349" s="77"/>
    </row>
    <row r="2350">
      <c r="C2350" s="72"/>
      <c r="G2350" s="77"/>
      <c r="H2350" s="77"/>
    </row>
    <row r="2351">
      <c r="C2351" s="72"/>
      <c r="G2351" s="77"/>
      <c r="H2351" s="77"/>
    </row>
    <row r="2352">
      <c r="C2352" s="72"/>
      <c r="G2352" s="77"/>
      <c r="H2352" s="77"/>
    </row>
    <row r="2353">
      <c r="C2353" s="72"/>
      <c r="G2353" s="77"/>
      <c r="H2353" s="77"/>
    </row>
    <row r="2354">
      <c r="C2354" s="72"/>
      <c r="G2354" s="77"/>
      <c r="H2354" s="77"/>
    </row>
    <row r="2355">
      <c r="C2355" s="72"/>
      <c r="G2355" s="77"/>
      <c r="H2355" s="77"/>
    </row>
    <row r="2356">
      <c r="C2356" s="72"/>
      <c r="G2356" s="77"/>
      <c r="H2356" s="77"/>
    </row>
    <row r="2357">
      <c r="C2357" s="72"/>
      <c r="G2357" s="77"/>
      <c r="H2357" s="77"/>
    </row>
    <row r="2358">
      <c r="C2358" s="72"/>
      <c r="G2358" s="77"/>
      <c r="H2358" s="77"/>
    </row>
    <row r="2359">
      <c r="C2359" s="72"/>
      <c r="G2359" s="77"/>
      <c r="H2359" s="77"/>
    </row>
    <row r="2360">
      <c r="C2360" s="72"/>
      <c r="G2360" s="77"/>
      <c r="H2360" s="77"/>
    </row>
    <row r="2361">
      <c r="C2361" s="72"/>
      <c r="G2361" s="77"/>
      <c r="H2361" s="77"/>
    </row>
    <row r="2362">
      <c r="C2362" s="72"/>
      <c r="G2362" s="77"/>
      <c r="H2362" s="77"/>
    </row>
    <row r="2363">
      <c r="C2363" s="72"/>
      <c r="G2363" s="77"/>
      <c r="H2363" s="77"/>
    </row>
    <row r="2364">
      <c r="C2364" s="72"/>
      <c r="G2364" s="77"/>
      <c r="H2364" s="77"/>
    </row>
    <row r="2365">
      <c r="C2365" s="72"/>
      <c r="G2365" s="77"/>
      <c r="H2365" s="77"/>
    </row>
    <row r="2366">
      <c r="C2366" s="72"/>
      <c r="G2366" s="77"/>
      <c r="H2366" s="77"/>
    </row>
    <row r="2367">
      <c r="C2367" s="72"/>
      <c r="G2367" s="77"/>
      <c r="H2367" s="77"/>
    </row>
    <row r="2368">
      <c r="C2368" s="72"/>
      <c r="G2368" s="77"/>
      <c r="H2368" s="77"/>
    </row>
    <row r="2369">
      <c r="C2369" s="72"/>
      <c r="G2369" s="77"/>
      <c r="H2369" s="77"/>
    </row>
    <row r="2370">
      <c r="C2370" s="72"/>
      <c r="G2370" s="77"/>
      <c r="H2370" s="77"/>
    </row>
    <row r="2371">
      <c r="C2371" s="72"/>
      <c r="G2371" s="77"/>
      <c r="H2371" s="77"/>
    </row>
    <row r="2372">
      <c r="C2372" s="72"/>
      <c r="G2372" s="77"/>
      <c r="H2372" s="77"/>
    </row>
    <row r="2373">
      <c r="C2373" s="72"/>
      <c r="G2373" s="77"/>
      <c r="H2373" s="77"/>
    </row>
    <row r="2374">
      <c r="C2374" s="72"/>
      <c r="G2374" s="77"/>
      <c r="H2374" s="77"/>
    </row>
    <row r="2375">
      <c r="C2375" s="72"/>
      <c r="G2375" s="77"/>
      <c r="H2375" s="77"/>
    </row>
    <row r="2376">
      <c r="C2376" s="72"/>
      <c r="G2376" s="77"/>
      <c r="H2376" s="77"/>
    </row>
    <row r="2377">
      <c r="C2377" s="72"/>
      <c r="G2377" s="77"/>
      <c r="H2377" s="77"/>
    </row>
    <row r="2378">
      <c r="C2378" s="72"/>
      <c r="G2378" s="77"/>
      <c r="H2378" s="77"/>
    </row>
    <row r="2379">
      <c r="C2379" s="72"/>
      <c r="G2379" s="77"/>
      <c r="H2379" s="77"/>
    </row>
    <row r="2380">
      <c r="C2380" s="72"/>
      <c r="G2380" s="77"/>
      <c r="H2380" s="77"/>
    </row>
    <row r="2381">
      <c r="C2381" s="72"/>
      <c r="G2381" s="77"/>
      <c r="H2381" s="77"/>
    </row>
    <row r="2382">
      <c r="C2382" s="72"/>
      <c r="G2382" s="77"/>
      <c r="H2382" s="77"/>
    </row>
    <row r="2383">
      <c r="C2383" s="72"/>
      <c r="G2383" s="77"/>
      <c r="H2383" s="77"/>
    </row>
    <row r="2384">
      <c r="C2384" s="72"/>
      <c r="G2384" s="77"/>
      <c r="H2384" s="77"/>
    </row>
    <row r="2385">
      <c r="C2385" s="72"/>
      <c r="G2385" s="77"/>
      <c r="H2385" s="77"/>
    </row>
    <row r="2386">
      <c r="C2386" s="72"/>
      <c r="G2386" s="77"/>
      <c r="H2386" s="77"/>
    </row>
    <row r="2387">
      <c r="C2387" s="72"/>
      <c r="G2387" s="77"/>
      <c r="H2387" s="77"/>
    </row>
    <row r="2388">
      <c r="C2388" s="72"/>
      <c r="G2388" s="77"/>
      <c r="H2388" s="77"/>
    </row>
    <row r="2389">
      <c r="C2389" s="72"/>
      <c r="G2389" s="77"/>
      <c r="H2389" s="77"/>
    </row>
    <row r="2390">
      <c r="C2390" s="72"/>
      <c r="G2390" s="77"/>
      <c r="H2390" s="77"/>
    </row>
    <row r="2391">
      <c r="C2391" s="72"/>
      <c r="G2391" s="77"/>
      <c r="H2391" s="77"/>
    </row>
    <row r="2392">
      <c r="C2392" s="72"/>
      <c r="G2392" s="77"/>
      <c r="H2392" s="77"/>
    </row>
    <row r="2393">
      <c r="C2393" s="72"/>
      <c r="G2393" s="77"/>
      <c r="H2393" s="77"/>
    </row>
    <row r="2394">
      <c r="C2394" s="72"/>
      <c r="G2394" s="77"/>
      <c r="H2394" s="77"/>
    </row>
    <row r="2395">
      <c r="C2395" s="72"/>
      <c r="G2395" s="77"/>
      <c r="H2395" s="77"/>
    </row>
    <row r="2396">
      <c r="C2396" s="72"/>
      <c r="G2396" s="77"/>
      <c r="H2396" s="77"/>
    </row>
    <row r="2397">
      <c r="C2397" s="72"/>
      <c r="G2397" s="77"/>
      <c r="H2397" s="77"/>
    </row>
    <row r="2398">
      <c r="C2398" s="72"/>
      <c r="G2398" s="77"/>
      <c r="H2398" s="77"/>
    </row>
    <row r="2399">
      <c r="C2399" s="72"/>
      <c r="G2399" s="77"/>
      <c r="H2399" s="77"/>
    </row>
    <row r="2400">
      <c r="C2400" s="72"/>
      <c r="G2400" s="77"/>
      <c r="H2400" s="77"/>
    </row>
    <row r="2401">
      <c r="C2401" s="72"/>
      <c r="G2401" s="77"/>
      <c r="H2401" s="77"/>
    </row>
    <row r="2402">
      <c r="C2402" s="72"/>
      <c r="G2402" s="77"/>
      <c r="H2402" s="77"/>
    </row>
    <row r="2403">
      <c r="C2403" s="72"/>
      <c r="G2403" s="77"/>
      <c r="H2403" s="77"/>
    </row>
    <row r="2404">
      <c r="C2404" s="72"/>
      <c r="G2404" s="77"/>
      <c r="H2404" s="77"/>
    </row>
    <row r="2405">
      <c r="C2405" s="72"/>
      <c r="G2405" s="77"/>
      <c r="H2405" s="77"/>
    </row>
    <row r="2406">
      <c r="C2406" s="72"/>
      <c r="G2406" s="77"/>
      <c r="H2406" s="77"/>
    </row>
    <row r="2407">
      <c r="C2407" s="72"/>
      <c r="G2407" s="77"/>
      <c r="H2407" s="77"/>
    </row>
    <row r="2408">
      <c r="C2408" s="72"/>
      <c r="G2408" s="77"/>
      <c r="H2408" s="77"/>
    </row>
    <row r="2409">
      <c r="C2409" s="72"/>
      <c r="G2409" s="77"/>
      <c r="H2409" s="77"/>
    </row>
    <row r="2410">
      <c r="C2410" s="72"/>
      <c r="G2410" s="77"/>
      <c r="H2410" s="77"/>
    </row>
    <row r="2411">
      <c r="C2411" s="72"/>
      <c r="G2411" s="77"/>
      <c r="H2411" s="77"/>
    </row>
    <row r="2412">
      <c r="C2412" s="72"/>
      <c r="G2412" s="77"/>
      <c r="H2412" s="77"/>
    </row>
    <row r="2413">
      <c r="C2413" s="72"/>
      <c r="G2413" s="77"/>
      <c r="H2413" s="77"/>
    </row>
    <row r="2414">
      <c r="C2414" s="72"/>
      <c r="G2414" s="77"/>
      <c r="H2414" s="77"/>
    </row>
    <row r="2415">
      <c r="C2415" s="72"/>
      <c r="G2415" s="77"/>
      <c r="H2415" s="77"/>
    </row>
    <row r="2416">
      <c r="C2416" s="72"/>
      <c r="G2416" s="77"/>
      <c r="H2416" s="77"/>
    </row>
    <row r="2417">
      <c r="C2417" s="72"/>
      <c r="G2417" s="77"/>
      <c r="H2417" s="77"/>
    </row>
    <row r="2418">
      <c r="C2418" s="72"/>
      <c r="G2418" s="77"/>
      <c r="H2418" s="77"/>
    </row>
    <row r="2419">
      <c r="C2419" s="72"/>
      <c r="G2419" s="77"/>
      <c r="H2419" s="77"/>
    </row>
    <row r="2420">
      <c r="C2420" s="72"/>
      <c r="G2420" s="77"/>
      <c r="H2420" s="77"/>
    </row>
    <row r="2421">
      <c r="C2421" s="72"/>
      <c r="G2421" s="77"/>
      <c r="H2421" s="77"/>
    </row>
    <row r="2422">
      <c r="C2422" s="72"/>
      <c r="G2422" s="77"/>
      <c r="H2422" s="77"/>
    </row>
    <row r="2423">
      <c r="C2423" s="72"/>
      <c r="G2423" s="77"/>
      <c r="H2423" s="77"/>
    </row>
    <row r="2424">
      <c r="C2424" s="72"/>
      <c r="G2424" s="77"/>
      <c r="H2424" s="77"/>
    </row>
    <row r="2425">
      <c r="C2425" s="72"/>
      <c r="G2425" s="77"/>
      <c r="H2425" s="77"/>
    </row>
    <row r="2426">
      <c r="C2426" s="72"/>
      <c r="G2426" s="77"/>
      <c r="H2426" s="77"/>
    </row>
    <row r="2427">
      <c r="C2427" s="72"/>
      <c r="G2427" s="77"/>
      <c r="H2427" s="77"/>
    </row>
    <row r="2428">
      <c r="C2428" s="72"/>
      <c r="G2428" s="77"/>
      <c r="H2428" s="77"/>
    </row>
    <row r="2429">
      <c r="C2429" s="72"/>
      <c r="G2429" s="77"/>
      <c r="H2429" s="77"/>
    </row>
    <row r="2430">
      <c r="C2430" s="72"/>
      <c r="G2430" s="77"/>
      <c r="H2430" s="77"/>
    </row>
    <row r="2431">
      <c r="C2431" s="72"/>
      <c r="G2431" s="77"/>
      <c r="H2431" s="77"/>
    </row>
    <row r="2432">
      <c r="C2432" s="72"/>
      <c r="G2432" s="77"/>
      <c r="H2432" s="77"/>
    </row>
    <row r="2433">
      <c r="C2433" s="72"/>
      <c r="G2433" s="77"/>
      <c r="H2433" s="77"/>
    </row>
    <row r="2434">
      <c r="C2434" s="72"/>
      <c r="G2434" s="77"/>
      <c r="H2434" s="77"/>
    </row>
    <row r="2435">
      <c r="C2435" s="72"/>
      <c r="G2435" s="77"/>
      <c r="H2435" s="77"/>
    </row>
    <row r="2436">
      <c r="C2436" s="72"/>
      <c r="G2436" s="77"/>
      <c r="H2436" s="77"/>
    </row>
    <row r="2437">
      <c r="C2437" s="72"/>
      <c r="G2437" s="77"/>
      <c r="H2437" s="77"/>
    </row>
    <row r="2438">
      <c r="C2438" s="72"/>
      <c r="G2438" s="77"/>
      <c r="H2438" s="77"/>
    </row>
    <row r="2439">
      <c r="C2439" s="72"/>
      <c r="G2439" s="77"/>
      <c r="H2439" s="77"/>
    </row>
    <row r="2440">
      <c r="C2440" s="72"/>
      <c r="G2440" s="77"/>
      <c r="H2440" s="77"/>
    </row>
    <row r="2441">
      <c r="C2441" s="72"/>
      <c r="G2441" s="77"/>
      <c r="H2441" s="77"/>
    </row>
    <row r="2442">
      <c r="C2442" s="72"/>
      <c r="G2442" s="77"/>
      <c r="H2442" s="77"/>
    </row>
    <row r="2443">
      <c r="C2443" s="72"/>
      <c r="G2443" s="77"/>
      <c r="H2443" s="77"/>
    </row>
    <row r="2444">
      <c r="C2444" s="72"/>
      <c r="G2444" s="77"/>
      <c r="H2444" s="77"/>
    </row>
    <row r="2445">
      <c r="C2445" s="72"/>
      <c r="G2445" s="77"/>
      <c r="H2445" s="77"/>
    </row>
    <row r="2446">
      <c r="C2446" s="72"/>
      <c r="G2446" s="77"/>
      <c r="H2446" s="77"/>
    </row>
    <row r="2447">
      <c r="C2447" s="72"/>
      <c r="G2447" s="77"/>
      <c r="H2447" s="77"/>
    </row>
    <row r="2448">
      <c r="C2448" s="72"/>
      <c r="G2448" s="77"/>
      <c r="H2448" s="77"/>
    </row>
    <row r="2449">
      <c r="C2449" s="72"/>
      <c r="G2449" s="77"/>
      <c r="H2449" s="77"/>
    </row>
    <row r="2450">
      <c r="C2450" s="72"/>
      <c r="G2450" s="77"/>
      <c r="H2450" s="77"/>
    </row>
    <row r="2451">
      <c r="C2451" s="72"/>
      <c r="G2451" s="77"/>
      <c r="H2451" s="77"/>
    </row>
    <row r="2452">
      <c r="C2452" s="72"/>
      <c r="G2452" s="77"/>
      <c r="H2452" s="77"/>
    </row>
    <row r="2453">
      <c r="C2453" s="72"/>
      <c r="G2453" s="77"/>
      <c r="H2453" s="77"/>
    </row>
    <row r="2454">
      <c r="C2454" s="72"/>
      <c r="G2454" s="77"/>
      <c r="H2454" s="77"/>
    </row>
    <row r="2455">
      <c r="C2455" s="72"/>
      <c r="G2455" s="77"/>
      <c r="H2455" s="77"/>
    </row>
    <row r="2456">
      <c r="C2456" s="72"/>
      <c r="G2456" s="77"/>
      <c r="H2456" s="77"/>
    </row>
    <row r="2457">
      <c r="C2457" s="72"/>
      <c r="G2457" s="77"/>
      <c r="H2457" s="77"/>
    </row>
    <row r="2458">
      <c r="C2458" s="72"/>
      <c r="G2458" s="77"/>
      <c r="H2458" s="77"/>
    </row>
    <row r="2459">
      <c r="C2459" s="72"/>
      <c r="G2459" s="77"/>
      <c r="H2459" s="77"/>
    </row>
    <row r="2460">
      <c r="C2460" s="72"/>
      <c r="G2460" s="77"/>
      <c r="H2460" s="77"/>
    </row>
    <row r="2461">
      <c r="C2461" s="72"/>
      <c r="G2461" s="77"/>
      <c r="H2461" s="77"/>
    </row>
    <row r="2462">
      <c r="C2462" s="72"/>
      <c r="G2462" s="77"/>
      <c r="H2462" s="77"/>
    </row>
    <row r="2463">
      <c r="C2463" s="72"/>
      <c r="G2463" s="77"/>
      <c r="H2463" s="77"/>
    </row>
    <row r="2464">
      <c r="C2464" s="72"/>
      <c r="G2464" s="77"/>
      <c r="H2464" s="77"/>
    </row>
    <row r="2465">
      <c r="C2465" s="72"/>
      <c r="G2465" s="77"/>
      <c r="H2465" s="77"/>
    </row>
    <row r="2466">
      <c r="C2466" s="72"/>
      <c r="G2466" s="77"/>
      <c r="H2466" s="77"/>
    </row>
    <row r="2467">
      <c r="C2467" s="72"/>
      <c r="G2467" s="77"/>
      <c r="H2467" s="77"/>
    </row>
    <row r="2468">
      <c r="C2468" s="72"/>
      <c r="G2468" s="77"/>
      <c r="H2468" s="77"/>
    </row>
    <row r="2469">
      <c r="C2469" s="72"/>
      <c r="G2469" s="77"/>
      <c r="H2469" s="77"/>
    </row>
    <row r="2470">
      <c r="C2470" s="72"/>
      <c r="G2470" s="77"/>
      <c r="H2470" s="77"/>
    </row>
    <row r="2471">
      <c r="C2471" s="72"/>
      <c r="G2471" s="77"/>
      <c r="H2471" s="77"/>
    </row>
    <row r="2472">
      <c r="C2472" s="72"/>
      <c r="G2472" s="77"/>
      <c r="H2472" s="77"/>
    </row>
    <row r="2473">
      <c r="C2473" s="72"/>
      <c r="G2473" s="77"/>
      <c r="H2473" s="77"/>
    </row>
    <row r="2474">
      <c r="C2474" s="72"/>
      <c r="G2474" s="77"/>
      <c r="H2474" s="77"/>
    </row>
    <row r="2475">
      <c r="C2475" s="72"/>
      <c r="G2475" s="77"/>
      <c r="H2475" s="77"/>
    </row>
    <row r="2476">
      <c r="C2476" s="72"/>
      <c r="G2476" s="77"/>
      <c r="H2476" s="77"/>
    </row>
    <row r="2477">
      <c r="C2477" s="72"/>
      <c r="G2477" s="77"/>
      <c r="H2477" s="77"/>
    </row>
    <row r="2478">
      <c r="C2478" s="72"/>
      <c r="G2478" s="77"/>
      <c r="H2478" s="77"/>
    </row>
    <row r="2479">
      <c r="C2479" s="72"/>
      <c r="G2479" s="77"/>
      <c r="H2479" s="77"/>
    </row>
    <row r="2480">
      <c r="C2480" s="72"/>
      <c r="G2480" s="77"/>
      <c r="H2480" s="77"/>
    </row>
    <row r="2481">
      <c r="C2481" s="72"/>
      <c r="G2481" s="77"/>
      <c r="H2481" s="77"/>
    </row>
    <row r="2482">
      <c r="C2482" s="72"/>
      <c r="G2482" s="77"/>
      <c r="H2482" s="77"/>
    </row>
    <row r="2483">
      <c r="C2483" s="72"/>
      <c r="G2483" s="77"/>
      <c r="H2483" s="77"/>
    </row>
    <row r="2484">
      <c r="C2484" s="72"/>
      <c r="G2484" s="77"/>
      <c r="H2484" s="77"/>
    </row>
    <row r="2485">
      <c r="C2485" s="72"/>
      <c r="G2485" s="77"/>
      <c r="H2485" s="77"/>
    </row>
    <row r="2486">
      <c r="C2486" s="72"/>
      <c r="G2486" s="77"/>
      <c r="H2486" s="77"/>
    </row>
    <row r="2487">
      <c r="C2487" s="72"/>
      <c r="G2487" s="77"/>
      <c r="H2487" s="77"/>
    </row>
    <row r="2488">
      <c r="C2488" s="72"/>
      <c r="G2488" s="77"/>
      <c r="H2488" s="77"/>
    </row>
    <row r="2489">
      <c r="C2489" s="72"/>
      <c r="G2489" s="77"/>
      <c r="H2489" s="77"/>
    </row>
    <row r="2490">
      <c r="C2490" s="72"/>
      <c r="G2490" s="77"/>
      <c r="H2490" s="77"/>
    </row>
    <row r="2491">
      <c r="C2491" s="72"/>
      <c r="G2491" s="77"/>
      <c r="H2491" s="77"/>
    </row>
    <row r="2492">
      <c r="C2492" s="72"/>
      <c r="G2492" s="77"/>
      <c r="H2492" s="77"/>
    </row>
    <row r="2493">
      <c r="C2493" s="72"/>
      <c r="G2493" s="77"/>
      <c r="H2493" s="77"/>
    </row>
    <row r="2494">
      <c r="C2494" s="72"/>
      <c r="G2494" s="77"/>
      <c r="H2494" s="77"/>
    </row>
    <row r="2495">
      <c r="C2495" s="72"/>
      <c r="G2495" s="77"/>
      <c r="H2495" s="77"/>
    </row>
    <row r="2496">
      <c r="C2496" s="72"/>
      <c r="G2496" s="77"/>
      <c r="H2496" s="77"/>
    </row>
    <row r="2497">
      <c r="C2497" s="72"/>
      <c r="G2497" s="77"/>
      <c r="H2497" s="77"/>
    </row>
    <row r="2498">
      <c r="C2498" s="72"/>
      <c r="G2498" s="77"/>
      <c r="H2498" s="77"/>
    </row>
    <row r="2499">
      <c r="C2499" s="72"/>
      <c r="G2499" s="77"/>
      <c r="H2499" s="77"/>
    </row>
    <row r="2500">
      <c r="C2500" s="72"/>
      <c r="G2500" s="77"/>
      <c r="H2500" s="77"/>
    </row>
    <row r="2501">
      <c r="C2501" s="72"/>
      <c r="G2501" s="77"/>
      <c r="H2501" s="77"/>
    </row>
    <row r="2502">
      <c r="C2502" s="72"/>
      <c r="G2502" s="77"/>
      <c r="H2502" s="77"/>
    </row>
    <row r="2503">
      <c r="C2503" s="72"/>
      <c r="G2503" s="77"/>
      <c r="H2503" s="77"/>
    </row>
    <row r="2504">
      <c r="C2504" s="72"/>
      <c r="G2504" s="77"/>
      <c r="H2504" s="77"/>
    </row>
    <row r="2505">
      <c r="C2505" s="72"/>
      <c r="G2505" s="77"/>
      <c r="H2505" s="77"/>
    </row>
    <row r="2506">
      <c r="C2506" s="72"/>
      <c r="G2506" s="77"/>
      <c r="H2506" s="77"/>
    </row>
    <row r="2507">
      <c r="C2507" s="72"/>
      <c r="G2507" s="77"/>
      <c r="H2507" s="77"/>
    </row>
    <row r="2508">
      <c r="C2508" s="72"/>
      <c r="G2508" s="77"/>
      <c r="H2508" s="77"/>
    </row>
    <row r="2509">
      <c r="C2509" s="72"/>
      <c r="G2509" s="77"/>
      <c r="H2509" s="77"/>
    </row>
    <row r="2510">
      <c r="C2510" s="72"/>
      <c r="G2510" s="77"/>
      <c r="H2510" s="77"/>
    </row>
    <row r="2511">
      <c r="C2511" s="72"/>
      <c r="G2511" s="77"/>
      <c r="H2511" s="77"/>
    </row>
    <row r="2512">
      <c r="C2512" s="72"/>
      <c r="G2512" s="77"/>
      <c r="H2512" s="77"/>
    </row>
    <row r="2513">
      <c r="C2513" s="72"/>
      <c r="G2513" s="77"/>
      <c r="H2513" s="77"/>
    </row>
    <row r="2514">
      <c r="C2514" s="72"/>
      <c r="G2514" s="77"/>
      <c r="H2514" s="77"/>
    </row>
    <row r="2515">
      <c r="C2515" s="72"/>
      <c r="G2515" s="77"/>
      <c r="H2515" s="77"/>
    </row>
    <row r="2516">
      <c r="C2516" s="72"/>
      <c r="G2516" s="77"/>
      <c r="H2516" s="77"/>
    </row>
    <row r="2517">
      <c r="C2517" s="72"/>
      <c r="G2517" s="77"/>
      <c r="H2517" s="77"/>
    </row>
    <row r="2518">
      <c r="C2518" s="72"/>
      <c r="G2518" s="77"/>
      <c r="H2518" s="77"/>
    </row>
    <row r="2519">
      <c r="C2519" s="72"/>
      <c r="G2519" s="77"/>
      <c r="H2519" s="77"/>
    </row>
    <row r="2520">
      <c r="C2520" s="72"/>
      <c r="G2520" s="77"/>
      <c r="H2520" s="77"/>
    </row>
    <row r="2521">
      <c r="C2521" s="72"/>
      <c r="G2521" s="77"/>
      <c r="H2521" s="77"/>
    </row>
    <row r="2522">
      <c r="C2522" s="72"/>
      <c r="G2522" s="77"/>
      <c r="H2522" s="77"/>
    </row>
    <row r="2523">
      <c r="C2523" s="72"/>
      <c r="G2523" s="77"/>
      <c r="H2523" s="77"/>
    </row>
    <row r="2524">
      <c r="C2524" s="72"/>
      <c r="G2524" s="77"/>
      <c r="H2524" s="77"/>
    </row>
    <row r="2525">
      <c r="C2525" s="72"/>
      <c r="G2525" s="77"/>
      <c r="H2525" s="77"/>
    </row>
    <row r="2526">
      <c r="C2526" s="72"/>
      <c r="G2526" s="77"/>
      <c r="H2526" s="77"/>
    </row>
    <row r="2527">
      <c r="C2527" s="72"/>
      <c r="G2527" s="77"/>
      <c r="H2527" s="77"/>
    </row>
    <row r="2528">
      <c r="C2528" s="72"/>
      <c r="G2528" s="77"/>
      <c r="H2528" s="77"/>
    </row>
    <row r="2529">
      <c r="C2529" s="72"/>
      <c r="G2529" s="77"/>
      <c r="H2529" s="77"/>
    </row>
    <row r="2530">
      <c r="C2530" s="72"/>
      <c r="G2530" s="77"/>
      <c r="H2530" s="77"/>
    </row>
    <row r="2531">
      <c r="C2531" s="72"/>
      <c r="G2531" s="77"/>
      <c r="H2531" s="77"/>
    </row>
    <row r="2532">
      <c r="C2532" s="72"/>
      <c r="G2532" s="77"/>
      <c r="H2532" s="77"/>
    </row>
    <row r="2533">
      <c r="C2533" s="72"/>
      <c r="G2533" s="77"/>
      <c r="H2533" s="77"/>
    </row>
    <row r="2534">
      <c r="C2534" s="72"/>
      <c r="G2534" s="77"/>
      <c r="H2534" s="77"/>
    </row>
    <row r="2535">
      <c r="C2535" s="72"/>
      <c r="G2535" s="77"/>
      <c r="H2535" s="77"/>
    </row>
    <row r="2536">
      <c r="C2536" s="72"/>
      <c r="G2536" s="77"/>
      <c r="H2536" s="77"/>
    </row>
    <row r="2537">
      <c r="C2537" s="72"/>
      <c r="G2537" s="77"/>
      <c r="H2537" s="77"/>
    </row>
    <row r="2538">
      <c r="C2538" s="72"/>
      <c r="G2538" s="77"/>
      <c r="H2538" s="77"/>
    </row>
    <row r="2539">
      <c r="C2539" s="72"/>
      <c r="G2539" s="77"/>
      <c r="H2539" s="77"/>
    </row>
    <row r="2540">
      <c r="C2540" s="72"/>
      <c r="G2540" s="77"/>
      <c r="H2540" s="77"/>
    </row>
    <row r="2541">
      <c r="C2541" s="72"/>
      <c r="G2541" s="77"/>
      <c r="H2541" s="77"/>
    </row>
    <row r="2542">
      <c r="C2542" s="72"/>
      <c r="G2542" s="77"/>
      <c r="H2542" s="77"/>
    </row>
    <row r="2543">
      <c r="C2543" s="72"/>
      <c r="G2543" s="77"/>
      <c r="H2543" s="77"/>
    </row>
    <row r="2544">
      <c r="C2544" s="72"/>
      <c r="G2544" s="77"/>
      <c r="H2544" s="77"/>
    </row>
    <row r="2545">
      <c r="C2545" s="72"/>
      <c r="G2545" s="77"/>
      <c r="H2545" s="77"/>
    </row>
    <row r="2546">
      <c r="C2546" s="72"/>
      <c r="G2546" s="77"/>
      <c r="H2546" s="77"/>
    </row>
    <row r="2547">
      <c r="C2547" s="72"/>
      <c r="G2547" s="77"/>
      <c r="H2547" s="77"/>
    </row>
    <row r="2548">
      <c r="C2548" s="72"/>
      <c r="G2548" s="77"/>
      <c r="H2548" s="77"/>
    </row>
    <row r="2549">
      <c r="C2549" s="72"/>
      <c r="G2549" s="77"/>
      <c r="H2549" s="77"/>
    </row>
    <row r="2550">
      <c r="C2550" s="72"/>
      <c r="G2550" s="77"/>
      <c r="H2550" s="77"/>
    </row>
    <row r="2551">
      <c r="C2551" s="72"/>
      <c r="G2551" s="77"/>
      <c r="H2551" s="77"/>
    </row>
    <row r="2552">
      <c r="C2552" s="72"/>
      <c r="G2552" s="77"/>
      <c r="H2552" s="77"/>
    </row>
    <row r="2553">
      <c r="C2553" s="72"/>
      <c r="G2553" s="77"/>
      <c r="H2553" s="77"/>
    </row>
    <row r="2554">
      <c r="C2554" s="72"/>
      <c r="G2554" s="77"/>
      <c r="H2554" s="77"/>
    </row>
    <row r="2555">
      <c r="C2555" s="72"/>
      <c r="G2555" s="77"/>
      <c r="H2555" s="77"/>
    </row>
    <row r="2556">
      <c r="C2556" s="72"/>
      <c r="G2556" s="77"/>
      <c r="H2556" s="77"/>
    </row>
    <row r="2557">
      <c r="C2557" s="72"/>
      <c r="G2557" s="77"/>
      <c r="H2557" s="77"/>
    </row>
    <row r="2558">
      <c r="C2558" s="72"/>
      <c r="G2558" s="77"/>
      <c r="H2558" s="77"/>
    </row>
    <row r="2559">
      <c r="C2559" s="72"/>
      <c r="G2559" s="77"/>
      <c r="H2559" s="77"/>
    </row>
    <row r="2560">
      <c r="C2560" s="72"/>
      <c r="G2560" s="77"/>
      <c r="H2560" s="77"/>
    </row>
    <row r="2561">
      <c r="C2561" s="72"/>
      <c r="G2561" s="77"/>
      <c r="H2561" s="77"/>
    </row>
    <row r="2562">
      <c r="C2562" s="72"/>
      <c r="G2562" s="77"/>
      <c r="H2562" s="77"/>
    </row>
    <row r="2563">
      <c r="C2563" s="72"/>
      <c r="G2563" s="77"/>
      <c r="H2563" s="77"/>
    </row>
    <row r="2564">
      <c r="C2564" s="72"/>
      <c r="G2564" s="77"/>
      <c r="H2564" s="77"/>
    </row>
    <row r="2565">
      <c r="C2565" s="72"/>
      <c r="G2565" s="77"/>
      <c r="H2565" s="77"/>
    </row>
    <row r="2566">
      <c r="C2566" s="72"/>
      <c r="G2566" s="77"/>
      <c r="H2566" s="77"/>
    </row>
    <row r="2567">
      <c r="C2567" s="72"/>
      <c r="G2567" s="77"/>
      <c r="H2567" s="77"/>
    </row>
    <row r="2568">
      <c r="C2568" s="72"/>
      <c r="G2568" s="77"/>
      <c r="H2568" s="77"/>
    </row>
    <row r="2569">
      <c r="C2569" s="72"/>
      <c r="G2569" s="77"/>
      <c r="H2569" s="77"/>
    </row>
    <row r="2570">
      <c r="C2570" s="72"/>
      <c r="G2570" s="77"/>
      <c r="H2570" s="77"/>
    </row>
    <row r="2571">
      <c r="C2571" s="72"/>
      <c r="G2571" s="77"/>
      <c r="H2571" s="77"/>
    </row>
    <row r="2572">
      <c r="C2572" s="72"/>
      <c r="G2572" s="77"/>
      <c r="H2572" s="77"/>
    </row>
    <row r="2573">
      <c r="C2573" s="72"/>
      <c r="G2573" s="77"/>
      <c r="H2573" s="77"/>
    </row>
    <row r="2574">
      <c r="C2574" s="72"/>
      <c r="G2574" s="77"/>
      <c r="H2574" s="77"/>
    </row>
    <row r="2575">
      <c r="C2575" s="72"/>
      <c r="G2575" s="77"/>
      <c r="H2575" s="77"/>
    </row>
    <row r="2576">
      <c r="C2576" s="72"/>
      <c r="G2576" s="77"/>
      <c r="H2576" s="77"/>
    </row>
    <row r="2577">
      <c r="C2577" s="72"/>
      <c r="G2577" s="77"/>
      <c r="H2577" s="77"/>
    </row>
    <row r="2578">
      <c r="C2578" s="72"/>
      <c r="G2578" s="77"/>
      <c r="H2578" s="77"/>
    </row>
    <row r="2579">
      <c r="C2579" s="72"/>
      <c r="G2579" s="77"/>
      <c r="H2579" s="77"/>
    </row>
    <row r="2580">
      <c r="C2580" s="72"/>
      <c r="G2580" s="77"/>
      <c r="H2580" s="77"/>
    </row>
    <row r="2581">
      <c r="C2581" s="72"/>
      <c r="G2581" s="77"/>
      <c r="H2581" s="77"/>
    </row>
    <row r="2582">
      <c r="C2582" s="72"/>
      <c r="G2582" s="77"/>
      <c r="H2582" s="77"/>
    </row>
    <row r="2583">
      <c r="C2583" s="72"/>
      <c r="G2583" s="77"/>
      <c r="H2583" s="77"/>
    </row>
    <row r="2584">
      <c r="C2584" s="72"/>
      <c r="G2584" s="77"/>
      <c r="H2584" s="77"/>
    </row>
    <row r="2585">
      <c r="C2585" s="72"/>
      <c r="G2585" s="77"/>
      <c r="H2585" s="77"/>
    </row>
    <row r="2586">
      <c r="C2586" s="72"/>
      <c r="G2586" s="77"/>
      <c r="H2586" s="77"/>
    </row>
    <row r="2587">
      <c r="C2587" s="72"/>
      <c r="G2587" s="77"/>
      <c r="H2587" s="77"/>
    </row>
    <row r="2588">
      <c r="C2588" s="72"/>
      <c r="G2588" s="77"/>
      <c r="H2588" s="77"/>
    </row>
    <row r="2589">
      <c r="C2589" s="72"/>
      <c r="G2589" s="77"/>
      <c r="H2589" s="77"/>
    </row>
    <row r="2590">
      <c r="C2590" s="72"/>
      <c r="G2590" s="77"/>
      <c r="H2590" s="77"/>
    </row>
    <row r="2591">
      <c r="C2591" s="72"/>
      <c r="G2591" s="77"/>
      <c r="H2591" s="77"/>
    </row>
    <row r="2592">
      <c r="C2592" s="72"/>
      <c r="G2592" s="77"/>
      <c r="H2592" s="77"/>
    </row>
    <row r="2593">
      <c r="C2593" s="72"/>
      <c r="G2593" s="77"/>
      <c r="H2593" s="77"/>
    </row>
    <row r="2594">
      <c r="C2594" s="72"/>
      <c r="G2594" s="77"/>
      <c r="H2594" s="77"/>
    </row>
    <row r="2595">
      <c r="C2595" s="72"/>
      <c r="G2595" s="77"/>
      <c r="H2595" s="77"/>
    </row>
    <row r="2596">
      <c r="C2596" s="72"/>
      <c r="G2596" s="77"/>
      <c r="H2596" s="77"/>
    </row>
    <row r="2597">
      <c r="C2597" s="72"/>
      <c r="G2597" s="77"/>
      <c r="H2597" s="77"/>
    </row>
    <row r="2598">
      <c r="C2598" s="72"/>
      <c r="G2598" s="77"/>
      <c r="H2598" s="77"/>
    </row>
    <row r="2599">
      <c r="C2599" s="72"/>
      <c r="G2599" s="77"/>
      <c r="H2599" s="77"/>
    </row>
    <row r="2600">
      <c r="C2600" s="72"/>
      <c r="G2600" s="77"/>
      <c r="H2600" s="77"/>
    </row>
    <row r="2601">
      <c r="C2601" s="72"/>
      <c r="G2601" s="77"/>
      <c r="H2601" s="77"/>
    </row>
    <row r="2602">
      <c r="C2602" s="72"/>
      <c r="G2602" s="77"/>
      <c r="H2602" s="77"/>
    </row>
    <row r="2603">
      <c r="C2603" s="72"/>
      <c r="G2603" s="77"/>
      <c r="H2603" s="77"/>
    </row>
    <row r="2604">
      <c r="C2604" s="72"/>
      <c r="G2604" s="77"/>
      <c r="H2604" s="77"/>
    </row>
    <row r="2605">
      <c r="C2605" s="72"/>
      <c r="G2605" s="77"/>
      <c r="H2605" s="77"/>
    </row>
    <row r="2606">
      <c r="C2606" s="72"/>
      <c r="G2606" s="77"/>
      <c r="H2606" s="77"/>
    </row>
    <row r="2607">
      <c r="C2607" s="72"/>
      <c r="G2607" s="77"/>
      <c r="H2607" s="77"/>
    </row>
    <row r="2608">
      <c r="C2608" s="72"/>
      <c r="G2608" s="77"/>
      <c r="H2608" s="77"/>
    </row>
    <row r="2609">
      <c r="C2609" s="72"/>
      <c r="G2609" s="77"/>
      <c r="H2609" s="77"/>
    </row>
    <row r="2610">
      <c r="C2610" s="72"/>
      <c r="G2610" s="77"/>
      <c r="H2610" s="77"/>
    </row>
    <row r="2611">
      <c r="C2611" s="72"/>
      <c r="G2611" s="77"/>
      <c r="H2611" s="77"/>
    </row>
    <row r="2612">
      <c r="C2612" s="72"/>
      <c r="G2612" s="77"/>
      <c r="H2612" s="77"/>
    </row>
    <row r="2613">
      <c r="C2613" s="72"/>
      <c r="G2613" s="77"/>
      <c r="H2613" s="77"/>
    </row>
    <row r="2614">
      <c r="C2614" s="72"/>
      <c r="G2614" s="77"/>
      <c r="H2614" s="77"/>
    </row>
    <row r="2615">
      <c r="C2615" s="72"/>
      <c r="G2615" s="77"/>
      <c r="H2615" s="77"/>
    </row>
    <row r="2616">
      <c r="C2616" s="72"/>
      <c r="G2616" s="77"/>
      <c r="H2616" s="77"/>
    </row>
    <row r="2617">
      <c r="C2617" s="72"/>
      <c r="G2617" s="77"/>
      <c r="H2617" s="77"/>
    </row>
    <row r="2618">
      <c r="C2618" s="72"/>
      <c r="G2618" s="77"/>
      <c r="H2618" s="77"/>
    </row>
    <row r="2619">
      <c r="C2619" s="72"/>
      <c r="G2619" s="77"/>
      <c r="H2619" s="77"/>
    </row>
    <row r="2620">
      <c r="C2620" s="72"/>
      <c r="G2620" s="77"/>
      <c r="H2620" s="77"/>
    </row>
    <row r="2621">
      <c r="C2621" s="72"/>
      <c r="G2621" s="77"/>
      <c r="H2621" s="77"/>
    </row>
    <row r="2622">
      <c r="C2622" s="72"/>
      <c r="G2622" s="77"/>
      <c r="H2622" s="77"/>
    </row>
    <row r="2623">
      <c r="C2623" s="72"/>
      <c r="G2623" s="77"/>
      <c r="H2623" s="77"/>
    </row>
    <row r="2624">
      <c r="C2624" s="72"/>
      <c r="G2624" s="77"/>
      <c r="H2624" s="77"/>
    </row>
    <row r="2625">
      <c r="C2625" s="72"/>
      <c r="G2625" s="77"/>
      <c r="H2625" s="77"/>
    </row>
    <row r="2626">
      <c r="C2626" s="72"/>
      <c r="G2626" s="77"/>
      <c r="H2626" s="77"/>
    </row>
    <row r="2627">
      <c r="C2627" s="72"/>
      <c r="G2627" s="77"/>
      <c r="H2627" s="77"/>
    </row>
    <row r="2628">
      <c r="C2628" s="72"/>
      <c r="G2628" s="77"/>
      <c r="H2628" s="77"/>
    </row>
    <row r="2629">
      <c r="C2629" s="72"/>
      <c r="G2629" s="77"/>
      <c r="H2629" s="77"/>
    </row>
    <row r="2630">
      <c r="C2630" s="72"/>
      <c r="G2630" s="77"/>
      <c r="H2630" s="77"/>
    </row>
    <row r="2631">
      <c r="C2631" s="72"/>
      <c r="G2631" s="77"/>
      <c r="H2631" s="77"/>
    </row>
    <row r="2632">
      <c r="C2632" s="72"/>
      <c r="G2632" s="77"/>
      <c r="H2632" s="77"/>
    </row>
    <row r="2633">
      <c r="C2633" s="72"/>
      <c r="G2633" s="77"/>
      <c r="H2633" s="77"/>
    </row>
    <row r="2634">
      <c r="C2634" s="72"/>
      <c r="G2634" s="77"/>
      <c r="H2634" s="77"/>
    </row>
    <row r="2635">
      <c r="C2635" s="72"/>
      <c r="G2635" s="77"/>
      <c r="H2635" s="77"/>
    </row>
    <row r="2636">
      <c r="C2636" s="72"/>
      <c r="G2636" s="77"/>
      <c r="H2636" s="77"/>
    </row>
    <row r="2637">
      <c r="C2637" s="72"/>
      <c r="G2637" s="77"/>
      <c r="H2637" s="77"/>
    </row>
    <row r="2638">
      <c r="C2638" s="72"/>
      <c r="G2638" s="77"/>
      <c r="H2638" s="77"/>
    </row>
    <row r="2639">
      <c r="C2639" s="72"/>
      <c r="G2639" s="77"/>
      <c r="H2639" s="77"/>
    </row>
    <row r="2640">
      <c r="C2640" s="72"/>
      <c r="G2640" s="77"/>
      <c r="H2640" s="77"/>
    </row>
    <row r="2641">
      <c r="C2641" s="72"/>
      <c r="G2641" s="77"/>
      <c r="H2641" s="77"/>
    </row>
    <row r="2642">
      <c r="C2642" s="72"/>
      <c r="G2642" s="77"/>
      <c r="H2642" s="77"/>
    </row>
    <row r="2643">
      <c r="C2643" s="72"/>
      <c r="G2643" s="77"/>
      <c r="H2643" s="77"/>
    </row>
    <row r="2644">
      <c r="C2644" s="72"/>
      <c r="G2644" s="77"/>
      <c r="H2644" s="77"/>
    </row>
    <row r="2645">
      <c r="C2645" s="72"/>
      <c r="G2645" s="77"/>
      <c r="H2645" s="77"/>
    </row>
    <row r="2646">
      <c r="C2646" s="72"/>
      <c r="G2646" s="77"/>
      <c r="H2646" s="77"/>
    </row>
    <row r="2647">
      <c r="C2647" s="72"/>
      <c r="G2647" s="77"/>
      <c r="H2647" s="77"/>
    </row>
    <row r="2648">
      <c r="C2648" s="72"/>
      <c r="G2648" s="77"/>
      <c r="H2648" s="77"/>
    </row>
    <row r="2649">
      <c r="C2649" s="72"/>
      <c r="G2649" s="77"/>
      <c r="H2649" s="77"/>
    </row>
    <row r="2650">
      <c r="C2650" s="72"/>
      <c r="G2650" s="77"/>
      <c r="H2650" s="77"/>
    </row>
    <row r="2651">
      <c r="C2651" s="72"/>
      <c r="G2651" s="77"/>
      <c r="H2651" s="77"/>
    </row>
    <row r="2652">
      <c r="C2652" s="72"/>
      <c r="G2652" s="77"/>
      <c r="H2652" s="77"/>
    </row>
    <row r="2653">
      <c r="C2653" s="72"/>
      <c r="G2653" s="77"/>
      <c r="H2653" s="77"/>
    </row>
    <row r="2654">
      <c r="C2654" s="72"/>
      <c r="G2654" s="77"/>
      <c r="H2654" s="77"/>
    </row>
    <row r="2655">
      <c r="C2655" s="72"/>
      <c r="G2655" s="77"/>
      <c r="H2655" s="77"/>
    </row>
    <row r="2656">
      <c r="C2656" s="72"/>
      <c r="G2656" s="77"/>
      <c r="H2656" s="77"/>
    </row>
    <row r="2657">
      <c r="C2657" s="72"/>
      <c r="G2657" s="77"/>
      <c r="H2657" s="77"/>
    </row>
    <row r="2658">
      <c r="C2658" s="72"/>
      <c r="G2658" s="77"/>
      <c r="H2658" s="77"/>
    </row>
    <row r="2659">
      <c r="C2659" s="72"/>
      <c r="G2659" s="77"/>
      <c r="H2659" s="77"/>
    </row>
    <row r="2660">
      <c r="C2660" s="72"/>
      <c r="G2660" s="77"/>
      <c r="H2660" s="77"/>
    </row>
    <row r="2661">
      <c r="C2661" s="72"/>
      <c r="G2661" s="77"/>
      <c r="H2661" s="77"/>
    </row>
    <row r="2662">
      <c r="C2662" s="72"/>
      <c r="G2662" s="77"/>
      <c r="H2662" s="77"/>
    </row>
    <row r="2663">
      <c r="C2663" s="72"/>
      <c r="G2663" s="77"/>
      <c r="H2663" s="77"/>
    </row>
    <row r="2664">
      <c r="C2664" s="72"/>
      <c r="G2664" s="77"/>
      <c r="H2664" s="77"/>
    </row>
    <row r="2665">
      <c r="C2665" s="72"/>
      <c r="G2665" s="77"/>
      <c r="H2665" s="77"/>
    </row>
    <row r="2666">
      <c r="C2666" s="72"/>
      <c r="G2666" s="77"/>
      <c r="H2666" s="77"/>
    </row>
    <row r="2667">
      <c r="C2667" s="72"/>
      <c r="G2667" s="77"/>
      <c r="H2667" s="77"/>
    </row>
    <row r="2668">
      <c r="C2668" s="72"/>
      <c r="G2668" s="77"/>
      <c r="H2668" s="77"/>
    </row>
    <row r="2669">
      <c r="C2669" s="72"/>
      <c r="G2669" s="77"/>
      <c r="H2669" s="77"/>
    </row>
    <row r="2670">
      <c r="C2670" s="72"/>
      <c r="G2670" s="77"/>
      <c r="H2670" s="77"/>
    </row>
    <row r="2671">
      <c r="C2671" s="72"/>
      <c r="G2671" s="77"/>
      <c r="H2671" s="77"/>
    </row>
    <row r="2672">
      <c r="C2672" s="72"/>
      <c r="G2672" s="77"/>
      <c r="H2672" s="77"/>
    </row>
    <row r="2673">
      <c r="C2673" s="72"/>
      <c r="G2673" s="77"/>
      <c r="H2673" s="77"/>
    </row>
    <row r="2674">
      <c r="C2674" s="72"/>
      <c r="G2674" s="77"/>
      <c r="H2674" s="77"/>
    </row>
    <row r="2675">
      <c r="C2675" s="72"/>
      <c r="G2675" s="77"/>
      <c r="H2675" s="77"/>
    </row>
    <row r="2676">
      <c r="C2676" s="72"/>
      <c r="G2676" s="77"/>
      <c r="H2676" s="77"/>
    </row>
    <row r="2677">
      <c r="C2677" s="72"/>
      <c r="G2677" s="77"/>
      <c r="H2677" s="77"/>
    </row>
    <row r="2678">
      <c r="C2678" s="72"/>
      <c r="G2678" s="77"/>
      <c r="H2678" s="77"/>
    </row>
    <row r="2679">
      <c r="C2679" s="72"/>
      <c r="G2679" s="77"/>
      <c r="H2679" s="77"/>
    </row>
    <row r="2680">
      <c r="C2680" s="72"/>
      <c r="G2680" s="77"/>
      <c r="H2680" s="77"/>
    </row>
    <row r="2681">
      <c r="C2681" s="72"/>
      <c r="G2681" s="77"/>
      <c r="H2681" s="77"/>
    </row>
    <row r="2682">
      <c r="C2682" s="72"/>
      <c r="G2682" s="77"/>
      <c r="H2682" s="77"/>
    </row>
    <row r="2683">
      <c r="C2683" s="72"/>
      <c r="G2683" s="77"/>
      <c r="H2683" s="77"/>
    </row>
    <row r="2684">
      <c r="C2684" s="72"/>
      <c r="G2684" s="77"/>
      <c r="H2684" s="77"/>
    </row>
    <row r="2685">
      <c r="C2685" s="72"/>
      <c r="G2685" s="77"/>
      <c r="H2685" s="77"/>
    </row>
    <row r="2686">
      <c r="C2686" s="72"/>
      <c r="G2686" s="77"/>
      <c r="H2686" s="77"/>
    </row>
    <row r="2687">
      <c r="C2687" s="72"/>
      <c r="G2687" s="77"/>
      <c r="H2687" s="77"/>
    </row>
    <row r="2688">
      <c r="C2688" s="72"/>
      <c r="G2688" s="77"/>
      <c r="H2688" s="77"/>
    </row>
    <row r="2689">
      <c r="C2689" s="72"/>
      <c r="G2689" s="77"/>
      <c r="H2689" s="77"/>
    </row>
    <row r="2690">
      <c r="C2690" s="72"/>
      <c r="G2690" s="77"/>
      <c r="H2690" s="77"/>
    </row>
    <row r="2691">
      <c r="C2691" s="72"/>
      <c r="G2691" s="77"/>
      <c r="H2691" s="77"/>
    </row>
    <row r="2692">
      <c r="C2692" s="72"/>
      <c r="G2692" s="77"/>
      <c r="H2692" s="77"/>
    </row>
    <row r="2693">
      <c r="C2693" s="72"/>
      <c r="G2693" s="77"/>
      <c r="H2693" s="77"/>
    </row>
    <row r="2694">
      <c r="C2694" s="72"/>
      <c r="G2694" s="77"/>
      <c r="H2694" s="77"/>
    </row>
    <row r="2695">
      <c r="C2695" s="72"/>
      <c r="G2695" s="77"/>
      <c r="H2695" s="77"/>
    </row>
    <row r="2696">
      <c r="C2696" s="72"/>
      <c r="G2696" s="77"/>
      <c r="H2696" s="77"/>
    </row>
    <row r="2697">
      <c r="C2697" s="72"/>
      <c r="G2697" s="77"/>
      <c r="H2697" s="77"/>
    </row>
    <row r="2698">
      <c r="C2698" s="72"/>
      <c r="G2698" s="77"/>
      <c r="H2698" s="77"/>
    </row>
    <row r="2699">
      <c r="C2699" s="72"/>
      <c r="G2699" s="77"/>
      <c r="H2699" s="77"/>
    </row>
    <row r="2700">
      <c r="C2700" s="72"/>
      <c r="G2700" s="77"/>
      <c r="H2700" s="77"/>
    </row>
    <row r="2701">
      <c r="C2701" s="72"/>
      <c r="G2701" s="77"/>
      <c r="H2701" s="77"/>
    </row>
    <row r="2702">
      <c r="C2702" s="72"/>
      <c r="G2702" s="77"/>
      <c r="H2702" s="77"/>
    </row>
    <row r="2703">
      <c r="C2703" s="72"/>
      <c r="G2703" s="77"/>
      <c r="H2703" s="77"/>
    </row>
    <row r="2704">
      <c r="C2704" s="72"/>
      <c r="G2704" s="77"/>
      <c r="H2704" s="77"/>
    </row>
    <row r="2705">
      <c r="C2705" s="72"/>
      <c r="G2705" s="77"/>
      <c r="H2705" s="77"/>
    </row>
    <row r="2706">
      <c r="C2706" s="72"/>
      <c r="G2706" s="77"/>
      <c r="H2706" s="77"/>
    </row>
    <row r="2707">
      <c r="C2707" s="72"/>
      <c r="G2707" s="77"/>
      <c r="H2707" s="77"/>
    </row>
    <row r="2708">
      <c r="C2708" s="72"/>
      <c r="G2708" s="77"/>
      <c r="H2708" s="77"/>
    </row>
    <row r="2709">
      <c r="C2709" s="72"/>
      <c r="G2709" s="77"/>
      <c r="H2709" s="77"/>
    </row>
    <row r="2710">
      <c r="C2710" s="72"/>
      <c r="G2710" s="77"/>
      <c r="H2710" s="77"/>
    </row>
    <row r="2711">
      <c r="C2711" s="72"/>
      <c r="G2711" s="77"/>
      <c r="H2711" s="77"/>
    </row>
    <row r="2712">
      <c r="C2712" s="72"/>
      <c r="G2712" s="77"/>
      <c r="H2712" s="77"/>
    </row>
    <row r="2713">
      <c r="C2713" s="72"/>
      <c r="G2713" s="77"/>
      <c r="H2713" s="77"/>
    </row>
    <row r="2714">
      <c r="C2714" s="72"/>
      <c r="G2714" s="77"/>
      <c r="H2714" s="77"/>
    </row>
    <row r="2715">
      <c r="C2715" s="72"/>
      <c r="G2715" s="77"/>
      <c r="H2715" s="77"/>
    </row>
    <row r="2716">
      <c r="C2716" s="72"/>
      <c r="G2716" s="77"/>
      <c r="H2716" s="77"/>
    </row>
    <row r="2717">
      <c r="C2717" s="72"/>
      <c r="G2717" s="77"/>
      <c r="H2717" s="77"/>
    </row>
    <row r="2718">
      <c r="C2718" s="72"/>
      <c r="G2718" s="77"/>
      <c r="H2718" s="77"/>
    </row>
    <row r="2719">
      <c r="C2719" s="72"/>
      <c r="G2719" s="77"/>
      <c r="H2719" s="77"/>
    </row>
    <row r="2720">
      <c r="C2720" s="72"/>
      <c r="G2720" s="77"/>
      <c r="H2720" s="77"/>
    </row>
    <row r="2721">
      <c r="C2721" s="72"/>
      <c r="G2721" s="77"/>
      <c r="H2721" s="77"/>
    </row>
    <row r="2722">
      <c r="C2722" s="72"/>
      <c r="G2722" s="77"/>
      <c r="H2722" s="77"/>
    </row>
    <row r="2723">
      <c r="C2723" s="72"/>
      <c r="G2723" s="77"/>
      <c r="H2723" s="77"/>
    </row>
    <row r="2724">
      <c r="C2724" s="72"/>
      <c r="G2724" s="77"/>
      <c r="H2724" s="77"/>
    </row>
    <row r="2725">
      <c r="C2725" s="72"/>
      <c r="G2725" s="77"/>
      <c r="H2725" s="77"/>
    </row>
    <row r="2726">
      <c r="C2726" s="72"/>
      <c r="G2726" s="77"/>
      <c r="H2726" s="77"/>
    </row>
    <row r="2727">
      <c r="C2727" s="72"/>
      <c r="G2727" s="77"/>
      <c r="H2727" s="77"/>
    </row>
    <row r="2728">
      <c r="C2728" s="72"/>
      <c r="G2728" s="77"/>
      <c r="H2728" s="77"/>
    </row>
    <row r="2729">
      <c r="C2729" s="72"/>
      <c r="G2729" s="77"/>
      <c r="H2729" s="77"/>
    </row>
    <row r="2730">
      <c r="C2730" s="72"/>
      <c r="G2730" s="77"/>
      <c r="H2730" s="77"/>
    </row>
    <row r="2731">
      <c r="C2731" s="72"/>
      <c r="G2731" s="77"/>
      <c r="H2731" s="77"/>
    </row>
    <row r="2732">
      <c r="C2732" s="72"/>
      <c r="G2732" s="77"/>
      <c r="H2732" s="77"/>
    </row>
    <row r="2733">
      <c r="C2733" s="72"/>
      <c r="G2733" s="77"/>
      <c r="H2733" s="77"/>
    </row>
    <row r="2734">
      <c r="C2734" s="72"/>
      <c r="G2734" s="77"/>
      <c r="H2734" s="77"/>
    </row>
    <row r="2735">
      <c r="C2735" s="72"/>
      <c r="G2735" s="77"/>
      <c r="H2735" s="77"/>
    </row>
    <row r="2736">
      <c r="C2736" s="72"/>
      <c r="G2736" s="77"/>
      <c r="H2736" s="77"/>
    </row>
    <row r="2737">
      <c r="C2737" s="72"/>
      <c r="G2737" s="77"/>
      <c r="H2737" s="77"/>
    </row>
    <row r="2738">
      <c r="C2738" s="72"/>
      <c r="G2738" s="77"/>
      <c r="H2738" s="77"/>
    </row>
    <row r="2739">
      <c r="C2739" s="72"/>
      <c r="G2739" s="77"/>
      <c r="H2739" s="77"/>
    </row>
    <row r="2740">
      <c r="C2740" s="72"/>
      <c r="G2740" s="77"/>
      <c r="H2740" s="77"/>
    </row>
    <row r="2741">
      <c r="C2741" s="72"/>
      <c r="G2741" s="77"/>
      <c r="H2741" s="77"/>
    </row>
    <row r="2742">
      <c r="C2742" s="72"/>
      <c r="G2742" s="77"/>
      <c r="H2742" s="77"/>
    </row>
    <row r="2743">
      <c r="C2743" s="72"/>
      <c r="G2743" s="77"/>
      <c r="H2743" s="77"/>
    </row>
    <row r="2744">
      <c r="C2744" s="72"/>
      <c r="G2744" s="77"/>
      <c r="H2744" s="77"/>
    </row>
    <row r="2745">
      <c r="C2745" s="72"/>
      <c r="G2745" s="77"/>
      <c r="H2745" s="77"/>
    </row>
    <row r="2746">
      <c r="C2746" s="72"/>
      <c r="G2746" s="77"/>
      <c r="H2746" s="77"/>
    </row>
    <row r="2747">
      <c r="C2747" s="72"/>
      <c r="G2747" s="77"/>
      <c r="H2747" s="77"/>
    </row>
    <row r="2748">
      <c r="C2748" s="72"/>
      <c r="G2748" s="77"/>
      <c r="H2748" s="77"/>
    </row>
    <row r="2749">
      <c r="C2749" s="72"/>
      <c r="G2749" s="77"/>
      <c r="H2749" s="77"/>
    </row>
    <row r="2750">
      <c r="C2750" s="72"/>
      <c r="G2750" s="77"/>
      <c r="H2750" s="77"/>
    </row>
    <row r="2751">
      <c r="C2751" s="72"/>
      <c r="G2751" s="77"/>
      <c r="H2751" s="77"/>
    </row>
    <row r="2752">
      <c r="C2752" s="72"/>
      <c r="G2752" s="77"/>
      <c r="H2752" s="77"/>
    </row>
    <row r="2753">
      <c r="C2753" s="72"/>
      <c r="G2753" s="77"/>
      <c r="H2753" s="77"/>
    </row>
    <row r="2754">
      <c r="C2754" s="72"/>
      <c r="G2754" s="77"/>
      <c r="H2754" s="77"/>
    </row>
    <row r="2755">
      <c r="C2755" s="72"/>
      <c r="G2755" s="77"/>
      <c r="H2755" s="77"/>
    </row>
    <row r="2756">
      <c r="C2756" s="72"/>
      <c r="G2756" s="77"/>
      <c r="H2756" s="77"/>
    </row>
    <row r="2757">
      <c r="C2757" s="72"/>
      <c r="G2757" s="77"/>
      <c r="H2757" s="77"/>
    </row>
    <row r="2758">
      <c r="C2758" s="72"/>
      <c r="G2758" s="77"/>
      <c r="H2758" s="77"/>
    </row>
    <row r="2759">
      <c r="C2759" s="72"/>
      <c r="G2759" s="77"/>
      <c r="H2759" s="77"/>
    </row>
    <row r="2760">
      <c r="C2760" s="72"/>
      <c r="G2760" s="77"/>
      <c r="H2760" s="77"/>
    </row>
    <row r="2761">
      <c r="C2761" s="72"/>
      <c r="G2761" s="77"/>
      <c r="H2761" s="77"/>
    </row>
    <row r="2762">
      <c r="C2762" s="72"/>
      <c r="G2762" s="77"/>
      <c r="H2762" s="77"/>
    </row>
    <row r="2763">
      <c r="C2763" s="72"/>
      <c r="G2763" s="77"/>
      <c r="H2763" s="77"/>
    </row>
    <row r="2764">
      <c r="C2764" s="72"/>
      <c r="G2764" s="77"/>
      <c r="H2764" s="77"/>
    </row>
    <row r="2765">
      <c r="C2765" s="72"/>
      <c r="G2765" s="77"/>
      <c r="H2765" s="77"/>
    </row>
    <row r="2766">
      <c r="C2766" s="72"/>
      <c r="G2766" s="77"/>
      <c r="H2766" s="77"/>
    </row>
    <row r="2767">
      <c r="C2767" s="72"/>
      <c r="G2767" s="77"/>
      <c r="H2767" s="77"/>
    </row>
    <row r="2768">
      <c r="C2768" s="72"/>
      <c r="G2768" s="77"/>
      <c r="H2768" s="77"/>
    </row>
    <row r="2769">
      <c r="C2769" s="72"/>
      <c r="G2769" s="77"/>
      <c r="H2769" s="77"/>
    </row>
    <row r="2770">
      <c r="C2770" s="72"/>
      <c r="G2770" s="77"/>
      <c r="H2770" s="77"/>
    </row>
    <row r="2771">
      <c r="C2771" s="72"/>
      <c r="G2771" s="77"/>
      <c r="H2771" s="77"/>
    </row>
    <row r="2772">
      <c r="C2772" s="72"/>
      <c r="G2772" s="77"/>
      <c r="H2772" s="77"/>
    </row>
    <row r="2773">
      <c r="C2773" s="72"/>
      <c r="G2773" s="77"/>
      <c r="H2773" s="77"/>
    </row>
    <row r="2774">
      <c r="C2774" s="72"/>
      <c r="G2774" s="77"/>
      <c r="H2774" s="77"/>
    </row>
    <row r="2775">
      <c r="C2775" s="72"/>
      <c r="G2775" s="77"/>
      <c r="H2775" s="77"/>
    </row>
    <row r="2776">
      <c r="C2776" s="72"/>
      <c r="G2776" s="77"/>
      <c r="H2776" s="77"/>
    </row>
    <row r="2777">
      <c r="C2777" s="72"/>
      <c r="G2777" s="77"/>
      <c r="H2777" s="77"/>
    </row>
    <row r="2778">
      <c r="C2778" s="72"/>
      <c r="G2778" s="77"/>
      <c r="H2778" s="77"/>
    </row>
    <row r="2779">
      <c r="C2779" s="72"/>
      <c r="G2779" s="77"/>
      <c r="H2779" s="77"/>
    </row>
    <row r="2780">
      <c r="C2780" s="72"/>
      <c r="G2780" s="77"/>
      <c r="H2780" s="77"/>
    </row>
    <row r="2781">
      <c r="C2781" s="72"/>
      <c r="G2781" s="77"/>
      <c r="H2781" s="77"/>
    </row>
    <row r="2782">
      <c r="C2782" s="72"/>
      <c r="G2782" s="77"/>
      <c r="H2782" s="77"/>
    </row>
    <row r="2783">
      <c r="C2783" s="72"/>
      <c r="G2783" s="77"/>
      <c r="H2783" s="77"/>
    </row>
    <row r="2784">
      <c r="C2784" s="72"/>
      <c r="G2784" s="77"/>
      <c r="H2784" s="77"/>
    </row>
    <row r="2785">
      <c r="C2785" s="72"/>
      <c r="G2785" s="77"/>
      <c r="H2785" s="77"/>
    </row>
    <row r="2786">
      <c r="C2786" s="72"/>
      <c r="G2786" s="77"/>
      <c r="H2786" s="77"/>
    </row>
    <row r="2787">
      <c r="C2787" s="72"/>
      <c r="G2787" s="77"/>
      <c r="H2787" s="77"/>
    </row>
    <row r="2788">
      <c r="C2788" s="72"/>
      <c r="G2788" s="77"/>
      <c r="H2788" s="77"/>
    </row>
    <row r="2789">
      <c r="C2789" s="72"/>
      <c r="G2789" s="77"/>
      <c r="H2789" s="77"/>
    </row>
    <row r="2790">
      <c r="C2790" s="72"/>
      <c r="G2790" s="77"/>
      <c r="H2790" s="77"/>
    </row>
    <row r="2791">
      <c r="C2791" s="72"/>
      <c r="G2791" s="77"/>
      <c r="H2791" s="77"/>
    </row>
    <row r="2792">
      <c r="C2792" s="72"/>
      <c r="G2792" s="77"/>
      <c r="H2792" s="77"/>
    </row>
    <row r="2793">
      <c r="C2793" s="72"/>
      <c r="G2793" s="77"/>
      <c r="H2793" s="77"/>
    </row>
    <row r="2794">
      <c r="C2794" s="72"/>
      <c r="G2794" s="77"/>
      <c r="H2794" s="77"/>
    </row>
    <row r="2795">
      <c r="C2795" s="72"/>
      <c r="G2795" s="77"/>
      <c r="H2795" s="77"/>
    </row>
    <row r="2796">
      <c r="C2796" s="72"/>
      <c r="G2796" s="77"/>
      <c r="H2796" s="77"/>
    </row>
    <row r="2797">
      <c r="C2797" s="72"/>
      <c r="G2797" s="77"/>
      <c r="H2797" s="77"/>
    </row>
    <row r="2798">
      <c r="C2798" s="72"/>
      <c r="G2798" s="77"/>
      <c r="H2798" s="77"/>
    </row>
    <row r="2799">
      <c r="C2799" s="72"/>
      <c r="G2799" s="77"/>
      <c r="H2799" s="77"/>
    </row>
    <row r="2800">
      <c r="C2800" s="72"/>
      <c r="G2800" s="77"/>
      <c r="H2800" s="77"/>
    </row>
    <row r="2801">
      <c r="C2801" s="72"/>
      <c r="G2801" s="77"/>
      <c r="H2801" s="77"/>
    </row>
    <row r="2802">
      <c r="C2802" s="72"/>
      <c r="G2802" s="77"/>
      <c r="H2802" s="77"/>
    </row>
    <row r="2803">
      <c r="C2803" s="72"/>
      <c r="G2803" s="77"/>
      <c r="H2803" s="77"/>
    </row>
    <row r="2804">
      <c r="C2804" s="72"/>
      <c r="G2804" s="77"/>
      <c r="H2804" s="77"/>
    </row>
    <row r="2805">
      <c r="C2805" s="72"/>
      <c r="G2805" s="77"/>
      <c r="H2805" s="77"/>
    </row>
    <row r="2806">
      <c r="C2806" s="72"/>
      <c r="G2806" s="77"/>
      <c r="H2806" s="77"/>
    </row>
    <row r="2807">
      <c r="C2807" s="72"/>
      <c r="G2807" s="77"/>
      <c r="H2807" s="77"/>
    </row>
    <row r="2808">
      <c r="C2808" s="72"/>
      <c r="G2808" s="77"/>
      <c r="H2808" s="77"/>
    </row>
    <row r="2809">
      <c r="C2809" s="72"/>
      <c r="G2809" s="77"/>
      <c r="H2809" s="77"/>
    </row>
    <row r="2810">
      <c r="C2810" s="72"/>
      <c r="G2810" s="77"/>
      <c r="H2810" s="77"/>
    </row>
    <row r="2811">
      <c r="C2811" s="72"/>
      <c r="G2811" s="77"/>
      <c r="H2811" s="77"/>
    </row>
    <row r="2812">
      <c r="C2812" s="72"/>
      <c r="G2812" s="77"/>
      <c r="H2812" s="77"/>
    </row>
    <row r="2813">
      <c r="C2813" s="72"/>
      <c r="G2813" s="77"/>
      <c r="H2813" s="77"/>
    </row>
    <row r="2814">
      <c r="C2814" s="72"/>
      <c r="G2814" s="77"/>
      <c r="H2814" s="77"/>
    </row>
    <row r="2815">
      <c r="C2815" s="72"/>
      <c r="G2815" s="77"/>
      <c r="H2815" s="77"/>
    </row>
    <row r="2816">
      <c r="C2816" s="72"/>
      <c r="G2816" s="77"/>
      <c r="H2816" s="77"/>
    </row>
    <row r="2817">
      <c r="C2817" s="72"/>
      <c r="G2817" s="77"/>
      <c r="H2817" s="77"/>
    </row>
    <row r="2818">
      <c r="C2818" s="72"/>
      <c r="G2818" s="77"/>
      <c r="H2818" s="77"/>
    </row>
    <row r="2819">
      <c r="C2819" s="72"/>
      <c r="G2819" s="77"/>
      <c r="H2819" s="77"/>
    </row>
    <row r="2820">
      <c r="C2820" s="72"/>
      <c r="G2820" s="77"/>
      <c r="H2820" s="77"/>
    </row>
    <row r="2821">
      <c r="C2821" s="72"/>
      <c r="G2821" s="77"/>
      <c r="H2821" s="77"/>
    </row>
    <row r="2822">
      <c r="C2822" s="72"/>
      <c r="G2822" s="77"/>
      <c r="H2822" s="77"/>
    </row>
    <row r="2823">
      <c r="C2823" s="72"/>
      <c r="G2823" s="77"/>
      <c r="H2823" s="77"/>
    </row>
    <row r="2824">
      <c r="C2824" s="72"/>
      <c r="G2824" s="77"/>
      <c r="H2824" s="77"/>
    </row>
    <row r="2825">
      <c r="C2825" s="72"/>
      <c r="G2825" s="77"/>
      <c r="H2825" s="77"/>
    </row>
    <row r="2826">
      <c r="C2826" s="72"/>
      <c r="G2826" s="77"/>
      <c r="H2826" s="77"/>
    </row>
    <row r="2827">
      <c r="C2827" s="72"/>
      <c r="G2827" s="77"/>
      <c r="H2827" s="77"/>
    </row>
    <row r="2828">
      <c r="C2828" s="72"/>
      <c r="G2828" s="77"/>
      <c r="H2828" s="77"/>
    </row>
    <row r="2829">
      <c r="C2829" s="72"/>
      <c r="G2829" s="77"/>
      <c r="H2829" s="77"/>
    </row>
    <row r="2830">
      <c r="C2830" s="72"/>
      <c r="G2830" s="77"/>
      <c r="H2830" s="77"/>
    </row>
    <row r="2831">
      <c r="C2831" s="72"/>
      <c r="G2831" s="77"/>
      <c r="H2831" s="77"/>
    </row>
    <row r="2832">
      <c r="C2832" s="72"/>
      <c r="G2832" s="77"/>
      <c r="H2832" s="77"/>
    </row>
    <row r="2833">
      <c r="C2833" s="72"/>
      <c r="G2833" s="77"/>
      <c r="H2833" s="77"/>
    </row>
    <row r="2834">
      <c r="C2834" s="72"/>
      <c r="G2834" s="77"/>
      <c r="H2834" s="77"/>
    </row>
    <row r="2835">
      <c r="C2835" s="72"/>
      <c r="G2835" s="77"/>
      <c r="H2835" s="77"/>
    </row>
    <row r="2836">
      <c r="C2836" s="72"/>
      <c r="G2836" s="77"/>
      <c r="H2836" s="77"/>
    </row>
    <row r="2837">
      <c r="C2837" s="72"/>
      <c r="G2837" s="77"/>
      <c r="H2837" s="77"/>
    </row>
    <row r="2838">
      <c r="C2838" s="72"/>
      <c r="G2838" s="77"/>
      <c r="H2838" s="77"/>
    </row>
    <row r="2839">
      <c r="C2839" s="72"/>
      <c r="G2839" s="77"/>
      <c r="H2839" s="77"/>
    </row>
    <row r="2840">
      <c r="C2840" s="72"/>
      <c r="G2840" s="77"/>
      <c r="H2840" s="77"/>
    </row>
    <row r="2841">
      <c r="C2841" s="72"/>
      <c r="G2841" s="77"/>
      <c r="H2841" s="77"/>
    </row>
    <row r="2842">
      <c r="C2842" s="72"/>
      <c r="G2842" s="77"/>
      <c r="H2842" s="77"/>
    </row>
    <row r="2843">
      <c r="C2843" s="72"/>
      <c r="G2843" s="77"/>
      <c r="H2843" s="77"/>
    </row>
    <row r="2844">
      <c r="C2844" s="72"/>
      <c r="G2844" s="77"/>
      <c r="H2844" s="77"/>
    </row>
    <row r="2845">
      <c r="C2845" s="72"/>
      <c r="G2845" s="77"/>
      <c r="H2845" s="77"/>
    </row>
    <row r="2846">
      <c r="C2846" s="72"/>
      <c r="G2846" s="77"/>
      <c r="H2846" s="77"/>
    </row>
    <row r="2847">
      <c r="C2847" s="72"/>
      <c r="G2847" s="77"/>
      <c r="H2847" s="77"/>
    </row>
    <row r="2848">
      <c r="C2848" s="72"/>
      <c r="G2848" s="77"/>
      <c r="H2848" s="77"/>
    </row>
    <row r="2849">
      <c r="C2849" s="72"/>
      <c r="G2849" s="77"/>
      <c r="H2849" s="77"/>
    </row>
    <row r="2850">
      <c r="C2850" s="72"/>
      <c r="G2850" s="77"/>
      <c r="H2850" s="77"/>
    </row>
    <row r="2851">
      <c r="C2851" s="72"/>
      <c r="G2851" s="77"/>
      <c r="H2851" s="77"/>
    </row>
    <row r="2852">
      <c r="C2852" s="72"/>
      <c r="G2852" s="77"/>
      <c r="H2852" s="77"/>
    </row>
    <row r="2853">
      <c r="C2853" s="72"/>
      <c r="G2853" s="77"/>
      <c r="H2853" s="77"/>
    </row>
    <row r="2854">
      <c r="C2854" s="72"/>
      <c r="G2854" s="77"/>
      <c r="H2854" s="77"/>
    </row>
    <row r="2855">
      <c r="C2855" s="72"/>
      <c r="G2855" s="77"/>
      <c r="H2855" s="77"/>
    </row>
    <row r="2856">
      <c r="C2856" s="72"/>
      <c r="G2856" s="77"/>
      <c r="H2856" s="77"/>
    </row>
    <row r="2857">
      <c r="C2857" s="72"/>
      <c r="G2857" s="77"/>
      <c r="H2857" s="77"/>
    </row>
    <row r="2858">
      <c r="C2858" s="72"/>
      <c r="G2858" s="77"/>
      <c r="H2858" s="77"/>
    </row>
    <row r="2859">
      <c r="C2859" s="72"/>
      <c r="G2859" s="77"/>
      <c r="H2859" s="77"/>
    </row>
    <row r="2860">
      <c r="C2860" s="72"/>
      <c r="G2860" s="77"/>
      <c r="H2860" s="77"/>
    </row>
    <row r="2861">
      <c r="C2861" s="72"/>
      <c r="G2861" s="77"/>
      <c r="H2861" s="77"/>
    </row>
    <row r="2862">
      <c r="C2862" s="72"/>
      <c r="G2862" s="77"/>
      <c r="H2862" s="77"/>
    </row>
    <row r="2863">
      <c r="C2863" s="72"/>
      <c r="G2863" s="77"/>
      <c r="H2863" s="77"/>
    </row>
    <row r="2864">
      <c r="C2864" s="72"/>
      <c r="G2864" s="77"/>
      <c r="H2864" s="77"/>
    </row>
    <row r="2865">
      <c r="C2865" s="72"/>
      <c r="G2865" s="77"/>
      <c r="H2865" s="77"/>
    </row>
    <row r="2866">
      <c r="C2866" s="72"/>
      <c r="G2866" s="77"/>
      <c r="H2866" s="77"/>
    </row>
    <row r="2867">
      <c r="C2867" s="72"/>
      <c r="G2867" s="77"/>
      <c r="H2867" s="77"/>
    </row>
    <row r="2868">
      <c r="C2868" s="72"/>
      <c r="G2868" s="77"/>
      <c r="H2868" s="77"/>
    </row>
    <row r="2869">
      <c r="C2869" s="72"/>
      <c r="G2869" s="77"/>
      <c r="H2869" s="77"/>
    </row>
    <row r="2870">
      <c r="C2870" s="72"/>
      <c r="G2870" s="77"/>
      <c r="H2870" s="77"/>
    </row>
    <row r="2871">
      <c r="C2871" s="72"/>
      <c r="G2871" s="77"/>
      <c r="H2871" s="77"/>
    </row>
    <row r="2872">
      <c r="C2872" s="72"/>
      <c r="G2872" s="77"/>
      <c r="H2872" s="77"/>
    </row>
    <row r="2873">
      <c r="C2873" s="72"/>
      <c r="G2873" s="77"/>
      <c r="H2873" s="77"/>
    </row>
    <row r="2874">
      <c r="C2874" s="72"/>
      <c r="G2874" s="77"/>
      <c r="H2874" s="77"/>
    </row>
    <row r="2875">
      <c r="C2875" s="72"/>
      <c r="G2875" s="77"/>
      <c r="H2875" s="77"/>
    </row>
    <row r="2876">
      <c r="C2876" s="72"/>
      <c r="G2876" s="77"/>
      <c r="H2876" s="77"/>
    </row>
    <row r="2877">
      <c r="C2877" s="72"/>
      <c r="G2877" s="77"/>
      <c r="H2877" s="77"/>
    </row>
    <row r="2878">
      <c r="C2878" s="72"/>
      <c r="G2878" s="77"/>
      <c r="H2878" s="77"/>
    </row>
    <row r="2879">
      <c r="C2879" s="72"/>
      <c r="G2879" s="77"/>
      <c r="H2879" s="77"/>
    </row>
    <row r="2880">
      <c r="C2880" s="72"/>
      <c r="G2880" s="77"/>
      <c r="H2880" s="77"/>
    </row>
    <row r="2881">
      <c r="C2881" s="72"/>
      <c r="G2881" s="77"/>
      <c r="H2881" s="77"/>
    </row>
    <row r="2882">
      <c r="C2882" s="72"/>
      <c r="G2882" s="77"/>
      <c r="H2882" s="77"/>
    </row>
    <row r="2883">
      <c r="C2883" s="72"/>
      <c r="G2883" s="77"/>
      <c r="H2883" s="77"/>
    </row>
    <row r="2884">
      <c r="C2884" s="72"/>
      <c r="G2884" s="77"/>
      <c r="H2884" s="77"/>
    </row>
    <row r="2885">
      <c r="C2885" s="72"/>
      <c r="G2885" s="77"/>
      <c r="H2885" s="77"/>
    </row>
    <row r="2886">
      <c r="C2886" s="72"/>
      <c r="G2886" s="77"/>
      <c r="H2886" s="77"/>
    </row>
    <row r="2887">
      <c r="C2887" s="72"/>
      <c r="G2887" s="77"/>
      <c r="H2887" s="77"/>
    </row>
    <row r="2888">
      <c r="C2888" s="72"/>
      <c r="G2888" s="77"/>
      <c r="H2888" s="77"/>
    </row>
    <row r="2889">
      <c r="C2889" s="72"/>
      <c r="G2889" s="77"/>
      <c r="H2889" s="77"/>
    </row>
    <row r="2890">
      <c r="C2890" s="72"/>
      <c r="G2890" s="77"/>
      <c r="H2890" s="77"/>
    </row>
    <row r="2891">
      <c r="C2891" s="72"/>
      <c r="G2891" s="77"/>
      <c r="H2891" s="77"/>
    </row>
    <row r="2892">
      <c r="C2892" s="72"/>
      <c r="G2892" s="77"/>
      <c r="H2892" s="77"/>
    </row>
    <row r="2893">
      <c r="C2893" s="72"/>
      <c r="G2893" s="77"/>
      <c r="H2893" s="77"/>
    </row>
    <row r="2894">
      <c r="C2894" s="72"/>
      <c r="G2894" s="77"/>
      <c r="H2894" s="77"/>
    </row>
    <row r="2895">
      <c r="C2895" s="72"/>
      <c r="G2895" s="77"/>
      <c r="H2895" s="77"/>
    </row>
    <row r="2896">
      <c r="C2896" s="72"/>
      <c r="G2896" s="77"/>
      <c r="H2896" s="77"/>
    </row>
    <row r="2897">
      <c r="C2897" s="72"/>
      <c r="G2897" s="77"/>
      <c r="H2897" s="77"/>
    </row>
    <row r="2898">
      <c r="C2898" s="72"/>
      <c r="G2898" s="77"/>
      <c r="H2898" s="77"/>
    </row>
    <row r="2899">
      <c r="C2899" s="72"/>
      <c r="G2899" s="77"/>
      <c r="H2899" s="77"/>
    </row>
    <row r="2900">
      <c r="C2900" s="72"/>
      <c r="G2900" s="77"/>
      <c r="H2900" s="77"/>
    </row>
    <row r="2901">
      <c r="C2901" s="72"/>
      <c r="G2901" s="77"/>
      <c r="H2901" s="77"/>
    </row>
    <row r="2902">
      <c r="C2902" s="72"/>
      <c r="G2902" s="77"/>
      <c r="H2902" s="77"/>
    </row>
    <row r="2903">
      <c r="C2903" s="72"/>
      <c r="G2903" s="77"/>
      <c r="H2903" s="77"/>
    </row>
    <row r="2904">
      <c r="C2904" s="72"/>
      <c r="G2904" s="77"/>
      <c r="H2904" s="77"/>
    </row>
    <row r="2905">
      <c r="C2905" s="72"/>
      <c r="G2905" s="77"/>
      <c r="H2905" s="77"/>
    </row>
    <row r="2906">
      <c r="C2906" s="72"/>
      <c r="G2906" s="77"/>
      <c r="H2906" s="77"/>
    </row>
    <row r="2907">
      <c r="C2907" s="72"/>
      <c r="G2907" s="77"/>
      <c r="H2907" s="77"/>
    </row>
    <row r="2908">
      <c r="C2908" s="72"/>
      <c r="G2908" s="77"/>
      <c r="H2908" s="77"/>
    </row>
    <row r="2909">
      <c r="C2909" s="72"/>
      <c r="G2909" s="77"/>
      <c r="H2909" s="77"/>
    </row>
    <row r="2910">
      <c r="C2910" s="72"/>
      <c r="G2910" s="77"/>
      <c r="H2910" s="77"/>
    </row>
    <row r="2911">
      <c r="C2911" s="72"/>
      <c r="G2911" s="77"/>
      <c r="H2911" s="77"/>
    </row>
    <row r="2912">
      <c r="C2912" s="72"/>
      <c r="G2912" s="77"/>
      <c r="H2912" s="77"/>
    </row>
    <row r="2913">
      <c r="C2913" s="72"/>
      <c r="G2913" s="77"/>
      <c r="H2913" s="77"/>
    </row>
    <row r="2914">
      <c r="C2914" s="72"/>
      <c r="G2914" s="77"/>
      <c r="H2914" s="77"/>
    </row>
    <row r="2915">
      <c r="C2915" s="72"/>
      <c r="G2915" s="77"/>
      <c r="H2915" s="77"/>
    </row>
    <row r="2916">
      <c r="C2916" s="72"/>
      <c r="G2916" s="77"/>
      <c r="H2916" s="77"/>
    </row>
    <row r="2917">
      <c r="C2917" s="72"/>
      <c r="G2917" s="77"/>
      <c r="H2917" s="77"/>
    </row>
    <row r="2918">
      <c r="C2918" s="72"/>
      <c r="G2918" s="77"/>
      <c r="H2918" s="77"/>
    </row>
    <row r="2919">
      <c r="C2919" s="72"/>
      <c r="G2919" s="77"/>
      <c r="H2919" s="77"/>
    </row>
    <row r="2920">
      <c r="C2920" s="72"/>
      <c r="G2920" s="77"/>
      <c r="H2920" s="77"/>
    </row>
    <row r="2921">
      <c r="C2921" s="72"/>
      <c r="G2921" s="77"/>
      <c r="H2921" s="77"/>
    </row>
    <row r="2922">
      <c r="C2922" s="72"/>
      <c r="G2922" s="77"/>
      <c r="H2922" s="77"/>
    </row>
    <row r="2923">
      <c r="C2923" s="72"/>
      <c r="G2923" s="77"/>
      <c r="H2923" s="77"/>
    </row>
    <row r="2924">
      <c r="C2924" s="72"/>
      <c r="G2924" s="77"/>
      <c r="H2924" s="77"/>
    </row>
    <row r="2925">
      <c r="C2925" s="72"/>
      <c r="G2925" s="77"/>
      <c r="H2925" s="77"/>
    </row>
    <row r="2926">
      <c r="C2926" s="72"/>
      <c r="G2926" s="77"/>
      <c r="H2926" s="77"/>
    </row>
    <row r="2927">
      <c r="C2927" s="72"/>
      <c r="G2927" s="77"/>
      <c r="H2927" s="77"/>
    </row>
    <row r="2928">
      <c r="C2928" s="72"/>
      <c r="G2928" s="77"/>
      <c r="H2928" s="77"/>
    </row>
    <row r="2929">
      <c r="C2929" s="72"/>
      <c r="G2929" s="77"/>
      <c r="H2929" s="77"/>
    </row>
    <row r="2930">
      <c r="C2930" s="72"/>
      <c r="G2930" s="77"/>
      <c r="H2930" s="77"/>
    </row>
    <row r="2931">
      <c r="C2931" s="72"/>
      <c r="G2931" s="77"/>
      <c r="H2931" s="77"/>
    </row>
    <row r="2932">
      <c r="C2932" s="72"/>
      <c r="G2932" s="77"/>
      <c r="H2932" s="77"/>
    </row>
    <row r="2933">
      <c r="C2933" s="72"/>
      <c r="G2933" s="77"/>
      <c r="H2933" s="77"/>
    </row>
    <row r="2934">
      <c r="C2934" s="72"/>
      <c r="G2934" s="77"/>
      <c r="H2934" s="77"/>
    </row>
    <row r="2935">
      <c r="C2935" s="72"/>
      <c r="G2935" s="77"/>
      <c r="H2935" s="77"/>
    </row>
    <row r="2936">
      <c r="C2936" s="72"/>
      <c r="G2936" s="77"/>
      <c r="H2936" s="77"/>
    </row>
    <row r="2937">
      <c r="C2937" s="72"/>
      <c r="G2937" s="77"/>
      <c r="H2937" s="77"/>
    </row>
    <row r="2938">
      <c r="C2938" s="72"/>
      <c r="G2938" s="77"/>
      <c r="H2938" s="77"/>
    </row>
    <row r="2939">
      <c r="C2939" s="72"/>
      <c r="G2939" s="77"/>
      <c r="H2939" s="77"/>
    </row>
    <row r="2940">
      <c r="C2940" s="72"/>
      <c r="G2940" s="77"/>
      <c r="H2940" s="77"/>
    </row>
    <row r="2941">
      <c r="C2941" s="72"/>
      <c r="G2941" s="77"/>
      <c r="H2941" s="77"/>
    </row>
    <row r="2942">
      <c r="C2942" s="72"/>
      <c r="G2942" s="77"/>
      <c r="H2942" s="77"/>
    </row>
    <row r="2943">
      <c r="C2943" s="72"/>
      <c r="G2943" s="77"/>
      <c r="H2943" s="77"/>
    </row>
    <row r="2944">
      <c r="C2944" s="72"/>
      <c r="G2944" s="77"/>
      <c r="H2944" s="77"/>
    </row>
    <row r="2945">
      <c r="C2945" s="72"/>
      <c r="G2945" s="77"/>
      <c r="H2945" s="77"/>
    </row>
    <row r="2946">
      <c r="C2946" s="72"/>
      <c r="G2946" s="77"/>
      <c r="H2946" s="77"/>
    </row>
    <row r="2947">
      <c r="C2947" s="72"/>
      <c r="G2947" s="77"/>
      <c r="H2947" s="77"/>
    </row>
    <row r="2948">
      <c r="C2948" s="72"/>
      <c r="G2948" s="77"/>
      <c r="H2948" s="77"/>
    </row>
    <row r="2949">
      <c r="C2949" s="72"/>
      <c r="G2949" s="77"/>
      <c r="H2949" s="77"/>
    </row>
    <row r="2950">
      <c r="C2950" s="72"/>
      <c r="G2950" s="77"/>
      <c r="H2950" s="77"/>
    </row>
    <row r="2951">
      <c r="C2951" s="72"/>
      <c r="G2951" s="77"/>
      <c r="H2951" s="77"/>
    </row>
    <row r="2952">
      <c r="C2952" s="72"/>
      <c r="G2952" s="77"/>
      <c r="H2952" s="77"/>
    </row>
    <row r="2953">
      <c r="C2953" s="72"/>
      <c r="G2953" s="77"/>
      <c r="H2953" s="77"/>
    </row>
    <row r="2954">
      <c r="C2954" s="72"/>
      <c r="G2954" s="77"/>
      <c r="H2954" s="77"/>
    </row>
    <row r="2955">
      <c r="C2955" s="72"/>
      <c r="G2955" s="77"/>
      <c r="H2955" s="77"/>
    </row>
    <row r="2956">
      <c r="C2956" s="72"/>
      <c r="G2956" s="77"/>
      <c r="H2956" s="77"/>
    </row>
    <row r="2957">
      <c r="C2957" s="72"/>
      <c r="G2957" s="77"/>
      <c r="H2957" s="77"/>
    </row>
    <row r="2958">
      <c r="C2958" s="72"/>
      <c r="G2958" s="77"/>
      <c r="H2958" s="77"/>
    </row>
    <row r="2959">
      <c r="C2959" s="72"/>
      <c r="G2959" s="77"/>
      <c r="H2959" s="77"/>
    </row>
    <row r="2960">
      <c r="C2960" s="72"/>
      <c r="G2960" s="77"/>
      <c r="H2960" s="77"/>
    </row>
    <row r="2961">
      <c r="C2961" s="72"/>
      <c r="G2961" s="77"/>
      <c r="H2961" s="77"/>
    </row>
    <row r="2962">
      <c r="C2962" s="72"/>
      <c r="G2962" s="77"/>
      <c r="H2962" s="77"/>
    </row>
    <row r="2963">
      <c r="C2963" s="72"/>
      <c r="G2963" s="77"/>
      <c r="H2963" s="77"/>
    </row>
    <row r="2964">
      <c r="C2964" s="72"/>
      <c r="G2964" s="77"/>
      <c r="H2964" s="77"/>
    </row>
    <row r="2965">
      <c r="C2965" s="72"/>
      <c r="G2965" s="77"/>
      <c r="H2965" s="77"/>
    </row>
    <row r="2966">
      <c r="C2966" s="72"/>
      <c r="G2966" s="77"/>
      <c r="H2966" s="77"/>
    </row>
    <row r="2967">
      <c r="C2967" s="72"/>
      <c r="G2967" s="77"/>
      <c r="H2967" s="77"/>
    </row>
    <row r="2968">
      <c r="C2968" s="72"/>
      <c r="G2968" s="77"/>
      <c r="H2968" s="77"/>
    </row>
    <row r="2969">
      <c r="C2969" s="72"/>
      <c r="G2969" s="77"/>
      <c r="H2969" s="77"/>
    </row>
    <row r="2970">
      <c r="C2970" s="72"/>
      <c r="G2970" s="77"/>
      <c r="H2970" s="77"/>
    </row>
    <row r="2971">
      <c r="C2971" s="72"/>
      <c r="G2971" s="77"/>
      <c r="H2971" s="77"/>
    </row>
    <row r="2972">
      <c r="C2972" s="72"/>
      <c r="G2972" s="77"/>
      <c r="H2972" s="77"/>
    </row>
    <row r="2973">
      <c r="C2973" s="72"/>
      <c r="G2973" s="77"/>
      <c r="H2973" s="77"/>
    </row>
    <row r="2974">
      <c r="C2974" s="72"/>
      <c r="G2974" s="77"/>
      <c r="H2974" s="77"/>
    </row>
    <row r="2975">
      <c r="C2975" s="72"/>
      <c r="G2975" s="77"/>
      <c r="H2975" s="77"/>
    </row>
    <row r="2976">
      <c r="C2976" s="72"/>
      <c r="G2976" s="77"/>
      <c r="H2976" s="77"/>
    </row>
    <row r="2977">
      <c r="C2977" s="72"/>
      <c r="G2977" s="77"/>
      <c r="H2977" s="77"/>
    </row>
    <row r="2978">
      <c r="C2978" s="72"/>
      <c r="G2978" s="77"/>
      <c r="H2978" s="77"/>
    </row>
    <row r="2979">
      <c r="C2979" s="72"/>
      <c r="G2979" s="77"/>
      <c r="H2979" s="77"/>
    </row>
    <row r="2980">
      <c r="C2980" s="72"/>
      <c r="G2980" s="77"/>
      <c r="H2980" s="77"/>
    </row>
    <row r="2981">
      <c r="C2981" s="72"/>
      <c r="G2981" s="77"/>
      <c r="H2981" s="77"/>
    </row>
    <row r="2982">
      <c r="C2982" s="72"/>
      <c r="G2982" s="77"/>
      <c r="H2982" s="77"/>
    </row>
    <row r="2983">
      <c r="C2983" s="72"/>
      <c r="G2983" s="77"/>
      <c r="H2983" s="77"/>
    </row>
    <row r="2984">
      <c r="C2984" s="72"/>
      <c r="G2984" s="77"/>
      <c r="H2984" s="77"/>
    </row>
    <row r="2985">
      <c r="C2985" s="72"/>
      <c r="G2985" s="77"/>
      <c r="H2985" s="77"/>
    </row>
    <row r="2986">
      <c r="C2986" s="72"/>
      <c r="G2986" s="77"/>
      <c r="H2986" s="77"/>
    </row>
    <row r="2987">
      <c r="C2987" s="72"/>
      <c r="G2987" s="77"/>
      <c r="H2987" s="77"/>
    </row>
    <row r="2988">
      <c r="C2988" s="72"/>
      <c r="G2988" s="77"/>
      <c r="H2988" s="77"/>
    </row>
    <row r="2989">
      <c r="C2989" s="72"/>
      <c r="G2989" s="77"/>
      <c r="H2989" s="77"/>
    </row>
    <row r="2990">
      <c r="C2990" s="72"/>
      <c r="G2990" s="77"/>
      <c r="H2990" s="77"/>
    </row>
    <row r="2991">
      <c r="C2991" s="72"/>
      <c r="G2991" s="77"/>
      <c r="H2991" s="77"/>
    </row>
    <row r="2992">
      <c r="C2992" s="72"/>
      <c r="G2992" s="77"/>
      <c r="H2992" s="77"/>
    </row>
    <row r="2993">
      <c r="C2993" s="72"/>
      <c r="G2993" s="77"/>
      <c r="H2993" s="77"/>
    </row>
    <row r="2994">
      <c r="C2994" s="72"/>
      <c r="G2994" s="77"/>
      <c r="H2994" s="77"/>
    </row>
    <row r="2995">
      <c r="C2995" s="72"/>
      <c r="G2995" s="77"/>
      <c r="H2995" s="77"/>
    </row>
    <row r="2996">
      <c r="C2996" s="72"/>
      <c r="G2996" s="77"/>
      <c r="H2996" s="77"/>
    </row>
    <row r="2997">
      <c r="C2997" s="72"/>
      <c r="G2997" s="77"/>
      <c r="H2997" s="77"/>
    </row>
    <row r="2998">
      <c r="C2998" s="72"/>
      <c r="G2998" s="77"/>
      <c r="H2998" s="77"/>
    </row>
    <row r="2999">
      <c r="C2999" s="72"/>
      <c r="G2999" s="77"/>
      <c r="H2999" s="77"/>
    </row>
    <row r="3000">
      <c r="C3000" s="72"/>
      <c r="G3000" s="77"/>
      <c r="H3000" s="77"/>
    </row>
    <row r="3001">
      <c r="C3001" s="72"/>
      <c r="G3001" s="77"/>
      <c r="H3001" s="77"/>
    </row>
    <row r="3002">
      <c r="C3002" s="72"/>
      <c r="G3002" s="77"/>
      <c r="H3002" s="77"/>
    </row>
    <row r="3003">
      <c r="C3003" s="72"/>
      <c r="G3003" s="77"/>
      <c r="H3003" s="77"/>
    </row>
    <row r="3004">
      <c r="C3004" s="72"/>
      <c r="G3004" s="77"/>
      <c r="H3004" s="77"/>
    </row>
    <row r="3005">
      <c r="C3005" s="72"/>
      <c r="G3005" s="77"/>
      <c r="H3005" s="77"/>
    </row>
    <row r="3006">
      <c r="C3006" s="72"/>
      <c r="G3006" s="77"/>
      <c r="H3006" s="77"/>
    </row>
    <row r="3007">
      <c r="C3007" s="72"/>
      <c r="G3007" s="77"/>
      <c r="H3007" s="77"/>
    </row>
    <row r="3008">
      <c r="C3008" s="72"/>
      <c r="G3008" s="77"/>
      <c r="H3008" s="77"/>
    </row>
    <row r="3009">
      <c r="C3009" s="72"/>
      <c r="G3009" s="77"/>
      <c r="H3009" s="77"/>
    </row>
    <row r="3010">
      <c r="C3010" s="72"/>
      <c r="G3010" s="77"/>
      <c r="H3010" s="77"/>
    </row>
    <row r="3011">
      <c r="C3011" s="72"/>
      <c r="G3011" s="77"/>
      <c r="H3011" s="77"/>
    </row>
    <row r="3012">
      <c r="C3012" s="72"/>
      <c r="G3012" s="77"/>
      <c r="H3012" s="77"/>
    </row>
    <row r="3013">
      <c r="C3013" s="72"/>
      <c r="G3013" s="77"/>
      <c r="H3013" s="77"/>
    </row>
    <row r="3014">
      <c r="C3014" s="72"/>
      <c r="G3014" s="77"/>
      <c r="H3014" s="77"/>
    </row>
    <row r="3015">
      <c r="C3015" s="72"/>
      <c r="G3015" s="77"/>
      <c r="H3015" s="77"/>
    </row>
    <row r="3016">
      <c r="C3016" s="72"/>
      <c r="G3016" s="77"/>
      <c r="H3016" s="77"/>
    </row>
    <row r="3017">
      <c r="C3017" s="72"/>
      <c r="G3017" s="77"/>
      <c r="H3017" s="77"/>
    </row>
    <row r="3018">
      <c r="C3018" s="72"/>
      <c r="G3018" s="77"/>
      <c r="H3018" s="77"/>
    </row>
    <row r="3019">
      <c r="C3019" s="72"/>
      <c r="G3019" s="77"/>
      <c r="H3019" s="77"/>
    </row>
    <row r="3020">
      <c r="C3020" s="72"/>
      <c r="G3020" s="77"/>
      <c r="H3020" s="77"/>
    </row>
    <row r="3021">
      <c r="C3021" s="72"/>
      <c r="G3021" s="77"/>
      <c r="H3021" s="77"/>
    </row>
    <row r="3022">
      <c r="C3022" s="72"/>
      <c r="G3022" s="77"/>
      <c r="H3022" s="77"/>
    </row>
    <row r="3023">
      <c r="C3023" s="72"/>
      <c r="G3023" s="77"/>
      <c r="H3023" s="77"/>
    </row>
    <row r="3024">
      <c r="C3024" s="72"/>
      <c r="G3024" s="77"/>
      <c r="H3024" s="77"/>
    </row>
    <row r="3025">
      <c r="C3025" s="72"/>
      <c r="G3025" s="77"/>
      <c r="H3025" s="77"/>
    </row>
    <row r="3026">
      <c r="C3026" s="72"/>
      <c r="G3026" s="77"/>
      <c r="H3026" s="77"/>
    </row>
    <row r="3027">
      <c r="C3027" s="72"/>
      <c r="G3027" s="77"/>
      <c r="H3027" s="77"/>
    </row>
    <row r="3028">
      <c r="C3028" s="72"/>
      <c r="G3028" s="77"/>
      <c r="H3028" s="77"/>
    </row>
    <row r="3029">
      <c r="C3029" s="72"/>
      <c r="G3029" s="77"/>
      <c r="H3029" s="77"/>
    </row>
    <row r="3030">
      <c r="C3030" s="72"/>
      <c r="G3030" s="77"/>
      <c r="H3030" s="77"/>
    </row>
    <row r="3031">
      <c r="C3031" s="72"/>
      <c r="G3031" s="77"/>
      <c r="H3031" s="77"/>
    </row>
    <row r="3032">
      <c r="C3032" s="72"/>
      <c r="G3032" s="77"/>
      <c r="H3032" s="77"/>
    </row>
    <row r="3033">
      <c r="C3033" s="72"/>
      <c r="G3033" s="77"/>
      <c r="H3033" s="77"/>
    </row>
    <row r="3034">
      <c r="C3034" s="72"/>
      <c r="G3034" s="77"/>
      <c r="H3034" s="77"/>
    </row>
    <row r="3035">
      <c r="C3035" s="72"/>
      <c r="G3035" s="77"/>
      <c r="H3035" s="77"/>
    </row>
    <row r="3036">
      <c r="C3036" s="72"/>
      <c r="G3036" s="77"/>
      <c r="H3036" s="77"/>
    </row>
    <row r="3037">
      <c r="C3037" s="72"/>
      <c r="G3037" s="77"/>
      <c r="H3037" s="77"/>
    </row>
    <row r="3038">
      <c r="C3038" s="72"/>
      <c r="G3038" s="77"/>
      <c r="H3038" s="77"/>
    </row>
    <row r="3039">
      <c r="C3039" s="72"/>
      <c r="G3039" s="77"/>
      <c r="H3039" s="77"/>
    </row>
    <row r="3040">
      <c r="C3040" s="72"/>
      <c r="G3040" s="77"/>
      <c r="H3040" s="77"/>
    </row>
    <row r="3041">
      <c r="C3041" s="72"/>
      <c r="G3041" s="77"/>
      <c r="H3041" s="77"/>
    </row>
    <row r="3042">
      <c r="C3042" s="72"/>
      <c r="G3042" s="77"/>
      <c r="H3042" s="77"/>
    </row>
    <row r="3043">
      <c r="C3043" s="72"/>
      <c r="G3043" s="77"/>
      <c r="H3043" s="77"/>
    </row>
    <row r="3044">
      <c r="C3044" s="72"/>
      <c r="G3044" s="77"/>
      <c r="H3044" s="77"/>
    </row>
    <row r="3045">
      <c r="C3045" s="72"/>
      <c r="G3045" s="77"/>
      <c r="H3045" s="77"/>
    </row>
    <row r="3046">
      <c r="C3046" s="72"/>
      <c r="G3046" s="77"/>
      <c r="H3046" s="77"/>
    </row>
    <row r="3047">
      <c r="C3047" s="72"/>
      <c r="G3047" s="77"/>
      <c r="H3047" s="77"/>
    </row>
    <row r="3048">
      <c r="C3048" s="72"/>
      <c r="G3048" s="77"/>
      <c r="H3048" s="77"/>
    </row>
    <row r="3049">
      <c r="C3049" s="72"/>
      <c r="G3049" s="77"/>
      <c r="H3049" s="77"/>
    </row>
    <row r="3050">
      <c r="C3050" s="72"/>
      <c r="G3050" s="77"/>
      <c r="H3050" s="77"/>
    </row>
    <row r="3051">
      <c r="C3051" s="72"/>
      <c r="G3051" s="77"/>
      <c r="H3051" s="77"/>
    </row>
    <row r="3052">
      <c r="C3052" s="72"/>
      <c r="G3052" s="77"/>
      <c r="H3052" s="77"/>
    </row>
    <row r="3053">
      <c r="C3053" s="72"/>
      <c r="G3053" s="77"/>
      <c r="H3053" s="77"/>
    </row>
    <row r="3054">
      <c r="C3054" s="72"/>
      <c r="G3054" s="77"/>
      <c r="H3054" s="77"/>
    </row>
    <row r="3055">
      <c r="C3055" s="72"/>
      <c r="G3055" s="77"/>
      <c r="H3055" s="77"/>
    </row>
    <row r="3056">
      <c r="C3056" s="72"/>
      <c r="G3056" s="77"/>
      <c r="H3056" s="77"/>
    </row>
    <row r="3057">
      <c r="C3057" s="72"/>
      <c r="G3057" s="77"/>
      <c r="H3057" s="77"/>
    </row>
    <row r="3058">
      <c r="C3058" s="72"/>
      <c r="G3058" s="77"/>
      <c r="H3058" s="77"/>
    </row>
    <row r="3059">
      <c r="C3059" s="72"/>
      <c r="G3059" s="77"/>
      <c r="H3059" s="77"/>
    </row>
    <row r="3060">
      <c r="C3060" s="72"/>
      <c r="G3060" s="77"/>
      <c r="H3060" s="77"/>
    </row>
    <row r="3061">
      <c r="C3061" s="72"/>
      <c r="G3061" s="77"/>
      <c r="H3061" s="77"/>
    </row>
    <row r="3062">
      <c r="C3062" s="72"/>
      <c r="G3062" s="77"/>
      <c r="H3062" s="77"/>
    </row>
    <row r="3063">
      <c r="C3063" s="72"/>
      <c r="G3063" s="77"/>
      <c r="H3063" s="77"/>
    </row>
    <row r="3064">
      <c r="C3064" s="72"/>
      <c r="G3064" s="77"/>
      <c r="H3064" s="77"/>
    </row>
    <row r="3065">
      <c r="C3065" s="72"/>
      <c r="G3065" s="77"/>
      <c r="H3065" s="77"/>
    </row>
    <row r="3066">
      <c r="C3066" s="72"/>
      <c r="G3066" s="77"/>
      <c r="H3066" s="77"/>
    </row>
    <row r="3067">
      <c r="C3067" s="72"/>
      <c r="G3067" s="77"/>
      <c r="H3067" s="77"/>
    </row>
    <row r="3068">
      <c r="C3068" s="72"/>
      <c r="G3068" s="77"/>
      <c r="H3068" s="77"/>
    </row>
    <row r="3069">
      <c r="C3069" s="72"/>
      <c r="G3069" s="77"/>
      <c r="H3069" s="77"/>
    </row>
    <row r="3070">
      <c r="C3070" s="72"/>
      <c r="G3070" s="77"/>
      <c r="H3070" s="77"/>
    </row>
    <row r="3071">
      <c r="C3071" s="72"/>
      <c r="G3071" s="77"/>
      <c r="H3071" s="77"/>
    </row>
    <row r="3072">
      <c r="C3072" s="72"/>
      <c r="G3072" s="77"/>
      <c r="H3072" s="77"/>
    </row>
    <row r="3073">
      <c r="C3073" s="72"/>
      <c r="G3073" s="77"/>
      <c r="H3073" s="77"/>
    </row>
    <row r="3074">
      <c r="C3074" s="72"/>
      <c r="G3074" s="77"/>
      <c r="H3074" s="77"/>
    </row>
    <row r="3075">
      <c r="C3075" s="72"/>
      <c r="G3075" s="77"/>
      <c r="H3075" s="77"/>
    </row>
    <row r="3076">
      <c r="C3076" s="72"/>
      <c r="G3076" s="77"/>
      <c r="H3076" s="77"/>
    </row>
    <row r="3077">
      <c r="C3077" s="72"/>
      <c r="G3077" s="77"/>
      <c r="H3077" s="77"/>
    </row>
    <row r="3078">
      <c r="C3078" s="72"/>
      <c r="G3078" s="77"/>
      <c r="H3078" s="77"/>
    </row>
    <row r="3079">
      <c r="C3079" s="72"/>
      <c r="G3079" s="77"/>
      <c r="H3079" s="77"/>
    </row>
    <row r="3080">
      <c r="C3080" s="72"/>
      <c r="G3080" s="77"/>
      <c r="H3080" s="77"/>
    </row>
    <row r="3081">
      <c r="C3081" s="72"/>
      <c r="G3081" s="77"/>
      <c r="H3081" s="77"/>
    </row>
    <row r="3082">
      <c r="C3082" s="72"/>
      <c r="G3082" s="77"/>
      <c r="H3082" s="77"/>
    </row>
    <row r="3083">
      <c r="C3083" s="72"/>
      <c r="G3083" s="77"/>
      <c r="H3083" s="77"/>
    </row>
    <row r="3084">
      <c r="C3084" s="72"/>
      <c r="G3084" s="77"/>
      <c r="H3084" s="77"/>
    </row>
    <row r="3085">
      <c r="C3085" s="72"/>
      <c r="G3085" s="77"/>
      <c r="H3085" s="77"/>
    </row>
    <row r="3086">
      <c r="C3086" s="72"/>
      <c r="G3086" s="77"/>
      <c r="H3086" s="77"/>
    </row>
    <row r="3087">
      <c r="C3087" s="72"/>
      <c r="G3087" s="77"/>
      <c r="H3087" s="77"/>
    </row>
    <row r="3088">
      <c r="C3088" s="72"/>
      <c r="G3088" s="77"/>
      <c r="H3088" s="77"/>
    </row>
    <row r="3089">
      <c r="C3089" s="72"/>
      <c r="G3089" s="77"/>
      <c r="H3089" s="77"/>
    </row>
    <row r="3090">
      <c r="C3090" s="72"/>
      <c r="G3090" s="77"/>
      <c r="H3090" s="77"/>
    </row>
    <row r="3091">
      <c r="C3091" s="72"/>
      <c r="G3091" s="77"/>
      <c r="H3091" s="77"/>
    </row>
    <row r="3092">
      <c r="C3092" s="72"/>
      <c r="G3092" s="77"/>
      <c r="H3092" s="77"/>
    </row>
    <row r="3093">
      <c r="C3093" s="72"/>
      <c r="G3093" s="77"/>
      <c r="H3093" s="77"/>
    </row>
    <row r="3094">
      <c r="C3094" s="72"/>
      <c r="G3094" s="77"/>
      <c r="H3094" s="77"/>
    </row>
    <row r="3095">
      <c r="C3095" s="72"/>
      <c r="G3095" s="77"/>
      <c r="H3095" s="77"/>
    </row>
    <row r="3096">
      <c r="C3096" s="72"/>
      <c r="G3096" s="77"/>
      <c r="H3096" s="77"/>
    </row>
    <row r="3097">
      <c r="C3097" s="72"/>
      <c r="G3097" s="77"/>
      <c r="H3097" s="77"/>
    </row>
    <row r="3098">
      <c r="C3098" s="72"/>
      <c r="G3098" s="77"/>
      <c r="H3098" s="77"/>
    </row>
    <row r="3099">
      <c r="C3099" s="72"/>
      <c r="G3099" s="77"/>
      <c r="H3099" s="77"/>
    </row>
    <row r="3100">
      <c r="C3100" s="72"/>
      <c r="G3100" s="77"/>
      <c r="H3100" s="77"/>
    </row>
    <row r="3101">
      <c r="C3101" s="72"/>
      <c r="G3101" s="77"/>
      <c r="H3101" s="77"/>
    </row>
    <row r="3102">
      <c r="C3102" s="72"/>
      <c r="G3102" s="77"/>
      <c r="H3102" s="77"/>
    </row>
    <row r="3103">
      <c r="C3103" s="72"/>
      <c r="G3103" s="77"/>
      <c r="H3103" s="77"/>
    </row>
    <row r="3104">
      <c r="C3104" s="72"/>
      <c r="G3104" s="77"/>
      <c r="H3104" s="77"/>
    </row>
    <row r="3105">
      <c r="C3105" s="72"/>
      <c r="G3105" s="77"/>
      <c r="H3105" s="77"/>
    </row>
    <row r="3106">
      <c r="C3106" s="72"/>
      <c r="G3106" s="77"/>
      <c r="H3106" s="77"/>
    </row>
    <row r="3107">
      <c r="C3107" s="72"/>
      <c r="G3107" s="77"/>
      <c r="H3107" s="77"/>
    </row>
    <row r="3108">
      <c r="C3108" s="72"/>
      <c r="G3108" s="77"/>
      <c r="H3108" s="77"/>
    </row>
    <row r="3109">
      <c r="C3109" s="72"/>
      <c r="G3109" s="77"/>
      <c r="H3109" s="77"/>
    </row>
    <row r="3110">
      <c r="C3110" s="72"/>
      <c r="G3110" s="77"/>
      <c r="H3110" s="77"/>
    </row>
    <row r="3111">
      <c r="C3111" s="72"/>
      <c r="G3111" s="77"/>
      <c r="H3111" s="77"/>
    </row>
    <row r="3112">
      <c r="C3112" s="72"/>
      <c r="G3112" s="77"/>
      <c r="H3112" s="77"/>
    </row>
    <row r="3113">
      <c r="C3113" s="72"/>
      <c r="G3113" s="77"/>
      <c r="H3113" s="77"/>
    </row>
    <row r="3114">
      <c r="C3114" s="72"/>
      <c r="G3114" s="77"/>
      <c r="H3114" s="77"/>
    </row>
    <row r="3115">
      <c r="C3115" s="72"/>
      <c r="G3115" s="77"/>
      <c r="H3115" s="77"/>
    </row>
    <row r="3116">
      <c r="C3116" s="72"/>
      <c r="G3116" s="77"/>
      <c r="H3116" s="77"/>
    </row>
    <row r="3117">
      <c r="C3117" s="72"/>
      <c r="G3117" s="77"/>
      <c r="H3117" s="77"/>
    </row>
    <row r="3118">
      <c r="C3118" s="72"/>
      <c r="G3118" s="77"/>
      <c r="H3118" s="77"/>
    </row>
    <row r="3119">
      <c r="C3119" s="72"/>
      <c r="G3119" s="77"/>
      <c r="H3119" s="77"/>
    </row>
    <row r="3120">
      <c r="C3120" s="72"/>
      <c r="G3120" s="77"/>
      <c r="H3120" s="77"/>
    </row>
    <row r="3121">
      <c r="C3121" s="72"/>
      <c r="G3121" s="77"/>
      <c r="H3121" s="77"/>
    </row>
    <row r="3122">
      <c r="C3122" s="72"/>
      <c r="G3122" s="77"/>
      <c r="H3122" s="77"/>
    </row>
    <row r="3123">
      <c r="C3123" s="72"/>
      <c r="G3123" s="77"/>
      <c r="H3123" s="77"/>
    </row>
    <row r="3124">
      <c r="C3124" s="72"/>
      <c r="G3124" s="77"/>
      <c r="H3124" s="77"/>
    </row>
    <row r="3125">
      <c r="C3125" s="72"/>
      <c r="G3125" s="77"/>
      <c r="H3125" s="77"/>
    </row>
    <row r="3126">
      <c r="C3126" s="72"/>
      <c r="G3126" s="77"/>
      <c r="H3126" s="77"/>
    </row>
    <row r="3127">
      <c r="C3127" s="72"/>
      <c r="G3127" s="77"/>
      <c r="H3127" s="77"/>
    </row>
    <row r="3128">
      <c r="C3128" s="72"/>
      <c r="G3128" s="77"/>
      <c r="H3128" s="77"/>
    </row>
    <row r="3129">
      <c r="C3129" s="72"/>
      <c r="G3129" s="77"/>
      <c r="H3129" s="77"/>
    </row>
    <row r="3130">
      <c r="C3130" s="72"/>
      <c r="G3130" s="77"/>
      <c r="H3130" s="77"/>
    </row>
    <row r="3131">
      <c r="C3131" s="72"/>
      <c r="G3131" s="77"/>
      <c r="H3131" s="77"/>
    </row>
    <row r="3132">
      <c r="C3132" s="72"/>
      <c r="G3132" s="77"/>
      <c r="H3132" s="77"/>
    </row>
    <row r="3133">
      <c r="C3133" s="72"/>
      <c r="G3133" s="77"/>
      <c r="H3133" s="77"/>
    </row>
    <row r="3134">
      <c r="C3134" s="72"/>
      <c r="G3134" s="77"/>
      <c r="H3134" s="77"/>
    </row>
    <row r="3135">
      <c r="C3135" s="72"/>
      <c r="G3135" s="77"/>
      <c r="H3135" s="77"/>
    </row>
    <row r="3136">
      <c r="C3136" s="72"/>
      <c r="G3136" s="77"/>
      <c r="H3136" s="77"/>
    </row>
    <row r="3137">
      <c r="C3137" s="72"/>
      <c r="G3137" s="77"/>
      <c r="H3137" s="77"/>
    </row>
    <row r="3138">
      <c r="C3138" s="72"/>
      <c r="G3138" s="77"/>
      <c r="H3138" s="77"/>
    </row>
    <row r="3139">
      <c r="C3139" s="72"/>
      <c r="G3139" s="77"/>
      <c r="H3139" s="77"/>
    </row>
    <row r="3140">
      <c r="C3140" s="72"/>
      <c r="G3140" s="77"/>
      <c r="H3140" s="77"/>
    </row>
    <row r="3141">
      <c r="C3141" s="72"/>
      <c r="G3141" s="77"/>
      <c r="H3141" s="77"/>
    </row>
    <row r="3142">
      <c r="C3142" s="72"/>
      <c r="G3142" s="77"/>
      <c r="H3142" s="77"/>
    </row>
    <row r="3143">
      <c r="C3143" s="72"/>
      <c r="G3143" s="77"/>
      <c r="H3143" s="77"/>
    </row>
    <row r="3144">
      <c r="C3144" s="72"/>
      <c r="G3144" s="77"/>
      <c r="H3144" s="77"/>
    </row>
    <row r="3145">
      <c r="C3145" s="72"/>
      <c r="G3145" s="77"/>
      <c r="H3145" s="77"/>
    </row>
    <row r="3146">
      <c r="C3146" s="72"/>
      <c r="G3146" s="77"/>
      <c r="H3146" s="77"/>
    </row>
    <row r="3147">
      <c r="C3147" s="72"/>
      <c r="G3147" s="77"/>
      <c r="H3147" s="77"/>
    </row>
    <row r="3148">
      <c r="C3148" s="72"/>
      <c r="G3148" s="77"/>
      <c r="H3148" s="77"/>
    </row>
    <row r="3149">
      <c r="C3149" s="72"/>
      <c r="G3149" s="77"/>
      <c r="H3149" s="77"/>
    </row>
    <row r="3150">
      <c r="C3150" s="72"/>
      <c r="G3150" s="77"/>
      <c r="H3150" s="77"/>
    </row>
    <row r="3151">
      <c r="C3151" s="72"/>
      <c r="G3151" s="77"/>
      <c r="H3151" s="77"/>
    </row>
    <row r="3152">
      <c r="C3152" s="72"/>
      <c r="G3152" s="77"/>
      <c r="H3152" s="77"/>
    </row>
    <row r="3153">
      <c r="C3153" s="72"/>
      <c r="G3153" s="77"/>
      <c r="H3153" s="77"/>
    </row>
    <row r="3154">
      <c r="C3154" s="72"/>
      <c r="G3154" s="77"/>
      <c r="H3154" s="77"/>
    </row>
    <row r="3155">
      <c r="C3155" s="72"/>
      <c r="G3155" s="77"/>
      <c r="H3155" s="77"/>
    </row>
    <row r="3156">
      <c r="C3156" s="72"/>
      <c r="G3156" s="77"/>
      <c r="H3156" s="77"/>
    </row>
    <row r="3157">
      <c r="C3157" s="72"/>
      <c r="G3157" s="77"/>
      <c r="H3157" s="77"/>
    </row>
    <row r="3158">
      <c r="C3158" s="72"/>
      <c r="G3158" s="77"/>
      <c r="H3158" s="77"/>
    </row>
    <row r="3159">
      <c r="C3159" s="72"/>
      <c r="G3159" s="77"/>
      <c r="H3159" s="77"/>
    </row>
    <row r="3160">
      <c r="C3160" s="72"/>
      <c r="G3160" s="77"/>
      <c r="H3160" s="77"/>
    </row>
    <row r="3161">
      <c r="C3161" s="72"/>
      <c r="G3161" s="77"/>
      <c r="H3161" s="77"/>
    </row>
    <row r="3162">
      <c r="C3162" s="72"/>
      <c r="G3162" s="77"/>
      <c r="H3162" s="77"/>
    </row>
    <row r="3163">
      <c r="C3163" s="72"/>
      <c r="G3163" s="77"/>
      <c r="H3163" s="77"/>
    </row>
    <row r="3164">
      <c r="C3164" s="72"/>
      <c r="G3164" s="77"/>
      <c r="H3164" s="77"/>
    </row>
    <row r="3165">
      <c r="C3165" s="72"/>
      <c r="G3165" s="77"/>
      <c r="H3165" s="77"/>
    </row>
    <row r="3166">
      <c r="C3166" s="72"/>
      <c r="G3166" s="77"/>
      <c r="H3166" s="77"/>
    </row>
    <row r="3167">
      <c r="C3167" s="72"/>
      <c r="G3167" s="77"/>
      <c r="H3167" s="77"/>
    </row>
    <row r="3168">
      <c r="C3168" s="72"/>
      <c r="G3168" s="77"/>
      <c r="H3168" s="77"/>
    </row>
    <row r="3169">
      <c r="C3169" s="72"/>
      <c r="G3169" s="77"/>
      <c r="H3169" s="77"/>
    </row>
    <row r="3170">
      <c r="C3170" s="72"/>
      <c r="G3170" s="77"/>
      <c r="H3170" s="77"/>
    </row>
    <row r="3171">
      <c r="C3171" s="72"/>
      <c r="G3171" s="77"/>
      <c r="H3171" s="77"/>
    </row>
    <row r="3172">
      <c r="C3172" s="72"/>
      <c r="G3172" s="77"/>
      <c r="H3172" s="77"/>
    </row>
    <row r="3173">
      <c r="C3173" s="72"/>
      <c r="G3173" s="77"/>
      <c r="H3173" s="77"/>
    </row>
    <row r="3174">
      <c r="C3174" s="72"/>
      <c r="G3174" s="77"/>
      <c r="H3174" s="77"/>
    </row>
    <row r="3175">
      <c r="C3175" s="72"/>
      <c r="G3175" s="77"/>
      <c r="H3175" s="77"/>
    </row>
    <row r="3176">
      <c r="C3176" s="72"/>
      <c r="G3176" s="77"/>
      <c r="H3176" s="77"/>
    </row>
    <row r="3177">
      <c r="C3177" s="72"/>
      <c r="G3177" s="77"/>
      <c r="H3177" s="77"/>
    </row>
    <row r="3178">
      <c r="C3178" s="72"/>
      <c r="G3178" s="77"/>
      <c r="H3178" s="77"/>
    </row>
    <row r="3179">
      <c r="C3179" s="72"/>
      <c r="G3179" s="77"/>
      <c r="H3179" s="77"/>
    </row>
    <row r="3180">
      <c r="C3180" s="72"/>
      <c r="G3180" s="77"/>
      <c r="H3180" s="77"/>
    </row>
    <row r="3181">
      <c r="C3181" s="72"/>
      <c r="G3181" s="77"/>
      <c r="H3181" s="77"/>
    </row>
    <row r="3182">
      <c r="C3182" s="72"/>
      <c r="G3182" s="77"/>
      <c r="H3182" s="77"/>
    </row>
    <row r="3183">
      <c r="C3183" s="72"/>
      <c r="G3183" s="77"/>
      <c r="H3183" s="77"/>
    </row>
    <row r="3184">
      <c r="C3184" s="72"/>
      <c r="G3184" s="77"/>
      <c r="H3184" s="77"/>
    </row>
    <row r="3185">
      <c r="C3185" s="72"/>
      <c r="G3185" s="77"/>
      <c r="H3185" s="77"/>
    </row>
    <row r="3186">
      <c r="C3186" s="72"/>
      <c r="G3186" s="77"/>
      <c r="H3186" s="77"/>
    </row>
    <row r="3187">
      <c r="C3187" s="72"/>
      <c r="G3187" s="77"/>
      <c r="H3187" s="77"/>
    </row>
    <row r="3188">
      <c r="C3188" s="72"/>
      <c r="G3188" s="77"/>
      <c r="H3188" s="77"/>
    </row>
    <row r="3189">
      <c r="C3189" s="72"/>
      <c r="G3189" s="77"/>
      <c r="H3189" s="77"/>
    </row>
    <row r="3190">
      <c r="C3190" s="72"/>
      <c r="G3190" s="77"/>
      <c r="H3190" s="77"/>
    </row>
    <row r="3191">
      <c r="C3191" s="72"/>
      <c r="G3191" s="77"/>
      <c r="H3191" s="77"/>
    </row>
    <row r="3192">
      <c r="C3192" s="72"/>
      <c r="G3192" s="77"/>
      <c r="H3192" s="77"/>
    </row>
    <row r="3193">
      <c r="C3193" s="72"/>
      <c r="G3193" s="77"/>
      <c r="H3193" s="77"/>
    </row>
    <row r="3194">
      <c r="C3194" s="72"/>
      <c r="G3194" s="77"/>
      <c r="H3194" s="77"/>
    </row>
    <row r="3195">
      <c r="C3195" s="72"/>
      <c r="G3195" s="77"/>
      <c r="H3195" s="77"/>
    </row>
    <row r="3196">
      <c r="C3196" s="72"/>
      <c r="G3196" s="77"/>
      <c r="H3196" s="77"/>
    </row>
    <row r="3197">
      <c r="C3197" s="72"/>
      <c r="G3197" s="77"/>
      <c r="H3197" s="77"/>
    </row>
    <row r="3198">
      <c r="C3198" s="72"/>
      <c r="G3198" s="77"/>
      <c r="H3198" s="77"/>
    </row>
    <row r="3199">
      <c r="C3199" s="72"/>
      <c r="G3199" s="77"/>
      <c r="H3199" s="77"/>
    </row>
    <row r="3200">
      <c r="C3200" s="72"/>
      <c r="G3200" s="77"/>
      <c r="H3200" s="77"/>
    </row>
    <row r="3201">
      <c r="C3201" s="72"/>
      <c r="G3201" s="77"/>
      <c r="H3201" s="77"/>
    </row>
    <row r="3202">
      <c r="C3202" s="72"/>
      <c r="G3202" s="77"/>
      <c r="H3202" s="77"/>
    </row>
    <row r="3203">
      <c r="C3203" s="72"/>
      <c r="G3203" s="77"/>
      <c r="H3203" s="77"/>
    </row>
    <row r="3204">
      <c r="C3204" s="72"/>
      <c r="G3204" s="77"/>
      <c r="H3204" s="77"/>
    </row>
    <row r="3205">
      <c r="C3205" s="72"/>
      <c r="G3205" s="77"/>
      <c r="H3205" s="77"/>
    </row>
    <row r="3206">
      <c r="C3206" s="72"/>
      <c r="G3206" s="77"/>
      <c r="H3206" s="77"/>
    </row>
    <row r="3207">
      <c r="C3207" s="72"/>
      <c r="G3207" s="77"/>
      <c r="H3207" s="77"/>
    </row>
    <row r="3208">
      <c r="C3208" s="72"/>
      <c r="G3208" s="77"/>
      <c r="H3208" s="77"/>
    </row>
    <row r="3209">
      <c r="C3209" s="72"/>
      <c r="G3209" s="77"/>
      <c r="H3209" s="77"/>
    </row>
    <row r="3210">
      <c r="C3210" s="72"/>
      <c r="G3210" s="77"/>
      <c r="H3210" s="77"/>
    </row>
    <row r="3211">
      <c r="C3211" s="72"/>
      <c r="G3211" s="77"/>
      <c r="H3211" s="77"/>
    </row>
    <row r="3212">
      <c r="C3212" s="72"/>
      <c r="G3212" s="77"/>
      <c r="H3212" s="77"/>
    </row>
    <row r="3213">
      <c r="C3213" s="72"/>
      <c r="G3213" s="77"/>
      <c r="H3213" s="77"/>
    </row>
    <row r="3214">
      <c r="C3214" s="72"/>
      <c r="G3214" s="77"/>
      <c r="H3214" s="77"/>
    </row>
    <row r="3215">
      <c r="C3215" s="72"/>
      <c r="G3215" s="77"/>
      <c r="H3215" s="77"/>
    </row>
    <row r="3216">
      <c r="C3216" s="72"/>
      <c r="G3216" s="77"/>
      <c r="H3216" s="77"/>
    </row>
    <row r="3217">
      <c r="C3217" s="72"/>
      <c r="G3217" s="77"/>
      <c r="H3217" s="77"/>
    </row>
    <row r="3218">
      <c r="C3218" s="72"/>
      <c r="G3218" s="77"/>
      <c r="H3218" s="77"/>
    </row>
    <row r="3219">
      <c r="C3219" s="72"/>
      <c r="G3219" s="77"/>
      <c r="H3219" s="77"/>
    </row>
    <row r="3220">
      <c r="C3220" s="72"/>
      <c r="G3220" s="77"/>
      <c r="H3220" s="77"/>
    </row>
    <row r="3221">
      <c r="C3221" s="72"/>
      <c r="G3221" s="77"/>
      <c r="H3221" s="77"/>
    </row>
    <row r="3222">
      <c r="C3222" s="72"/>
      <c r="G3222" s="77"/>
      <c r="H3222" s="77"/>
    </row>
    <row r="3223">
      <c r="C3223" s="72"/>
      <c r="G3223" s="77"/>
      <c r="H3223" s="77"/>
    </row>
    <row r="3224">
      <c r="C3224" s="72"/>
      <c r="G3224" s="77"/>
      <c r="H3224" s="77"/>
    </row>
    <row r="3225">
      <c r="C3225" s="72"/>
      <c r="G3225" s="77"/>
      <c r="H3225" s="77"/>
    </row>
    <row r="3226">
      <c r="C3226" s="72"/>
      <c r="G3226" s="77"/>
      <c r="H3226" s="77"/>
    </row>
    <row r="3227">
      <c r="C3227" s="72"/>
      <c r="G3227" s="77"/>
      <c r="H3227" s="77"/>
    </row>
    <row r="3228">
      <c r="C3228" s="72"/>
      <c r="G3228" s="77"/>
      <c r="H3228" s="77"/>
    </row>
    <row r="3229">
      <c r="C3229" s="72"/>
      <c r="G3229" s="77"/>
      <c r="H3229" s="77"/>
    </row>
    <row r="3230">
      <c r="C3230" s="72"/>
      <c r="G3230" s="77"/>
      <c r="H3230" s="77"/>
    </row>
    <row r="3231">
      <c r="C3231" s="72"/>
      <c r="G3231" s="77"/>
      <c r="H3231" s="77"/>
    </row>
    <row r="3232">
      <c r="C3232" s="72"/>
      <c r="G3232" s="77"/>
      <c r="H3232" s="77"/>
    </row>
    <row r="3233">
      <c r="C3233" s="72"/>
      <c r="G3233" s="77"/>
      <c r="H3233" s="77"/>
    </row>
    <row r="3234">
      <c r="C3234" s="72"/>
      <c r="G3234" s="77"/>
      <c r="H3234" s="77"/>
    </row>
    <row r="3235">
      <c r="C3235" s="72"/>
      <c r="G3235" s="77"/>
      <c r="H3235" s="77"/>
    </row>
    <row r="3236">
      <c r="C3236" s="72"/>
      <c r="G3236" s="77"/>
      <c r="H3236" s="77"/>
    </row>
    <row r="3237">
      <c r="C3237" s="72"/>
      <c r="G3237" s="77"/>
      <c r="H3237" s="77"/>
    </row>
    <row r="3238">
      <c r="C3238" s="72"/>
      <c r="G3238" s="77"/>
      <c r="H3238" s="77"/>
    </row>
    <row r="3239">
      <c r="C3239" s="72"/>
      <c r="G3239" s="77"/>
      <c r="H3239" s="77"/>
    </row>
    <row r="3240">
      <c r="C3240" s="72"/>
      <c r="G3240" s="77"/>
      <c r="H3240" s="77"/>
    </row>
    <row r="3241">
      <c r="C3241" s="72"/>
      <c r="G3241" s="77"/>
      <c r="H3241" s="77"/>
    </row>
    <row r="3242">
      <c r="C3242" s="72"/>
      <c r="G3242" s="77"/>
      <c r="H3242" s="77"/>
    </row>
    <row r="3243">
      <c r="C3243" s="72"/>
      <c r="G3243" s="77"/>
      <c r="H3243" s="77"/>
    </row>
    <row r="3244">
      <c r="C3244" s="72"/>
      <c r="G3244" s="77"/>
      <c r="H3244" s="77"/>
    </row>
    <row r="3245">
      <c r="C3245" s="72"/>
      <c r="G3245" s="77"/>
      <c r="H3245" s="77"/>
    </row>
    <row r="3246">
      <c r="C3246" s="72"/>
      <c r="G3246" s="77"/>
      <c r="H3246" s="77"/>
    </row>
    <row r="3247">
      <c r="C3247" s="72"/>
      <c r="G3247" s="77"/>
      <c r="H3247" s="77"/>
    </row>
    <row r="3248">
      <c r="C3248" s="72"/>
      <c r="G3248" s="77"/>
      <c r="H3248" s="77"/>
    </row>
    <row r="3249">
      <c r="C3249" s="72"/>
      <c r="G3249" s="77"/>
      <c r="H3249" s="77"/>
    </row>
    <row r="3250">
      <c r="C3250" s="72"/>
      <c r="G3250" s="77"/>
      <c r="H3250" s="77"/>
    </row>
    <row r="3251">
      <c r="C3251" s="72"/>
      <c r="G3251" s="77"/>
      <c r="H3251" s="77"/>
    </row>
    <row r="3252">
      <c r="C3252" s="72"/>
      <c r="G3252" s="77"/>
      <c r="H3252" s="77"/>
    </row>
    <row r="3253">
      <c r="C3253" s="72"/>
      <c r="G3253" s="77"/>
      <c r="H3253" s="77"/>
    </row>
    <row r="3254">
      <c r="C3254" s="72"/>
      <c r="G3254" s="77"/>
      <c r="H3254" s="77"/>
    </row>
    <row r="3255">
      <c r="C3255" s="72"/>
      <c r="G3255" s="77"/>
      <c r="H3255" s="77"/>
    </row>
    <row r="3256">
      <c r="C3256" s="72"/>
      <c r="G3256" s="77"/>
      <c r="H3256" s="77"/>
    </row>
    <row r="3257">
      <c r="C3257" s="72"/>
      <c r="G3257" s="77"/>
      <c r="H3257" s="77"/>
    </row>
    <row r="3258">
      <c r="C3258" s="72"/>
      <c r="G3258" s="77"/>
      <c r="H3258" s="77"/>
    </row>
    <row r="3259">
      <c r="C3259" s="72"/>
      <c r="G3259" s="77"/>
      <c r="H3259" s="77"/>
    </row>
    <row r="3260">
      <c r="C3260" s="72"/>
      <c r="G3260" s="77"/>
      <c r="H3260" s="77"/>
    </row>
    <row r="3261">
      <c r="C3261" s="72"/>
      <c r="G3261" s="77"/>
      <c r="H3261" s="77"/>
    </row>
    <row r="3262">
      <c r="C3262" s="72"/>
      <c r="G3262" s="77"/>
      <c r="H3262" s="77"/>
    </row>
    <row r="3263">
      <c r="C3263" s="72"/>
      <c r="G3263" s="77"/>
      <c r="H3263" s="77"/>
    </row>
    <row r="3264">
      <c r="C3264" s="72"/>
      <c r="G3264" s="77"/>
      <c r="H3264" s="77"/>
    </row>
    <row r="3265">
      <c r="C3265" s="72"/>
      <c r="G3265" s="77"/>
      <c r="H3265" s="77"/>
    </row>
    <row r="3266">
      <c r="C3266" s="72"/>
      <c r="G3266" s="77"/>
      <c r="H3266" s="77"/>
    </row>
    <row r="3267">
      <c r="C3267" s="72"/>
      <c r="G3267" s="77"/>
      <c r="H3267" s="77"/>
    </row>
    <row r="3268">
      <c r="C3268" s="72"/>
      <c r="G3268" s="77"/>
      <c r="H3268" s="77"/>
    </row>
    <row r="3269">
      <c r="C3269" s="72"/>
      <c r="G3269" s="77"/>
      <c r="H3269" s="77"/>
    </row>
    <row r="3270">
      <c r="C3270" s="72"/>
      <c r="G3270" s="77"/>
      <c r="H3270" s="77"/>
    </row>
    <row r="3271">
      <c r="C3271" s="72"/>
      <c r="G3271" s="77"/>
      <c r="H3271" s="77"/>
    </row>
    <row r="3272">
      <c r="C3272" s="72"/>
      <c r="G3272" s="77"/>
      <c r="H3272" s="77"/>
    </row>
    <row r="3273">
      <c r="C3273" s="72"/>
      <c r="G3273" s="77"/>
      <c r="H3273" s="77"/>
    </row>
    <row r="3274">
      <c r="C3274" s="72"/>
      <c r="G3274" s="77"/>
      <c r="H3274" s="77"/>
    </row>
    <row r="3275">
      <c r="C3275" s="72"/>
      <c r="G3275" s="77"/>
      <c r="H3275" s="77"/>
    </row>
    <row r="3276">
      <c r="C3276" s="72"/>
      <c r="G3276" s="77"/>
      <c r="H3276" s="77"/>
    </row>
    <row r="3277">
      <c r="C3277" s="72"/>
      <c r="G3277" s="77"/>
      <c r="H3277" s="77"/>
    </row>
    <row r="3278">
      <c r="C3278" s="72"/>
      <c r="G3278" s="77"/>
      <c r="H3278" s="77"/>
    </row>
    <row r="3279">
      <c r="C3279" s="72"/>
      <c r="G3279" s="77"/>
      <c r="H3279" s="77"/>
    </row>
    <row r="3280">
      <c r="C3280" s="72"/>
      <c r="G3280" s="77"/>
      <c r="H3280" s="77"/>
    </row>
    <row r="3281">
      <c r="C3281" s="72"/>
      <c r="G3281" s="77"/>
      <c r="H3281" s="77"/>
    </row>
    <row r="3282">
      <c r="C3282" s="72"/>
      <c r="G3282" s="77"/>
      <c r="H3282" s="77"/>
    </row>
    <row r="3283">
      <c r="C3283" s="72"/>
      <c r="G3283" s="77"/>
      <c r="H3283" s="77"/>
    </row>
    <row r="3284">
      <c r="C3284" s="72"/>
      <c r="G3284" s="77"/>
      <c r="H3284" s="77"/>
    </row>
    <row r="3285">
      <c r="C3285" s="72"/>
      <c r="G3285" s="77"/>
      <c r="H3285" s="77"/>
    </row>
    <row r="3286">
      <c r="C3286" s="72"/>
      <c r="G3286" s="77"/>
      <c r="H3286" s="77"/>
    </row>
    <row r="3287">
      <c r="C3287" s="72"/>
      <c r="G3287" s="77"/>
      <c r="H3287" s="77"/>
    </row>
    <row r="3288">
      <c r="C3288" s="72"/>
      <c r="G3288" s="77"/>
      <c r="H3288" s="77"/>
    </row>
    <row r="3289">
      <c r="C3289" s="72"/>
      <c r="G3289" s="77"/>
      <c r="H3289" s="77"/>
    </row>
    <row r="3290">
      <c r="C3290" s="72"/>
      <c r="G3290" s="77"/>
      <c r="H3290" s="77"/>
    </row>
    <row r="3291">
      <c r="C3291" s="72"/>
      <c r="G3291" s="77"/>
      <c r="H3291" s="77"/>
    </row>
    <row r="3292">
      <c r="C3292" s="72"/>
      <c r="G3292" s="77"/>
      <c r="H3292" s="77"/>
    </row>
    <row r="3293">
      <c r="C3293" s="72"/>
      <c r="G3293" s="77"/>
      <c r="H3293" s="77"/>
    </row>
    <row r="3294">
      <c r="C3294" s="72"/>
      <c r="G3294" s="77"/>
      <c r="H3294" s="77"/>
    </row>
    <row r="3295">
      <c r="C3295" s="72"/>
      <c r="G3295" s="77"/>
      <c r="H3295" s="77"/>
    </row>
    <row r="3296">
      <c r="C3296" s="72"/>
      <c r="G3296" s="77"/>
      <c r="H3296" s="77"/>
    </row>
    <row r="3297">
      <c r="C3297" s="72"/>
      <c r="G3297" s="77"/>
      <c r="H3297" s="77"/>
    </row>
    <row r="3298">
      <c r="C3298" s="72"/>
      <c r="G3298" s="77"/>
      <c r="H3298" s="77"/>
    </row>
    <row r="3299">
      <c r="C3299" s="72"/>
      <c r="G3299" s="77"/>
      <c r="H3299" s="77"/>
    </row>
    <row r="3300">
      <c r="C3300" s="72"/>
      <c r="G3300" s="77"/>
      <c r="H3300" s="77"/>
    </row>
    <row r="3301">
      <c r="C3301" s="72"/>
      <c r="G3301" s="77"/>
      <c r="H3301" s="77"/>
    </row>
    <row r="3302">
      <c r="C3302" s="72"/>
      <c r="G3302" s="77"/>
      <c r="H3302" s="77"/>
    </row>
    <row r="3303">
      <c r="C3303" s="72"/>
      <c r="G3303" s="77"/>
      <c r="H3303" s="77"/>
    </row>
    <row r="3304">
      <c r="C3304" s="72"/>
      <c r="G3304" s="77"/>
      <c r="H3304" s="77"/>
    </row>
    <row r="3305">
      <c r="C3305" s="72"/>
      <c r="G3305" s="77"/>
      <c r="H3305" s="77"/>
    </row>
    <row r="3306">
      <c r="C3306" s="72"/>
      <c r="G3306" s="77"/>
      <c r="H3306" s="77"/>
    </row>
    <row r="3307">
      <c r="C3307" s="72"/>
      <c r="G3307" s="77"/>
      <c r="H3307" s="77"/>
    </row>
    <row r="3308">
      <c r="C3308" s="72"/>
      <c r="G3308" s="77"/>
      <c r="H3308" s="77"/>
    </row>
    <row r="3309">
      <c r="C3309" s="72"/>
      <c r="G3309" s="77"/>
      <c r="H3309" s="77"/>
    </row>
    <row r="3310">
      <c r="C3310" s="72"/>
      <c r="G3310" s="77"/>
      <c r="H3310" s="77"/>
    </row>
    <row r="3311">
      <c r="C3311" s="72"/>
      <c r="G3311" s="77"/>
      <c r="H3311" s="77"/>
    </row>
    <row r="3312">
      <c r="C3312" s="72"/>
      <c r="G3312" s="77"/>
      <c r="H3312" s="77"/>
    </row>
    <row r="3313">
      <c r="C3313" s="72"/>
      <c r="G3313" s="77"/>
      <c r="H3313" s="77"/>
    </row>
    <row r="3314">
      <c r="C3314" s="72"/>
      <c r="G3314" s="77"/>
      <c r="H3314" s="77"/>
    </row>
    <row r="3315">
      <c r="C3315" s="72"/>
      <c r="G3315" s="77"/>
      <c r="H3315" s="77"/>
    </row>
    <row r="3316">
      <c r="C3316" s="72"/>
      <c r="G3316" s="77"/>
      <c r="H3316" s="77"/>
    </row>
    <row r="3317">
      <c r="C3317" s="72"/>
      <c r="G3317" s="77"/>
      <c r="H3317" s="77"/>
    </row>
    <row r="3318">
      <c r="C3318" s="72"/>
      <c r="G3318" s="77"/>
      <c r="H3318" s="77"/>
    </row>
    <row r="3319">
      <c r="C3319" s="72"/>
      <c r="G3319" s="77"/>
      <c r="H3319" s="77"/>
    </row>
    <row r="3320">
      <c r="C3320" s="72"/>
      <c r="G3320" s="77"/>
      <c r="H3320" s="77"/>
    </row>
    <row r="3321">
      <c r="C3321" s="72"/>
      <c r="G3321" s="77"/>
      <c r="H3321" s="77"/>
    </row>
    <row r="3322">
      <c r="C3322" s="72"/>
      <c r="G3322" s="77"/>
      <c r="H3322" s="77"/>
    </row>
    <row r="3323">
      <c r="C3323" s="72"/>
      <c r="G3323" s="77"/>
      <c r="H3323" s="77"/>
    </row>
    <row r="3324">
      <c r="C3324" s="72"/>
      <c r="G3324" s="77"/>
      <c r="H3324" s="77"/>
    </row>
    <row r="3325">
      <c r="C3325" s="72"/>
      <c r="G3325" s="77"/>
      <c r="H3325" s="77"/>
    </row>
    <row r="3326">
      <c r="C3326" s="72"/>
      <c r="G3326" s="77"/>
      <c r="H3326" s="77"/>
    </row>
    <row r="3327">
      <c r="C3327" s="72"/>
      <c r="G3327" s="77"/>
      <c r="H3327" s="77"/>
    </row>
    <row r="3328">
      <c r="C3328" s="72"/>
      <c r="G3328" s="77"/>
      <c r="H3328" s="77"/>
    </row>
    <row r="3329">
      <c r="C3329" s="72"/>
      <c r="G3329" s="77"/>
      <c r="H3329" s="77"/>
    </row>
    <row r="3330">
      <c r="C3330" s="72"/>
      <c r="G3330" s="77"/>
      <c r="H3330" s="77"/>
    </row>
    <row r="3331">
      <c r="C3331" s="72"/>
      <c r="G3331" s="77"/>
      <c r="H3331" s="77"/>
    </row>
    <row r="3332">
      <c r="C3332" s="72"/>
      <c r="G3332" s="77"/>
      <c r="H3332" s="77"/>
    </row>
    <row r="3333">
      <c r="C3333" s="72"/>
      <c r="G3333" s="77"/>
      <c r="H3333" s="77"/>
    </row>
    <row r="3334">
      <c r="C3334" s="72"/>
      <c r="G3334" s="77"/>
      <c r="H3334" s="77"/>
    </row>
    <row r="3335">
      <c r="C3335" s="72"/>
      <c r="G3335" s="77"/>
      <c r="H3335" s="77"/>
    </row>
    <row r="3336">
      <c r="C3336" s="72"/>
      <c r="G3336" s="77"/>
      <c r="H3336" s="77"/>
    </row>
    <row r="3337">
      <c r="C3337" s="72"/>
      <c r="G3337" s="77"/>
      <c r="H3337" s="77"/>
    </row>
    <row r="3338">
      <c r="C3338" s="72"/>
      <c r="G3338" s="77"/>
      <c r="H3338" s="77"/>
    </row>
    <row r="3339">
      <c r="C3339" s="72"/>
      <c r="G3339" s="77"/>
      <c r="H3339" s="77"/>
    </row>
    <row r="3340">
      <c r="C3340" s="72"/>
      <c r="G3340" s="77"/>
      <c r="H3340" s="77"/>
    </row>
    <row r="3341">
      <c r="C3341" s="72"/>
      <c r="G3341" s="77"/>
      <c r="H3341" s="77"/>
    </row>
    <row r="3342">
      <c r="C3342" s="72"/>
      <c r="G3342" s="77"/>
      <c r="H3342" s="77"/>
    </row>
    <row r="3343">
      <c r="C3343" s="72"/>
      <c r="G3343" s="77"/>
      <c r="H3343" s="77"/>
    </row>
    <row r="3344">
      <c r="C3344" s="72"/>
      <c r="G3344" s="77"/>
      <c r="H3344" s="77"/>
    </row>
    <row r="3345">
      <c r="C3345" s="72"/>
      <c r="G3345" s="77"/>
      <c r="H3345" s="77"/>
    </row>
    <row r="3346">
      <c r="C3346" s="72"/>
      <c r="G3346" s="77"/>
      <c r="H3346" s="77"/>
    </row>
    <row r="3347">
      <c r="C3347" s="72"/>
      <c r="G3347" s="77"/>
      <c r="H3347" s="77"/>
    </row>
    <row r="3348">
      <c r="C3348" s="72"/>
      <c r="G3348" s="77"/>
      <c r="H3348" s="77"/>
    </row>
    <row r="3349">
      <c r="C3349" s="72"/>
      <c r="G3349" s="77"/>
      <c r="H3349" s="77"/>
    </row>
    <row r="3350">
      <c r="C3350" s="72"/>
      <c r="G3350" s="77"/>
      <c r="H3350" s="77"/>
    </row>
    <row r="3351">
      <c r="C3351" s="72"/>
      <c r="G3351" s="77"/>
      <c r="H3351" s="77"/>
    </row>
    <row r="3352">
      <c r="C3352" s="72"/>
      <c r="G3352" s="77"/>
      <c r="H3352" s="77"/>
    </row>
    <row r="3353">
      <c r="C3353" s="72"/>
      <c r="G3353" s="77"/>
      <c r="H3353" s="77"/>
    </row>
    <row r="3354">
      <c r="C3354" s="72"/>
      <c r="G3354" s="77"/>
      <c r="H3354" s="77"/>
    </row>
    <row r="3355">
      <c r="C3355" s="72"/>
      <c r="G3355" s="77"/>
      <c r="H3355" s="77"/>
    </row>
    <row r="3356">
      <c r="C3356" s="72"/>
      <c r="G3356" s="77"/>
      <c r="H3356" s="77"/>
    </row>
    <row r="3357">
      <c r="C3357" s="72"/>
      <c r="G3357" s="77"/>
      <c r="H3357" s="77"/>
    </row>
    <row r="3358">
      <c r="C3358" s="72"/>
      <c r="G3358" s="77"/>
      <c r="H3358" s="77"/>
    </row>
    <row r="3359">
      <c r="C3359" s="72"/>
      <c r="G3359" s="77"/>
      <c r="H3359" s="77"/>
    </row>
    <row r="3360">
      <c r="C3360" s="72"/>
      <c r="G3360" s="77"/>
      <c r="H3360" s="77"/>
    </row>
    <row r="3361">
      <c r="C3361" s="72"/>
      <c r="G3361" s="77"/>
      <c r="H3361" s="77"/>
    </row>
    <row r="3362">
      <c r="C3362" s="72"/>
      <c r="G3362" s="77"/>
      <c r="H3362" s="77"/>
    </row>
    <row r="3363">
      <c r="C3363" s="72"/>
      <c r="G3363" s="77"/>
      <c r="H3363" s="77"/>
    </row>
    <row r="3364">
      <c r="C3364" s="72"/>
      <c r="G3364" s="77"/>
      <c r="H3364" s="77"/>
    </row>
    <row r="3365">
      <c r="C3365" s="72"/>
      <c r="G3365" s="77"/>
      <c r="H3365" s="77"/>
    </row>
    <row r="3366">
      <c r="C3366" s="72"/>
      <c r="G3366" s="77"/>
      <c r="H3366" s="77"/>
    </row>
    <row r="3367">
      <c r="C3367" s="72"/>
      <c r="G3367" s="77"/>
      <c r="H3367" s="77"/>
    </row>
    <row r="3368">
      <c r="C3368" s="72"/>
      <c r="G3368" s="77"/>
      <c r="H3368" s="77"/>
    </row>
    <row r="3369">
      <c r="C3369" s="72"/>
      <c r="G3369" s="77"/>
      <c r="H3369" s="77"/>
    </row>
    <row r="3370">
      <c r="C3370" s="72"/>
      <c r="G3370" s="77"/>
      <c r="H3370" s="77"/>
    </row>
    <row r="3371">
      <c r="C3371" s="72"/>
      <c r="G3371" s="77"/>
      <c r="H3371" s="77"/>
    </row>
    <row r="3372">
      <c r="C3372" s="72"/>
      <c r="G3372" s="77"/>
      <c r="H3372" s="77"/>
    </row>
    <row r="3373">
      <c r="C3373" s="72"/>
      <c r="G3373" s="77"/>
      <c r="H3373" s="77"/>
    </row>
    <row r="3374">
      <c r="C3374" s="72"/>
      <c r="G3374" s="77"/>
      <c r="H3374" s="77"/>
    </row>
    <row r="3375">
      <c r="C3375" s="72"/>
      <c r="G3375" s="77"/>
      <c r="H3375" s="77"/>
    </row>
    <row r="3376">
      <c r="C3376" s="72"/>
      <c r="G3376" s="77"/>
      <c r="H3376" s="77"/>
    </row>
    <row r="3377">
      <c r="C3377" s="72"/>
      <c r="G3377" s="77"/>
      <c r="H3377" s="77"/>
    </row>
    <row r="3378">
      <c r="C3378" s="72"/>
      <c r="G3378" s="77"/>
      <c r="H3378" s="77"/>
    </row>
    <row r="3379">
      <c r="C3379" s="72"/>
      <c r="G3379" s="77"/>
      <c r="H3379" s="77"/>
    </row>
    <row r="3380">
      <c r="C3380" s="72"/>
      <c r="G3380" s="77"/>
      <c r="H3380" s="77"/>
    </row>
    <row r="3381">
      <c r="C3381" s="72"/>
      <c r="G3381" s="77"/>
      <c r="H3381" s="77"/>
    </row>
    <row r="3382">
      <c r="C3382" s="72"/>
      <c r="G3382" s="77"/>
      <c r="H3382" s="77"/>
    </row>
    <row r="3383">
      <c r="C3383" s="72"/>
      <c r="G3383" s="77"/>
      <c r="H3383" s="77"/>
    </row>
    <row r="3384">
      <c r="C3384" s="72"/>
      <c r="G3384" s="77"/>
      <c r="H3384" s="77"/>
    </row>
    <row r="3385">
      <c r="C3385" s="72"/>
      <c r="G3385" s="77"/>
      <c r="H3385" s="77"/>
    </row>
    <row r="3386">
      <c r="C3386" s="72"/>
      <c r="G3386" s="77"/>
      <c r="H3386" s="77"/>
    </row>
    <row r="3387">
      <c r="C3387" s="72"/>
      <c r="G3387" s="77"/>
      <c r="H3387" s="77"/>
    </row>
    <row r="3388">
      <c r="C3388" s="72"/>
      <c r="G3388" s="77"/>
      <c r="H3388" s="77"/>
    </row>
    <row r="3389">
      <c r="C3389" s="72"/>
      <c r="G3389" s="77"/>
      <c r="H3389" s="77"/>
    </row>
    <row r="3390">
      <c r="C3390" s="72"/>
      <c r="G3390" s="77"/>
      <c r="H3390" s="77"/>
    </row>
    <row r="3391">
      <c r="C3391" s="72"/>
      <c r="G3391" s="77"/>
      <c r="H3391" s="77"/>
    </row>
    <row r="3392">
      <c r="C3392" s="72"/>
      <c r="G3392" s="77"/>
      <c r="H3392" s="77"/>
    </row>
    <row r="3393">
      <c r="C3393" s="72"/>
      <c r="G3393" s="77"/>
      <c r="H3393" s="77"/>
    </row>
    <row r="3394">
      <c r="C3394" s="72"/>
      <c r="G3394" s="77"/>
      <c r="H3394" s="77"/>
    </row>
    <row r="3395">
      <c r="C3395" s="72"/>
      <c r="G3395" s="77"/>
      <c r="H3395" s="77"/>
    </row>
    <row r="3396">
      <c r="C3396" s="72"/>
      <c r="G3396" s="77"/>
      <c r="H3396" s="77"/>
    </row>
    <row r="3397">
      <c r="C3397" s="72"/>
      <c r="G3397" s="77"/>
      <c r="H3397" s="77"/>
    </row>
    <row r="3398">
      <c r="C3398" s="72"/>
      <c r="G3398" s="77"/>
      <c r="H3398" s="77"/>
    </row>
    <row r="3399">
      <c r="C3399" s="72"/>
      <c r="G3399" s="77"/>
      <c r="H3399" s="77"/>
    </row>
    <row r="3400">
      <c r="C3400" s="72"/>
      <c r="G3400" s="77"/>
      <c r="H3400" s="77"/>
    </row>
    <row r="3401">
      <c r="C3401" s="72"/>
      <c r="G3401" s="77"/>
      <c r="H3401" s="77"/>
    </row>
    <row r="3402">
      <c r="C3402" s="72"/>
      <c r="G3402" s="77"/>
      <c r="H3402" s="77"/>
    </row>
    <row r="3403">
      <c r="C3403" s="72"/>
      <c r="G3403" s="77"/>
      <c r="H3403" s="77"/>
    </row>
    <row r="3404">
      <c r="C3404" s="72"/>
      <c r="G3404" s="77"/>
      <c r="H3404" s="77"/>
    </row>
    <row r="3405">
      <c r="C3405" s="72"/>
      <c r="G3405" s="77"/>
      <c r="H3405" s="77"/>
    </row>
    <row r="3406">
      <c r="C3406" s="72"/>
      <c r="G3406" s="77"/>
      <c r="H3406" s="77"/>
    </row>
    <row r="3407">
      <c r="C3407" s="72"/>
      <c r="G3407" s="77"/>
      <c r="H3407" s="77"/>
    </row>
    <row r="3408">
      <c r="C3408" s="72"/>
      <c r="G3408" s="77"/>
      <c r="H3408" s="77"/>
    </row>
    <row r="3409">
      <c r="C3409" s="72"/>
      <c r="G3409" s="77"/>
      <c r="H3409" s="77"/>
    </row>
    <row r="3410">
      <c r="C3410" s="72"/>
      <c r="G3410" s="77"/>
      <c r="H3410" s="77"/>
    </row>
    <row r="3411">
      <c r="C3411" s="72"/>
      <c r="G3411" s="77"/>
      <c r="H3411" s="77"/>
    </row>
    <row r="3412">
      <c r="C3412" s="72"/>
      <c r="G3412" s="77"/>
      <c r="H3412" s="77"/>
    </row>
    <row r="3413">
      <c r="C3413" s="72"/>
      <c r="G3413" s="77"/>
      <c r="H3413" s="77"/>
    </row>
    <row r="3414">
      <c r="C3414" s="72"/>
      <c r="G3414" s="77"/>
      <c r="H3414" s="77"/>
    </row>
    <row r="3415">
      <c r="C3415" s="72"/>
      <c r="G3415" s="77"/>
      <c r="H3415" s="77"/>
    </row>
    <row r="3416">
      <c r="C3416" s="72"/>
      <c r="G3416" s="77"/>
      <c r="H3416" s="77"/>
    </row>
    <row r="3417">
      <c r="C3417" s="72"/>
      <c r="G3417" s="77"/>
      <c r="H3417" s="77"/>
    </row>
    <row r="3418">
      <c r="C3418" s="72"/>
      <c r="G3418" s="77"/>
      <c r="H3418" s="77"/>
    </row>
    <row r="3419">
      <c r="C3419" s="72"/>
      <c r="G3419" s="77"/>
      <c r="H3419" s="77"/>
    </row>
    <row r="3420">
      <c r="C3420" s="72"/>
      <c r="G3420" s="77"/>
      <c r="H3420" s="77"/>
    </row>
    <row r="3421">
      <c r="C3421" s="72"/>
      <c r="G3421" s="77"/>
      <c r="H3421" s="77"/>
    </row>
    <row r="3422">
      <c r="C3422" s="72"/>
      <c r="G3422" s="77"/>
      <c r="H3422" s="77"/>
    </row>
    <row r="3423">
      <c r="C3423" s="72"/>
      <c r="G3423" s="77"/>
      <c r="H3423" s="77"/>
    </row>
    <row r="3424">
      <c r="C3424" s="72"/>
      <c r="G3424" s="77"/>
      <c r="H3424" s="77"/>
    </row>
    <row r="3425">
      <c r="C3425" s="72"/>
      <c r="G3425" s="77"/>
      <c r="H3425" s="77"/>
    </row>
    <row r="3426">
      <c r="C3426" s="72"/>
      <c r="G3426" s="77"/>
      <c r="H3426" s="77"/>
    </row>
    <row r="3427">
      <c r="C3427" s="72"/>
      <c r="G3427" s="77"/>
      <c r="H3427" s="77"/>
    </row>
    <row r="3428">
      <c r="C3428" s="72"/>
      <c r="G3428" s="77"/>
      <c r="H3428" s="77"/>
    </row>
    <row r="3429">
      <c r="C3429" s="72"/>
      <c r="G3429" s="77"/>
      <c r="H3429" s="77"/>
    </row>
    <row r="3430">
      <c r="C3430" s="72"/>
      <c r="G3430" s="77"/>
      <c r="H3430" s="77"/>
    </row>
    <row r="3431">
      <c r="C3431" s="72"/>
      <c r="G3431" s="77"/>
      <c r="H3431" s="77"/>
    </row>
    <row r="3432">
      <c r="C3432" s="72"/>
      <c r="G3432" s="77"/>
      <c r="H3432" s="77"/>
    </row>
    <row r="3433">
      <c r="C3433" s="72"/>
      <c r="G3433" s="77"/>
      <c r="H3433" s="77"/>
    </row>
    <row r="3434">
      <c r="C3434" s="72"/>
      <c r="G3434" s="77"/>
      <c r="H3434" s="77"/>
    </row>
    <row r="3435">
      <c r="C3435" s="72"/>
      <c r="G3435" s="77"/>
      <c r="H3435" s="77"/>
    </row>
    <row r="3436">
      <c r="C3436" s="72"/>
      <c r="G3436" s="77"/>
      <c r="H3436" s="77"/>
    </row>
    <row r="3437">
      <c r="C3437" s="72"/>
      <c r="G3437" s="77"/>
      <c r="H3437" s="77"/>
    </row>
    <row r="3438">
      <c r="C3438" s="72"/>
      <c r="G3438" s="77"/>
      <c r="H3438" s="77"/>
    </row>
    <row r="3439">
      <c r="C3439" s="72"/>
      <c r="G3439" s="77"/>
      <c r="H3439" s="77"/>
    </row>
    <row r="3440">
      <c r="C3440" s="72"/>
      <c r="G3440" s="77"/>
      <c r="H3440" s="77"/>
    </row>
    <row r="3441">
      <c r="C3441" s="72"/>
      <c r="G3441" s="77"/>
      <c r="H3441" s="77"/>
    </row>
    <row r="3442">
      <c r="C3442" s="72"/>
      <c r="G3442" s="77"/>
      <c r="H3442" s="77"/>
    </row>
    <row r="3443">
      <c r="C3443" s="72"/>
      <c r="G3443" s="77"/>
      <c r="H3443" s="77"/>
    </row>
    <row r="3444">
      <c r="C3444" s="72"/>
      <c r="G3444" s="77"/>
      <c r="H3444" s="77"/>
    </row>
    <row r="3445">
      <c r="C3445" s="72"/>
      <c r="G3445" s="77"/>
      <c r="H3445" s="77"/>
    </row>
    <row r="3446">
      <c r="C3446" s="72"/>
      <c r="G3446" s="77"/>
      <c r="H3446" s="77"/>
    </row>
    <row r="3447">
      <c r="C3447" s="72"/>
      <c r="G3447" s="77"/>
      <c r="H3447" s="77"/>
    </row>
    <row r="3448">
      <c r="C3448" s="72"/>
      <c r="G3448" s="77"/>
      <c r="H3448" s="77"/>
    </row>
    <row r="3449">
      <c r="C3449" s="72"/>
      <c r="G3449" s="77"/>
      <c r="H3449" s="77"/>
    </row>
    <row r="3450">
      <c r="C3450" s="72"/>
      <c r="G3450" s="77"/>
      <c r="H3450" s="77"/>
    </row>
    <row r="3451">
      <c r="C3451" s="72"/>
      <c r="G3451" s="77"/>
      <c r="H3451" s="77"/>
    </row>
    <row r="3452">
      <c r="C3452" s="72"/>
      <c r="G3452" s="77"/>
      <c r="H3452" s="77"/>
    </row>
    <row r="3453">
      <c r="C3453" s="72"/>
      <c r="G3453" s="77"/>
      <c r="H3453" s="77"/>
    </row>
    <row r="3454">
      <c r="C3454" s="72"/>
      <c r="G3454" s="77"/>
      <c r="H3454" s="77"/>
    </row>
    <row r="3455">
      <c r="C3455" s="72"/>
      <c r="G3455" s="77"/>
      <c r="H3455" s="77"/>
    </row>
    <row r="3456">
      <c r="C3456" s="72"/>
      <c r="G3456" s="77"/>
      <c r="H3456" s="77"/>
    </row>
    <row r="3457">
      <c r="C3457" s="72"/>
      <c r="G3457" s="77"/>
      <c r="H3457" s="77"/>
    </row>
    <row r="3458">
      <c r="C3458" s="72"/>
      <c r="G3458" s="77"/>
      <c r="H3458" s="77"/>
    </row>
    <row r="3459">
      <c r="C3459" s="72"/>
      <c r="G3459" s="77"/>
      <c r="H3459" s="77"/>
    </row>
    <row r="3460">
      <c r="C3460" s="72"/>
      <c r="G3460" s="77"/>
      <c r="H3460" s="77"/>
    </row>
    <row r="3461">
      <c r="C3461" s="72"/>
      <c r="G3461" s="77"/>
      <c r="H3461" s="77"/>
    </row>
    <row r="3462">
      <c r="C3462" s="72"/>
      <c r="G3462" s="77"/>
      <c r="H3462" s="77"/>
    </row>
    <row r="3463">
      <c r="C3463" s="72"/>
      <c r="G3463" s="77"/>
      <c r="H3463" s="77"/>
    </row>
    <row r="3464">
      <c r="C3464" s="72"/>
      <c r="G3464" s="77"/>
      <c r="H3464" s="77"/>
    </row>
    <row r="3465">
      <c r="C3465" s="72"/>
      <c r="G3465" s="77"/>
      <c r="H3465" s="77"/>
    </row>
    <row r="3466">
      <c r="C3466" s="72"/>
      <c r="G3466" s="77"/>
      <c r="H3466" s="77"/>
    </row>
    <row r="3467">
      <c r="C3467" s="72"/>
      <c r="G3467" s="77"/>
      <c r="H3467" s="77"/>
    </row>
    <row r="3468">
      <c r="C3468" s="72"/>
      <c r="G3468" s="77"/>
      <c r="H3468" s="77"/>
    </row>
    <row r="3469">
      <c r="C3469" s="72"/>
      <c r="G3469" s="77"/>
      <c r="H3469" s="77"/>
    </row>
    <row r="3470">
      <c r="C3470" s="72"/>
      <c r="G3470" s="77"/>
      <c r="H3470" s="77"/>
    </row>
    <row r="3471">
      <c r="C3471" s="72"/>
      <c r="G3471" s="77"/>
      <c r="H3471" s="77"/>
    </row>
    <row r="3472">
      <c r="C3472" s="72"/>
      <c r="G3472" s="77"/>
      <c r="H3472" s="77"/>
    </row>
    <row r="3473">
      <c r="C3473" s="72"/>
      <c r="G3473" s="77"/>
      <c r="H3473" s="77"/>
    </row>
    <row r="3474">
      <c r="C3474" s="72"/>
      <c r="G3474" s="77"/>
      <c r="H3474" s="77"/>
    </row>
    <row r="3475">
      <c r="C3475" s="72"/>
      <c r="G3475" s="77"/>
      <c r="H3475" s="77"/>
    </row>
    <row r="3476">
      <c r="C3476" s="72"/>
      <c r="G3476" s="77"/>
      <c r="H3476" s="77"/>
    </row>
    <row r="3477">
      <c r="C3477" s="72"/>
      <c r="G3477" s="77"/>
      <c r="H3477" s="77"/>
    </row>
    <row r="3478">
      <c r="C3478" s="72"/>
      <c r="G3478" s="77"/>
      <c r="H3478" s="77"/>
    </row>
    <row r="3479">
      <c r="C3479" s="72"/>
      <c r="G3479" s="77"/>
      <c r="H3479" s="77"/>
    </row>
    <row r="3480">
      <c r="C3480" s="72"/>
      <c r="G3480" s="77"/>
      <c r="H3480" s="77"/>
    </row>
    <row r="3481">
      <c r="C3481" s="72"/>
      <c r="G3481" s="77"/>
      <c r="H3481" s="77"/>
    </row>
    <row r="3482">
      <c r="C3482" s="72"/>
      <c r="G3482" s="77"/>
      <c r="H3482" s="77"/>
    </row>
    <row r="3483">
      <c r="C3483" s="72"/>
      <c r="G3483" s="77"/>
      <c r="H3483" s="77"/>
    </row>
    <row r="3484">
      <c r="C3484" s="72"/>
      <c r="G3484" s="77"/>
      <c r="H3484" s="77"/>
    </row>
    <row r="3485">
      <c r="C3485" s="72"/>
      <c r="G3485" s="77"/>
      <c r="H3485" s="77"/>
    </row>
    <row r="3486">
      <c r="C3486" s="72"/>
      <c r="G3486" s="77"/>
      <c r="H3486" s="77"/>
    </row>
    <row r="3487">
      <c r="C3487" s="72"/>
      <c r="G3487" s="77"/>
      <c r="H3487" s="77"/>
    </row>
    <row r="3488">
      <c r="C3488" s="72"/>
      <c r="G3488" s="77"/>
      <c r="H3488" s="77"/>
    </row>
    <row r="3489">
      <c r="C3489" s="72"/>
      <c r="G3489" s="77"/>
      <c r="H3489" s="77"/>
    </row>
    <row r="3490">
      <c r="C3490" s="72"/>
      <c r="G3490" s="77"/>
      <c r="H3490" s="77"/>
    </row>
    <row r="3491">
      <c r="C3491" s="72"/>
      <c r="G3491" s="77"/>
      <c r="H3491" s="77"/>
    </row>
    <row r="3492">
      <c r="C3492" s="72"/>
      <c r="G3492" s="77"/>
      <c r="H3492" s="77"/>
    </row>
    <row r="3493">
      <c r="C3493" s="72"/>
      <c r="G3493" s="77"/>
      <c r="H3493" s="77"/>
    </row>
    <row r="3494">
      <c r="C3494" s="72"/>
      <c r="G3494" s="77"/>
      <c r="H3494" s="77"/>
    </row>
    <row r="3495">
      <c r="C3495" s="72"/>
      <c r="G3495" s="77"/>
      <c r="H3495" s="77"/>
    </row>
    <row r="3496">
      <c r="C3496" s="72"/>
      <c r="G3496" s="77"/>
      <c r="H3496" s="77"/>
    </row>
    <row r="3497">
      <c r="C3497" s="72"/>
      <c r="G3497" s="77"/>
      <c r="H3497" s="77"/>
    </row>
    <row r="3498">
      <c r="C3498" s="72"/>
      <c r="G3498" s="77"/>
      <c r="H3498" s="77"/>
    </row>
    <row r="3499">
      <c r="C3499" s="72"/>
      <c r="G3499" s="77"/>
      <c r="H3499" s="77"/>
    </row>
    <row r="3500">
      <c r="C3500" s="72"/>
      <c r="G3500" s="77"/>
      <c r="H3500" s="77"/>
    </row>
    <row r="3501">
      <c r="C3501" s="72"/>
      <c r="G3501" s="77"/>
      <c r="H3501" s="77"/>
    </row>
    <row r="3502">
      <c r="C3502" s="72"/>
      <c r="G3502" s="77"/>
      <c r="H3502" s="77"/>
    </row>
    <row r="3503">
      <c r="C3503" s="72"/>
      <c r="G3503" s="77"/>
      <c r="H3503" s="77"/>
    </row>
    <row r="3504">
      <c r="C3504" s="72"/>
      <c r="G3504" s="77"/>
      <c r="H3504" s="77"/>
    </row>
    <row r="3505">
      <c r="C3505" s="72"/>
      <c r="G3505" s="77"/>
      <c r="H3505" s="77"/>
    </row>
    <row r="3506">
      <c r="C3506" s="72"/>
      <c r="G3506" s="77"/>
      <c r="H3506" s="77"/>
    </row>
    <row r="3507">
      <c r="C3507" s="72"/>
      <c r="G3507" s="77"/>
      <c r="H3507" s="77"/>
    </row>
    <row r="3508">
      <c r="C3508" s="72"/>
      <c r="G3508" s="77"/>
      <c r="H3508" s="77"/>
    </row>
    <row r="3509">
      <c r="C3509" s="72"/>
      <c r="G3509" s="77"/>
      <c r="H3509" s="77"/>
    </row>
    <row r="3510">
      <c r="C3510" s="72"/>
      <c r="G3510" s="77"/>
      <c r="H3510" s="77"/>
    </row>
    <row r="3511">
      <c r="C3511" s="72"/>
      <c r="G3511" s="77"/>
      <c r="H3511" s="77"/>
    </row>
    <row r="3512">
      <c r="C3512" s="72"/>
      <c r="G3512" s="77"/>
      <c r="H3512" s="77"/>
    </row>
    <row r="3513">
      <c r="C3513" s="72"/>
      <c r="G3513" s="77"/>
      <c r="H3513" s="77"/>
    </row>
    <row r="3514">
      <c r="C3514" s="72"/>
      <c r="G3514" s="77"/>
      <c r="H3514" s="77"/>
    </row>
    <row r="3515">
      <c r="C3515" s="72"/>
      <c r="G3515" s="77"/>
      <c r="H3515" s="77"/>
    </row>
    <row r="3516">
      <c r="C3516" s="72"/>
      <c r="G3516" s="77"/>
      <c r="H3516" s="77"/>
    </row>
    <row r="3517">
      <c r="C3517" s="72"/>
      <c r="G3517" s="77"/>
      <c r="H3517" s="77"/>
    </row>
    <row r="3518">
      <c r="C3518" s="72"/>
      <c r="G3518" s="77"/>
      <c r="H3518" s="77"/>
    </row>
    <row r="3519">
      <c r="C3519" s="72"/>
      <c r="G3519" s="77"/>
      <c r="H3519" s="77"/>
    </row>
    <row r="3520">
      <c r="C3520" s="72"/>
      <c r="G3520" s="77"/>
      <c r="H3520" s="77"/>
    </row>
    <row r="3521">
      <c r="C3521" s="72"/>
      <c r="G3521" s="77"/>
      <c r="H3521" s="77"/>
    </row>
    <row r="3522">
      <c r="C3522" s="72"/>
      <c r="G3522" s="77"/>
      <c r="H3522" s="77"/>
    </row>
    <row r="3523">
      <c r="C3523" s="72"/>
      <c r="G3523" s="77"/>
      <c r="H3523" s="77"/>
    </row>
    <row r="3524">
      <c r="C3524" s="72"/>
      <c r="G3524" s="77"/>
      <c r="H3524" s="77"/>
    </row>
    <row r="3525">
      <c r="C3525" s="72"/>
      <c r="G3525" s="77"/>
      <c r="H3525" s="77"/>
    </row>
    <row r="3526">
      <c r="C3526" s="72"/>
      <c r="G3526" s="77"/>
      <c r="H3526" s="77"/>
    </row>
    <row r="3527">
      <c r="C3527" s="72"/>
      <c r="G3527" s="77"/>
      <c r="H3527" s="77"/>
    </row>
    <row r="3528">
      <c r="C3528" s="72"/>
      <c r="G3528" s="77"/>
      <c r="H3528" s="77"/>
    </row>
    <row r="3529">
      <c r="C3529" s="72"/>
      <c r="G3529" s="77"/>
      <c r="H3529" s="77"/>
    </row>
    <row r="3530">
      <c r="C3530" s="72"/>
      <c r="G3530" s="77"/>
      <c r="H3530" s="77"/>
    </row>
    <row r="3531">
      <c r="C3531" s="72"/>
      <c r="G3531" s="77"/>
      <c r="H3531" s="77"/>
    </row>
    <row r="3532">
      <c r="C3532" s="72"/>
      <c r="G3532" s="77"/>
      <c r="H3532" s="77"/>
    </row>
    <row r="3533">
      <c r="C3533" s="72"/>
      <c r="G3533" s="77"/>
      <c r="H3533" s="77"/>
    </row>
    <row r="3534">
      <c r="C3534" s="72"/>
      <c r="G3534" s="77"/>
      <c r="H3534" s="77"/>
    </row>
    <row r="3535">
      <c r="C3535" s="72"/>
      <c r="G3535" s="77"/>
      <c r="H3535" s="77"/>
    </row>
    <row r="3536">
      <c r="C3536" s="72"/>
      <c r="G3536" s="77"/>
      <c r="H3536" s="77"/>
    </row>
    <row r="3537">
      <c r="C3537" s="72"/>
      <c r="G3537" s="77"/>
      <c r="H3537" s="77"/>
    </row>
    <row r="3538">
      <c r="C3538" s="72"/>
      <c r="G3538" s="77"/>
      <c r="H3538" s="77"/>
    </row>
    <row r="3539">
      <c r="C3539" s="72"/>
      <c r="G3539" s="77"/>
      <c r="H3539" s="77"/>
    </row>
    <row r="3540">
      <c r="C3540" s="72"/>
      <c r="G3540" s="77"/>
      <c r="H3540" s="77"/>
    </row>
    <row r="3541">
      <c r="C3541" s="72"/>
      <c r="G3541" s="77"/>
      <c r="H3541" s="77"/>
    </row>
    <row r="3542">
      <c r="C3542" s="72"/>
      <c r="G3542" s="77"/>
      <c r="H3542" s="77"/>
    </row>
    <row r="3543">
      <c r="C3543" s="72"/>
      <c r="G3543" s="77"/>
      <c r="H3543" s="77"/>
    </row>
    <row r="3544">
      <c r="C3544" s="72"/>
      <c r="G3544" s="77"/>
      <c r="H3544" s="77"/>
    </row>
    <row r="3545">
      <c r="C3545" s="72"/>
      <c r="G3545" s="77"/>
      <c r="H3545" s="77"/>
    </row>
    <row r="3546">
      <c r="C3546" s="72"/>
      <c r="G3546" s="77"/>
      <c r="H3546" s="77"/>
    </row>
    <row r="3547">
      <c r="C3547" s="72"/>
      <c r="G3547" s="77"/>
      <c r="H3547" s="77"/>
    </row>
    <row r="3548">
      <c r="C3548" s="72"/>
      <c r="G3548" s="77"/>
      <c r="H3548" s="77"/>
    </row>
    <row r="3549">
      <c r="C3549" s="72"/>
      <c r="G3549" s="77"/>
      <c r="H3549" s="77"/>
    </row>
    <row r="3550">
      <c r="C3550" s="72"/>
      <c r="G3550" s="77"/>
      <c r="H3550" s="77"/>
    </row>
    <row r="3551">
      <c r="C3551" s="72"/>
      <c r="G3551" s="77"/>
      <c r="H3551" s="77"/>
    </row>
    <row r="3552">
      <c r="C3552" s="72"/>
      <c r="G3552" s="77"/>
      <c r="H3552" s="77"/>
    </row>
    <row r="3553">
      <c r="C3553" s="72"/>
      <c r="G3553" s="77"/>
      <c r="H3553" s="77"/>
    </row>
    <row r="3554">
      <c r="C3554" s="72"/>
      <c r="G3554" s="77"/>
      <c r="H3554" s="77"/>
    </row>
    <row r="3555">
      <c r="C3555" s="72"/>
      <c r="G3555" s="77"/>
      <c r="H3555" s="77"/>
    </row>
    <row r="3556">
      <c r="C3556" s="72"/>
      <c r="G3556" s="77"/>
      <c r="H3556" s="77"/>
    </row>
    <row r="3557">
      <c r="C3557" s="72"/>
      <c r="G3557" s="77"/>
      <c r="H3557" s="77"/>
    </row>
    <row r="3558">
      <c r="C3558" s="72"/>
      <c r="G3558" s="77"/>
      <c r="H3558" s="77"/>
    </row>
    <row r="3559">
      <c r="C3559" s="72"/>
      <c r="G3559" s="77"/>
      <c r="H3559" s="77"/>
    </row>
    <row r="3560">
      <c r="C3560" s="72"/>
      <c r="G3560" s="77"/>
      <c r="H3560" s="77"/>
    </row>
    <row r="3561">
      <c r="C3561" s="72"/>
      <c r="G3561" s="77"/>
      <c r="H3561" s="77"/>
    </row>
    <row r="3562">
      <c r="C3562" s="72"/>
      <c r="G3562" s="77"/>
      <c r="H3562" s="77"/>
    </row>
    <row r="3563">
      <c r="C3563" s="72"/>
      <c r="G3563" s="77"/>
      <c r="H3563" s="77"/>
    </row>
    <row r="3564">
      <c r="C3564" s="72"/>
      <c r="G3564" s="77"/>
      <c r="H3564" s="77"/>
    </row>
    <row r="3565">
      <c r="C3565" s="72"/>
      <c r="G3565" s="77"/>
      <c r="H3565" s="77"/>
    </row>
    <row r="3566">
      <c r="C3566" s="72"/>
      <c r="G3566" s="77"/>
      <c r="H3566" s="77"/>
    </row>
    <row r="3567">
      <c r="C3567" s="72"/>
      <c r="G3567" s="77"/>
      <c r="H3567" s="77"/>
    </row>
    <row r="3568">
      <c r="C3568" s="72"/>
      <c r="G3568" s="77"/>
      <c r="H3568" s="77"/>
    </row>
    <row r="3569">
      <c r="C3569" s="72"/>
      <c r="G3569" s="77"/>
      <c r="H3569" s="77"/>
    </row>
    <row r="3570">
      <c r="C3570" s="72"/>
      <c r="G3570" s="77"/>
      <c r="H3570" s="77"/>
    </row>
    <row r="3571">
      <c r="C3571" s="72"/>
      <c r="G3571" s="77"/>
      <c r="H3571" s="77"/>
    </row>
    <row r="3572">
      <c r="C3572" s="72"/>
      <c r="G3572" s="77"/>
      <c r="H3572" s="77"/>
    </row>
    <row r="3573">
      <c r="C3573" s="72"/>
      <c r="G3573" s="77"/>
      <c r="H3573" s="77"/>
    </row>
    <row r="3574">
      <c r="C3574" s="72"/>
      <c r="G3574" s="77"/>
      <c r="H3574" s="77"/>
    </row>
    <row r="3575">
      <c r="C3575" s="72"/>
      <c r="G3575" s="77"/>
      <c r="H3575" s="77"/>
    </row>
    <row r="3576">
      <c r="C3576" s="72"/>
      <c r="G3576" s="77"/>
      <c r="H3576" s="77"/>
    </row>
    <row r="3577">
      <c r="C3577" s="72"/>
      <c r="G3577" s="77"/>
      <c r="H3577" s="77"/>
    </row>
    <row r="3578">
      <c r="C3578" s="72"/>
      <c r="G3578" s="77"/>
      <c r="H3578" s="77"/>
    </row>
    <row r="3579">
      <c r="C3579" s="72"/>
      <c r="G3579" s="77"/>
      <c r="H3579" s="77"/>
    </row>
    <row r="3580">
      <c r="C3580" s="72"/>
      <c r="G3580" s="77"/>
      <c r="H3580" s="77"/>
    </row>
    <row r="3581">
      <c r="C3581" s="72"/>
      <c r="G3581" s="77"/>
      <c r="H3581" s="77"/>
    </row>
    <row r="3582">
      <c r="C3582" s="72"/>
      <c r="G3582" s="77"/>
      <c r="H3582" s="77"/>
    </row>
    <row r="3583">
      <c r="C3583" s="72"/>
      <c r="G3583" s="77"/>
      <c r="H3583" s="77"/>
    </row>
    <row r="3584">
      <c r="C3584" s="72"/>
      <c r="G3584" s="77"/>
      <c r="H3584" s="77"/>
    </row>
    <row r="3585">
      <c r="C3585" s="72"/>
      <c r="G3585" s="77"/>
      <c r="H3585" s="77"/>
    </row>
    <row r="3586">
      <c r="C3586" s="72"/>
      <c r="G3586" s="77"/>
      <c r="H3586" s="77"/>
    </row>
    <row r="3587">
      <c r="C3587" s="72"/>
      <c r="G3587" s="77"/>
      <c r="H3587" s="77"/>
    </row>
    <row r="3588">
      <c r="C3588" s="72"/>
      <c r="G3588" s="77"/>
      <c r="H3588" s="77"/>
    </row>
    <row r="3589">
      <c r="C3589" s="72"/>
      <c r="G3589" s="77"/>
      <c r="H3589" s="77"/>
    </row>
    <row r="3590">
      <c r="C3590" s="72"/>
      <c r="G3590" s="77"/>
      <c r="H3590" s="77"/>
    </row>
    <row r="3591">
      <c r="C3591" s="72"/>
      <c r="G3591" s="77"/>
      <c r="H3591" s="77"/>
    </row>
    <row r="3592">
      <c r="C3592" s="72"/>
      <c r="G3592" s="77"/>
      <c r="H3592" s="77"/>
    </row>
    <row r="3593">
      <c r="C3593" s="72"/>
      <c r="G3593" s="77"/>
      <c r="H3593" s="77"/>
    </row>
    <row r="3594">
      <c r="C3594" s="72"/>
      <c r="G3594" s="77"/>
      <c r="H3594" s="77"/>
    </row>
    <row r="3595">
      <c r="C3595" s="72"/>
      <c r="G3595" s="77"/>
      <c r="H3595" s="77"/>
    </row>
    <row r="3596">
      <c r="C3596" s="72"/>
      <c r="G3596" s="77"/>
      <c r="H3596" s="77"/>
    </row>
    <row r="3597">
      <c r="C3597" s="72"/>
      <c r="G3597" s="77"/>
      <c r="H3597" s="77"/>
    </row>
    <row r="3598">
      <c r="C3598" s="72"/>
      <c r="G3598" s="77"/>
      <c r="H3598" s="77"/>
    </row>
    <row r="3599">
      <c r="C3599" s="72"/>
      <c r="G3599" s="77"/>
      <c r="H3599" s="77"/>
    </row>
    <row r="3600">
      <c r="C3600" s="72"/>
      <c r="G3600" s="77"/>
      <c r="H3600" s="77"/>
    </row>
    <row r="3601">
      <c r="C3601" s="72"/>
      <c r="G3601" s="77"/>
      <c r="H3601" s="77"/>
    </row>
    <row r="3602">
      <c r="C3602" s="72"/>
      <c r="G3602" s="77"/>
      <c r="H3602" s="77"/>
    </row>
    <row r="3603">
      <c r="C3603" s="72"/>
      <c r="G3603" s="77"/>
      <c r="H3603" s="77"/>
    </row>
    <row r="3604">
      <c r="C3604" s="72"/>
      <c r="G3604" s="77"/>
      <c r="H3604" s="77"/>
    </row>
    <row r="3605">
      <c r="C3605" s="72"/>
      <c r="G3605" s="77"/>
      <c r="H3605" s="77"/>
    </row>
    <row r="3606">
      <c r="C3606" s="72"/>
      <c r="G3606" s="77"/>
      <c r="H3606" s="77"/>
    </row>
    <row r="3607">
      <c r="C3607" s="72"/>
      <c r="G3607" s="77"/>
      <c r="H3607" s="77"/>
    </row>
    <row r="3608">
      <c r="C3608" s="72"/>
      <c r="G3608" s="77"/>
      <c r="H3608" s="77"/>
    </row>
    <row r="3609">
      <c r="C3609" s="72"/>
      <c r="G3609" s="77"/>
      <c r="H3609" s="77"/>
    </row>
    <row r="3610">
      <c r="C3610" s="72"/>
      <c r="G3610" s="77"/>
      <c r="H3610" s="77"/>
    </row>
    <row r="3611">
      <c r="C3611" s="72"/>
      <c r="G3611" s="77"/>
      <c r="H3611" s="77"/>
    </row>
    <row r="3612">
      <c r="C3612" s="72"/>
      <c r="G3612" s="77"/>
      <c r="H3612" s="77"/>
    </row>
    <row r="3613">
      <c r="C3613" s="72"/>
      <c r="G3613" s="77"/>
      <c r="H3613" s="77"/>
    </row>
    <row r="3614">
      <c r="C3614" s="72"/>
      <c r="G3614" s="77"/>
      <c r="H3614" s="77"/>
    </row>
    <row r="3615">
      <c r="C3615" s="72"/>
      <c r="G3615" s="77"/>
      <c r="H3615" s="77"/>
    </row>
    <row r="3616">
      <c r="C3616" s="72"/>
      <c r="G3616" s="77"/>
      <c r="H3616" s="77"/>
    </row>
    <row r="3617">
      <c r="C3617" s="72"/>
      <c r="G3617" s="77"/>
      <c r="H3617" s="77"/>
    </row>
    <row r="3618">
      <c r="C3618" s="72"/>
      <c r="G3618" s="77"/>
      <c r="H3618" s="77"/>
    </row>
    <row r="3619">
      <c r="C3619" s="72"/>
      <c r="G3619" s="77"/>
      <c r="H3619" s="77"/>
    </row>
    <row r="3620">
      <c r="C3620" s="72"/>
      <c r="G3620" s="77"/>
      <c r="H3620" s="77"/>
    </row>
    <row r="3621">
      <c r="C3621" s="72"/>
      <c r="G3621" s="77"/>
      <c r="H3621" s="77"/>
    </row>
    <row r="3622">
      <c r="C3622" s="72"/>
      <c r="G3622" s="77"/>
      <c r="H3622" s="77"/>
    </row>
    <row r="3623">
      <c r="C3623" s="72"/>
      <c r="G3623" s="77"/>
      <c r="H3623" s="77"/>
    </row>
    <row r="3624">
      <c r="C3624" s="72"/>
      <c r="G3624" s="77"/>
      <c r="H3624" s="77"/>
    </row>
    <row r="3625">
      <c r="C3625" s="72"/>
      <c r="G3625" s="77"/>
      <c r="H3625" s="77"/>
    </row>
    <row r="3626">
      <c r="C3626" s="72"/>
      <c r="G3626" s="77"/>
      <c r="H3626" s="77"/>
    </row>
    <row r="3627">
      <c r="C3627" s="72"/>
      <c r="G3627" s="77"/>
      <c r="H3627" s="77"/>
    </row>
    <row r="3628">
      <c r="C3628" s="72"/>
      <c r="G3628" s="77"/>
      <c r="H3628" s="77"/>
    </row>
    <row r="3629">
      <c r="C3629" s="72"/>
      <c r="G3629" s="77"/>
      <c r="H3629" s="77"/>
    </row>
    <row r="3630">
      <c r="C3630" s="72"/>
      <c r="G3630" s="77"/>
      <c r="H3630" s="77"/>
    </row>
    <row r="3631">
      <c r="C3631" s="72"/>
      <c r="G3631" s="77"/>
      <c r="H3631" s="77"/>
    </row>
    <row r="3632">
      <c r="C3632" s="72"/>
      <c r="G3632" s="77"/>
      <c r="H3632" s="77"/>
    </row>
    <row r="3633">
      <c r="C3633" s="72"/>
      <c r="G3633" s="77"/>
      <c r="H3633" s="77"/>
    </row>
    <row r="3634">
      <c r="C3634" s="72"/>
      <c r="G3634" s="77"/>
      <c r="H3634" s="77"/>
    </row>
    <row r="3635">
      <c r="C3635" s="72"/>
      <c r="G3635" s="77"/>
      <c r="H3635" s="77"/>
    </row>
    <row r="3636">
      <c r="C3636" s="72"/>
      <c r="G3636" s="77"/>
      <c r="H3636" s="77"/>
    </row>
    <row r="3637">
      <c r="C3637" s="72"/>
      <c r="G3637" s="77"/>
      <c r="H3637" s="77"/>
    </row>
    <row r="3638">
      <c r="C3638" s="72"/>
      <c r="G3638" s="77"/>
      <c r="H3638" s="77"/>
    </row>
    <row r="3639">
      <c r="C3639" s="72"/>
      <c r="G3639" s="77"/>
      <c r="H3639" s="77"/>
    </row>
    <row r="3640">
      <c r="C3640" s="72"/>
      <c r="G3640" s="77"/>
      <c r="H3640" s="77"/>
    </row>
    <row r="3641">
      <c r="C3641" s="72"/>
      <c r="G3641" s="77"/>
      <c r="H3641" s="77"/>
    </row>
    <row r="3642">
      <c r="C3642" s="72"/>
      <c r="G3642" s="77"/>
      <c r="H3642" s="77"/>
    </row>
    <row r="3643">
      <c r="C3643" s="72"/>
      <c r="G3643" s="77"/>
      <c r="H3643" s="77"/>
    </row>
    <row r="3644">
      <c r="C3644" s="72"/>
      <c r="G3644" s="77"/>
      <c r="H3644" s="77"/>
    </row>
    <row r="3645">
      <c r="C3645" s="72"/>
      <c r="G3645" s="77"/>
      <c r="H3645" s="77"/>
    </row>
    <row r="3646">
      <c r="C3646" s="72"/>
      <c r="G3646" s="77"/>
      <c r="H3646" s="77"/>
    </row>
    <row r="3647">
      <c r="C3647" s="72"/>
      <c r="G3647" s="77"/>
      <c r="H3647" s="77"/>
    </row>
    <row r="3648">
      <c r="C3648" s="72"/>
      <c r="G3648" s="77"/>
      <c r="H3648" s="77"/>
    </row>
    <row r="3649">
      <c r="C3649" s="72"/>
      <c r="G3649" s="77"/>
      <c r="H3649" s="77"/>
    </row>
    <row r="3650">
      <c r="C3650" s="72"/>
      <c r="G3650" s="77"/>
      <c r="H3650" s="77"/>
    </row>
    <row r="3651">
      <c r="C3651" s="72"/>
      <c r="G3651" s="77"/>
      <c r="H3651" s="77"/>
    </row>
    <row r="3652">
      <c r="C3652" s="72"/>
      <c r="G3652" s="77"/>
      <c r="H3652" s="77"/>
    </row>
    <row r="3653">
      <c r="C3653" s="72"/>
      <c r="G3653" s="77"/>
      <c r="H3653" s="77"/>
    </row>
    <row r="3654">
      <c r="C3654" s="72"/>
      <c r="G3654" s="77"/>
      <c r="H3654" s="77"/>
    </row>
    <row r="3655">
      <c r="C3655" s="72"/>
      <c r="G3655" s="77"/>
      <c r="H3655" s="77"/>
    </row>
    <row r="3656">
      <c r="C3656" s="72"/>
      <c r="G3656" s="77"/>
      <c r="H3656" s="77"/>
    </row>
    <row r="3657">
      <c r="C3657" s="72"/>
      <c r="G3657" s="77"/>
      <c r="H3657" s="77"/>
    </row>
    <row r="3658">
      <c r="C3658" s="72"/>
      <c r="G3658" s="77"/>
      <c r="H3658" s="77"/>
    </row>
    <row r="3659">
      <c r="C3659" s="72"/>
      <c r="G3659" s="77"/>
      <c r="H3659" s="77"/>
    </row>
    <row r="3660">
      <c r="C3660" s="72"/>
      <c r="G3660" s="77"/>
      <c r="H3660" s="77"/>
    </row>
    <row r="3661">
      <c r="C3661" s="72"/>
      <c r="G3661" s="77"/>
      <c r="H3661" s="77"/>
    </row>
    <row r="3662">
      <c r="C3662" s="72"/>
      <c r="G3662" s="77"/>
      <c r="H3662" s="77"/>
    </row>
    <row r="3663">
      <c r="C3663" s="72"/>
      <c r="G3663" s="77"/>
      <c r="H3663" s="77"/>
    </row>
    <row r="3664">
      <c r="C3664" s="72"/>
      <c r="G3664" s="77"/>
      <c r="H3664" s="77"/>
    </row>
    <row r="3665">
      <c r="C3665" s="72"/>
      <c r="G3665" s="77"/>
      <c r="H3665" s="77"/>
    </row>
    <row r="3666">
      <c r="C3666" s="72"/>
      <c r="G3666" s="77"/>
      <c r="H3666" s="77"/>
    </row>
    <row r="3667">
      <c r="C3667" s="72"/>
      <c r="G3667" s="77"/>
      <c r="H3667" s="77"/>
    </row>
    <row r="3668">
      <c r="C3668" s="72"/>
      <c r="G3668" s="77"/>
      <c r="H3668" s="77"/>
    </row>
    <row r="3669">
      <c r="C3669" s="72"/>
      <c r="G3669" s="77"/>
      <c r="H3669" s="77"/>
    </row>
    <row r="3670">
      <c r="C3670" s="72"/>
      <c r="G3670" s="77"/>
      <c r="H3670" s="77"/>
    </row>
    <row r="3671">
      <c r="C3671" s="72"/>
      <c r="G3671" s="77"/>
      <c r="H3671" s="77"/>
    </row>
    <row r="3672">
      <c r="C3672" s="72"/>
      <c r="G3672" s="77"/>
      <c r="H3672" s="77"/>
    </row>
    <row r="3673">
      <c r="C3673" s="72"/>
      <c r="G3673" s="77"/>
      <c r="H3673" s="77"/>
    </row>
    <row r="3674">
      <c r="C3674" s="72"/>
      <c r="G3674" s="77"/>
      <c r="H3674" s="77"/>
    </row>
    <row r="3675">
      <c r="C3675" s="72"/>
      <c r="G3675" s="77"/>
      <c r="H3675" s="77"/>
    </row>
    <row r="3676">
      <c r="C3676" s="72"/>
      <c r="G3676" s="77"/>
      <c r="H3676" s="77"/>
    </row>
    <row r="3677">
      <c r="C3677" s="72"/>
      <c r="G3677" s="77"/>
      <c r="H3677" s="77"/>
    </row>
    <row r="3678">
      <c r="C3678" s="72"/>
      <c r="G3678" s="77"/>
      <c r="H3678" s="77"/>
    </row>
    <row r="3679">
      <c r="C3679" s="72"/>
      <c r="G3679" s="77"/>
      <c r="H3679" s="77"/>
    </row>
    <row r="3680">
      <c r="C3680" s="72"/>
      <c r="G3680" s="77"/>
      <c r="H3680" s="77"/>
    </row>
    <row r="3681">
      <c r="C3681" s="72"/>
      <c r="G3681" s="77"/>
      <c r="H3681" s="77"/>
    </row>
    <row r="3682">
      <c r="C3682" s="72"/>
      <c r="G3682" s="77"/>
      <c r="H3682" s="77"/>
    </row>
    <row r="3683">
      <c r="C3683" s="72"/>
      <c r="G3683" s="77"/>
      <c r="H3683" s="77"/>
    </row>
    <row r="3684">
      <c r="C3684" s="72"/>
      <c r="G3684" s="77"/>
      <c r="H3684" s="77"/>
    </row>
    <row r="3685">
      <c r="C3685" s="72"/>
      <c r="G3685" s="77"/>
      <c r="H3685" s="77"/>
    </row>
    <row r="3686">
      <c r="C3686" s="72"/>
      <c r="G3686" s="77"/>
      <c r="H3686" s="77"/>
    </row>
    <row r="3687">
      <c r="C3687" s="72"/>
      <c r="G3687" s="77"/>
      <c r="H3687" s="77"/>
    </row>
    <row r="3688">
      <c r="C3688" s="72"/>
      <c r="G3688" s="77"/>
      <c r="H3688" s="77"/>
    </row>
    <row r="3689">
      <c r="C3689" s="72"/>
      <c r="G3689" s="77"/>
      <c r="H3689" s="77"/>
    </row>
    <row r="3690">
      <c r="C3690" s="72"/>
      <c r="G3690" s="77"/>
      <c r="H3690" s="77"/>
    </row>
    <row r="3691">
      <c r="C3691" s="72"/>
      <c r="G3691" s="77"/>
      <c r="H3691" s="77"/>
    </row>
    <row r="3692">
      <c r="C3692" s="72"/>
      <c r="G3692" s="77"/>
      <c r="H3692" s="77"/>
    </row>
    <row r="3693">
      <c r="C3693" s="72"/>
      <c r="G3693" s="77"/>
      <c r="H3693" s="77"/>
    </row>
    <row r="3694">
      <c r="C3694" s="72"/>
      <c r="G3694" s="77"/>
      <c r="H3694" s="77"/>
    </row>
    <row r="3695">
      <c r="C3695" s="72"/>
      <c r="G3695" s="77"/>
      <c r="H3695" s="77"/>
    </row>
    <row r="3696">
      <c r="C3696" s="72"/>
      <c r="G3696" s="77"/>
      <c r="H3696" s="77"/>
    </row>
    <row r="3697">
      <c r="C3697" s="72"/>
      <c r="G3697" s="77"/>
      <c r="H3697" s="77"/>
    </row>
    <row r="3698">
      <c r="C3698" s="72"/>
      <c r="G3698" s="77"/>
      <c r="H3698" s="77"/>
    </row>
    <row r="3699">
      <c r="C3699" s="72"/>
      <c r="G3699" s="77"/>
      <c r="H3699" s="77"/>
    </row>
    <row r="3700">
      <c r="C3700" s="72"/>
      <c r="G3700" s="77"/>
      <c r="H3700" s="77"/>
    </row>
    <row r="3701">
      <c r="C3701" s="72"/>
      <c r="G3701" s="77"/>
      <c r="H3701" s="77"/>
    </row>
    <row r="3702">
      <c r="C3702" s="72"/>
      <c r="G3702" s="77"/>
      <c r="H3702" s="77"/>
    </row>
    <row r="3703">
      <c r="C3703" s="72"/>
      <c r="G3703" s="77"/>
      <c r="H3703" s="77"/>
    </row>
    <row r="3704">
      <c r="C3704" s="72"/>
      <c r="G3704" s="77"/>
      <c r="H3704" s="77"/>
    </row>
    <row r="3705">
      <c r="C3705" s="72"/>
      <c r="G3705" s="77"/>
      <c r="H3705" s="77"/>
    </row>
    <row r="3706">
      <c r="C3706" s="72"/>
      <c r="G3706" s="77"/>
      <c r="H3706" s="77"/>
    </row>
    <row r="3707">
      <c r="C3707" s="72"/>
      <c r="G3707" s="77"/>
      <c r="H3707" s="77"/>
    </row>
    <row r="3708">
      <c r="C3708" s="72"/>
      <c r="G3708" s="77"/>
      <c r="H3708" s="77"/>
    </row>
    <row r="3709">
      <c r="C3709" s="72"/>
      <c r="G3709" s="77"/>
      <c r="H3709" s="77"/>
    </row>
    <row r="3710">
      <c r="C3710" s="72"/>
      <c r="G3710" s="77"/>
      <c r="H3710" s="77"/>
    </row>
    <row r="3711">
      <c r="C3711" s="72"/>
      <c r="G3711" s="77"/>
      <c r="H3711" s="77"/>
    </row>
    <row r="3712">
      <c r="C3712" s="72"/>
      <c r="G3712" s="77"/>
      <c r="H3712" s="77"/>
    </row>
    <row r="3713">
      <c r="C3713" s="72"/>
      <c r="G3713" s="77"/>
      <c r="H3713" s="77"/>
    </row>
    <row r="3714">
      <c r="C3714" s="72"/>
      <c r="G3714" s="77"/>
      <c r="H3714" s="77"/>
    </row>
    <row r="3715">
      <c r="C3715" s="72"/>
      <c r="G3715" s="77"/>
      <c r="H3715" s="77"/>
    </row>
    <row r="3716">
      <c r="C3716" s="72"/>
      <c r="G3716" s="77"/>
      <c r="H3716" s="77"/>
    </row>
    <row r="3717">
      <c r="C3717" s="72"/>
      <c r="G3717" s="77"/>
      <c r="H3717" s="77"/>
    </row>
    <row r="3718">
      <c r="C3718" s="72"/>
      <c r="G3718" s="77"/>
      <c r="H3718" s="77"/>
    </row>
    <row r="3719">
      <c r="C3719" s="72"/>
      <c r="G3719" s="77"/>
      <c r="H3719" s="77"/>
    </row>
    <row r="3720">
      <c r="C3720" s="72"/>
      <c r="G3720" s="77"/>
      <c r="H3720" s="77"/>
    </row>
    <row r="3721">
      <c r="C3721" s="72"/>
      <c r="G3721" s="77"/>
      <c r="H3721" s="77"/>
    </row>
    <row r="3722">
      <c r="C3722" s="72"/>
      <c r="G3722" s="77"/>
      <c r="H3722" s="77"/>
    </row>
    <row r="3723">
      <c r="C3723" s="72"/>
      <c r="G3723" s="77"/>
      <c r="H3723" s="77"/>
    </row>
    <row r="3724">
      <c r="C3724" s="72"/>
      <c r="G3724" s="77"/>
      <c r="H3724" s="77"/>
    </row>
    <row r="3725">
      <c r="C3725" s="72"/>
      <c r="G3725" s="77"/>
      <c r="H3725" s="77"/>
    </row>
    <row r="3726">
      <c r="C3726" s="72"/>
      <c r="G3726" s="77"/>
      <c r="H3726" s="77"/>
    </row>
    <row r="3727">
      <c r="C3727" s="72"/>
      <c r="G3727" s="77"/>
      <c r="H3727" s="77"/>
    </row>
    <row r="3728">
      <c r="C3728" s="72"/>
      <c r="G3728" s="77"/>
      <c r="H3728" s="77"/>
    </row>
    <row r="3729">
      <c r="C3729" s="72"/>
      <c r="G3729" s="77"/>
      <c r="H3729" s="77"/>
    </row>
    <row r="3730">
      <c r="C3730" s="72"/>
      <c r="G3730" s="77"/>
      <c r="H3730" s="77"/>
    </row>
    <row r="3731">
      <c r="C3731" s="72"/>
      <c r="G3731" s="77"/>
      <c r="H3731" s="77"/>
    </row>
    <row r="3732">
      <c r="C3732" s="72"/>
      <c r="G3732" s="77"/>
      <c r="H3732" s="77"/>
    </row>
    <row r="3733">
      <c r="C3733" s="72"/>
      <c r="G3733" s="77"/>
      <c r="H3733" s="77"/>
    </row>
    <row r="3734">
      <c r="C3734" s="72"/>
      <c r="G3734" s="77"/>
      <c r="H3734" s="77"/>
    </row>
    <row r="3735">
      <c r="C3735" s="72"/>
      <c r="G3735" s="77"/>
      <c r="H3735" s="77"/>
    </row>
    <row r="3736">
      <c r="C3736" s="72"/>
      <c r="G3736" s="77"/>
      <c r="H3736" s="77"/>
    </row>
    <row r="3737">
      <c r="C3737" s="72"/>
      <c r="G3737" s="77"/>
      <c r="H3737" s="77"/>
    </row>
    <row r="3738">
      <c r="C3738" s="72"/>
      <c r="G3738" s="77"/>
      <c r="H3738" s="77"/>
    </row>
    <row r="3739">
      <c r="C3739" s="72"/>
      <c r="G3739" s="77"/>
      <c r="H3739" s="77"/>
    </row>
    <row r="3740">
      <c r="C3740" s="72"/>
      <c r="G3740" s="77"/>
      <c r="H3740" s="77"/>
    </row>
    <row r="3741">
      <c r="C3741" s="72"/>
      <c r="G3741" s="77"/>
      <c r="H3741" s="77"/>
    </row>
    <row r="3742">
      <c r="C3742" s="72"/>
      <c r="G3742" s="77"/>
      <c r="H3742" s="77"/>
    </row>
    <row r="3743">
      <c r="C3743" s="72"/>
      <c r="G3743" s="77"/>
      <c r="H3743" s="77"/>
    </row>
    <row r="3744">
      <c r="C3744" s="72"/>
      <c r="G3744" s="77"/>
      <c r="H3744" s="77"/>
    </row>
    <row r="3745">
      <c r="C3745" s="72"/>
      <c r="G3745" s="77"/>
      <c r="H3745" s="77"/>
    </row>
    <row r="3746">
      <c r="C3746" s="72"/>
      <c r="G3746" s="77"/>
      <c r="H3746" s="77"/>
    </row>
    <row r="3747">
      <c r="C3747" s="72"/>
      <c r="G3747" s="77"/>
      <c r="H3747" s="77"/>
    </row>
    <row r="3748">
      <c r="C3748" s="72"/>
      <c r="G3748" s="77"/>
      <c r="H3748" s="77"/>
    </row>
    <row r="3749">
      <c r="C3749" s="72"/>
      <c r="G3749" s="77"/>
      <c r="H3749" s="77"/>
    </row>
    <row r="3750">
      <c r="C3750" s="72"/>
      <c r="G3750" s="77"/>
      <c r="H3750" s="77"/>
    </row>
    <row r="3751">
      <c r="C3751" s="72"/>
      <c r="G3751" s="77"/>
      <c r="H3751" s="77"/>
    </row>
    <row r="3752">
      <c r="C3752" s="72"/>
      <c r="G3752" s="77"/>
      <c r="H3752" s="77"/>
    </row>
    <row r="3753">
      <c r="C3753" s="72"/>
      <c r="G3753" s="77"/>
      <c r="H3753" s="77"/>
    </row>
    <row r="3754">
      <c r="C3754" s="72"/>
      <c r="G3754" s="77"/>
      <c r="H3754" s="77"/>
    </row>
    <row r="3755">
      <c r="C3755" s="72"/>
      <c r="G3755" s="77"/>
      <c r="H3755" s="77"/>
    </row>
    <row r="3756">
      <c r="C3756" s="72"/>
      <c r="G3756" s="77"/>
      <c r="H3756" s="77"/>
    </row>
    <row r="3757">
      <c r="C3757" s="72"/>
      <c r="G3757" s="77"/>
      <c r="H3757" s="77"/>
    </row>
    <row r="3758">
      <c r="C3758" s="72"/>
      <c r="G3758" s="77"/>
      <c r="H3758" s="77"/>
    </row>
    <row r="3759">
      <c r="C3759" s="72"/>
      <c r="G3759" s="77"/>
      <c r="H3759" s="77"/>
    </row>
    <row r="3760">
      <c r="C3760" s="72"/>
      <c r="G3760" s="77"/>
      <c r="H3760" s="77"/>
    </row>
    <row r="3761">
      <c r="C3761" s="72"/>
      <c r="G3761" s="77"/>
      <c r="H3761" s="77"/>
    </row>
    <row r="3762">
      <c r="C3762" s="72"/>
      <c r="G3762" s="77"/>
      <c r="H3762" s="77"/>
    </row>
    <row r="3763">
      <c r="C3763" s="72"/>
      <c r="G3763" s="77"/>
      <c r="H3763" s="77"/>
    </row>
    <row r="3764">
      <c r="C3764" s="72"/>
      <c r="G3764" s="77"/>
      <c r="H3764" s="77"/>
    </row>
    <row r="3765">
      <c r="C3765" s="72"/>
      <c r="G3765" s="77"/>
      <c r="H3765" s="77"/>
    </row>
    <row r="3766">
      <c r="C3766" s="72"/>
      <c r="G3766" s="77"/>
      <c r="H3766" s="77"/>
    </row>
    <row r="3767">
      <c r="C3767" s="72"/>
      <c r="G3767" s="77"/>
      <c r="H3767" s="77"/>
    </row>
    <row r="3768">
      <c r="C3768" s="72"/>
      <c r="G3768" s="77"/>
      <c r="H3768" s="77"/>
    </row>
    <row r="3769">
      <c r="C3769" s="72"/>
      <c r="G3769" s="77"/>
      <c r="H3769" s="77"/>
    </row>
    <row r="3770">
      <c r="C3770" s="72"/>
      <c r="G3770" s="77"/>
      <c r="H3770" s="77"/>
    </row>
    <row r="3771">
      <c r="C3771" s="72"/>
      <c r="G3771" s="77"/>
      <c r="H3771" s="77"/>
    </row>
    <row r="3772">
      <c r="C3772" s="72"/>
      <c r="G3772" s="77"/>
      <c r="H3772" s="77"/>
    </row>
    <row r="3773">
      <c r="C3773" s="72"/>
      <c r="G3773" s="77"/>
      <c r="H3773" s="77"/>
    </row>
    <row r="3774">
      <c r="C3774" s="72"/>
      <c r="G3774" s="77"/>
      <c r="H3774" s="77"/>
    </row>
    <row r="3775">
      <c r="C3775" s="72"/>
      <c r="G3775" s="77"/>
      <c r="H3775" s="77"/>
    </row>
    <row r="3776">
      <c r="C3776" s="72"/>
      <c r="G3776" s="77"/>
      <c r="H3776" s="77"/>
    </row>
    <row r="3777">
      <c r="C3777" s="72"/>
      <c r="G3777" s="77"/>
      <c r="H3777" s="77"/>
    </row>
    <row r="3778">
      <c r="C3778" s="72"/>
      <c r="G3778" s="77"/>
      <c r="H3778" s="77"/>
    </row>
    <row r="3779">
      <c r="C3779" s="72"/>
      <c r="G3779" s="77"/>
      <c r="H3779" s="77"/>
    </row>
    <row r="3780">
      <c r="C3780" s="72"/>
      <c r="G3780" s="77"/>
      <c r="H3780" s="77"/>
    </row>
    <row r="3781">
      <c r="C3781" s="72"/>
      <c r="G3781" s="77"/>
      <c r="H3781" s="77"/>
    </row>
    <row r="3782">
      <c r="C3782" s="72"/>
      <c r="G3782" s="77"/>
      <c r="H3782" s="77"/>
    </row>
    <row r="3783">
      <c r="C3783" s="72"/>
      <c r="G3783" s="77"/>
      <c r="H3783" s="77"/>
    </row>
    <row r="3784">
      <c r="C3784" s="72"/>
      <c r="G3784" s="77"/>
      <c r="H3784" s="77"/>
    </row>
    <row r="3785">
      <c r="C3785" s="72"/>
      <c r="G3785" s="77"/>
      <c r="H3785" s="77"/>
    </row>
    <row r="3786">
      <c r="C3786" s="72"/>
      <c r="G3786" s="77"/>
      <c r="H3786" s="77"/>
    </row>
    <row r="3787">
      <c r="C3787" s="72"/>
      <c r="G3787" s="77"/>
      <c r="H3787" s="77"/>
    </row>
    <row r="3788">
      <c r="C3788" s="72"/>
      <c r="G3788" s="77"/>
      <c r="H3788" s="77"/>
    </row>
    <row r="3789">
      <c r="C3789" s="72"/>
      <c r="G3789" s="77"/>
      <c r="H3789" s="77"/>
    </row>
    <row r="3790">
      <c r="C3790" s="72"/>
      <c r="G3790" s="77"/>
      <c r="H3790" s="77"/>
    </row>
    <row r="3791">
      <c r="C3791" s="72"/>
      <c r="G3791" s="77"/>
      <c r="H3791" s="77"/>
    </row>
    <row r="3792">
      <c r="C3792" s="72"/>
      <c r="G3792" s="77"/>
      <c r="H3792" s="77"/>
    </row>
    <row r="3793">
      <c r="C3793" s="72"/>
      <c r="G3793" s="77"/>
      <c r="H3793" s="77"/>
    </row>
    <row r="3794">
      <c r="C3794" s="72"/>
      <c r="G3794" s="77"/>
      <c r="H3794" s="77"/>
    </row>
    <row r="3795">
      <c r="C3795" s="72"/>
      <c r="G3795" s="77"/>
      <c r="H3795" s="77"/>
    </row>
    <row r="3796">
      <c r="C3796" s="72"/>
      <c r="G3796" s="77"/>
      <c r="H3796" s="77"/>
    </row>
    <row r="3797">
      <c r="C3797" s="72"/>
      <c r="G3797" s="77"/>
      <c r="H3797" s="77"/>
    </row>
    <row r="3798">
      <c r="C3798" s="72"/>
      <c r="G3798" s="77"/>
      <c r="H3798" s="77"/>
    </row>
    <row r="3799">
      <c r="C3799" s="72"/>
      <c r="G3799" s="77"/>
      <c r="H3799" s="77"/>
    </row>
    <row r="3800">
      <c r="C3800" s="72"/>
      <c r="G3800" s="77"/>
      <c r="H3800" s="77"/>
    </row>
    <row r="3801">
      <c r="C3801" s="72"/>
      <c r="G3801" s="77"/>
      <c r="H3801" s="77"/>
    </row>
    <row r="3802">
      <c r="C3802" s="72"/>
      <c r="G3802" s="77"/>
      <c r="H3802" s="77"/>
    </row>
    <row r="3803">
      <c r="C3803" s="72"/>
      <c r="G3803" s="77"/>
      <c r="H3803" s="77"/>
    </row>
    <row r="3804">
      <c r="C3804" s="72"/>
      <c r="G3804" s="77"/>
      <c r="H3804" s="77"/>
    </row>
    <row r="3805">
      <c r="C3805" s="72"/>
      <c r="G3805" s="77"/>
      <c r="H3805" s="77"/>
    </row>
    <row r="3806">
      <c r="C3806" s="72"/>
      <c r="G3806" s="77"/>
      <c r="H3806" s="77"/>
    </row>
    <row r="3807">
      <c r="C3807" s="72"/>
      <c r="G3807" s="77"/>
      <c r="H3807" s="77"/>
    </row>
    <row r="3808">
      <c r="C3808" s="72"/>
      <c r="G3808" s="77"/>
      <c r="H3808" s="77"/>
    </row>
    <row r="3809">
      <c r="C3809" s="72"/>
      <c r="G3809" s="77"/>
      <c r="H3809" s="77"/>
    </row>
    <row r="3810">
      <c r="C3810" s="72"/>
      <c r="G3810" s="77"/>
      <c r="H3810" s="77"/>
    </row>
    <row r="3811">
      <c r="C3811" s="72"/>
      <c r="G3811" s="77"/>
      <c r="H3811" s="77"/>
    </row>
    <row r="3812">
      <c r="C3812" s="72"/>
      <c r="G3812" s="77"/>
      <c r="H3812" s="77"/>
    </row>
    <row r="3813">
      <c r="C3813" s="72"/>
      <c r="G3813" s="77"/>
      <c r="H3813" s="77"/>
    </row>
    <row r="3814">
      <c r="C3814" s="72"/>
      <c r="G3814" s="77"/>
      <c r="H3814" s="77"/>
    </row>
    <row r="3815">
      <c r="C3815" s="72"/>
      <c r="G3815" s="77"/>
      <c r="H3815" s="77"/>
    </row>
    <row r="3816">
      <c r="C3816" s="72"/>
      <c r="G3816" s="77"/>
      <c r="H3816" s="77"/>
    </row>
    <row r="3817">
      <c r="C3817" s="72"/>
      <c r="G3817" s="77"/>
      <c r="H3817" s="77"/>
    </row>
    <row r="3818">
      <c r="C3818" s="72"/>
      <c r="G3818" s="77"/>
      <c r="H3818" s="77"/>
    </row>
    <row r="3819">
      <c r="C3819" s="72"/>
      <c r="G3819" s="77"/>
      <c r="H3819" s="77"/>
    </row>
    <row r="3820">
      <c r="C3820" s="72"/>
      <c r="G3820" s="77"/>
      <c r="H3820" s="77"/>
    </row>
    <row r="3821">
      <c r="C3821" s="72"/>
      <c r="G3821" s="77"/>
      <c r="H3821" s="77"/>
    </row>
    <row r="3822">
      <c r="C3822" s="72"/>
      <c r="G3822" s="77"/>
      <c r="H3822" s="77"/>
    </row>
    <row r="3823">
      <c r="C3823" s="72"/>
      <c r="G3823" s="77"/>
      <c r="H3823" s="77"/>
    </row>
    <row r="3824">
      <c r="C3824" s="72"/>
      <c r="G3824" s="77"/>
      <c r="H3824" s="77"/>
    </row>
    <row r="3825">
      <c r="C3825" s="72"/>
      <c r="G3825" s="77"/>
      <c r="H3825" s="77"/>
    </row>
    <row r="3826">
      <c r="C3826" s="72"/>
      <c r="G3826" s="77"/>
      <c r="H3826" s="77"/>
    </row>
    <row r="3827">
      <c r="C3827" s="72"/>
      <c r="G3827" s="77"/>
      <c r="H3827" s="77"/>
    </row>
    <row r="3828">
      <c r="C3828" s="72"/>
      <c r="G3828" s="77"/>
      <c r="H3828" s="77"/>
    </row>
    <row r="3829">
      <c r="C3829" s="72"/>
      <c r="G3829" s="77"/>
      <c r="H3829" s="77"/>
    </row>
    <row r="3830">
      <c r="C3830" s="72"/>
      <c r="G3830" s="77"/>
      <c r="H3830" s="77"/>
    </row>
    <row r="3831">
      <c r="C3831" s="72"/>
      <c r="G3831" s="77"/>
      <c r="H3831" s="77"/>
    </row>
    <row r="3832">
      <c r="C3832" s="72"/>
      <c r="G3832" s="77"/>
      <c r="H3832" s="77"/>
    </row>
    <row r="3833">
      <c r="C3833" s="72"/>
      <c r="G3833" s="77"/>
      <c r="H3833" s="77"/>
    </row>
    <row r="3834">
      <c r="C3834" s="72"/>
      <c r="G3834" s="77"/>
      <c r="H3834" s="77"/>
    </row>
    <row r="3835">
      <c r="C3835" s="72"/>
      <c r="G3835" s="77"/>
      <c r="H3835" s="77"/>
    </row>
    <row r="3836">
      <c r="C3836" s="72"/>
      <c r="G3836" s="77"/>
      <c r="H3836" s="77"/>
    </row>
    <row r="3837">
      <c r="C3837" s="72"/>
      <c r="G3837" s="77"/>
      <c r="H3837" s="77"/>
    </row>
    <row r="3838">
      <c r="C3838" s="72"/>
      <c r="G3838" s="77"/>
      <c r="H3838" s="77"/>
    </row>
    <row r="3839">
      <c r="C3839" s="72"/>
      <c r="G3839" s="77"/>
      <c r="H3839" s="77"/>
    </row>
    <row r="3840">
      <c r="C3840" s="72"/>
      <c r="G3840" s="77"/>
      <c r="H3840" s="77"/>
    </row>
    <row r="3841">
      <c r="C3841" s="72"/>
      <c r="G3841" s="77"/>
      <c r="H3841" s="77"/>
    </row>
    <row r="3842">
      <c r="C3842" s="72"/>
      <c r="G3842" s="77"/>
      <c r="H3842" s="77"/>
    </row>
    <row r="3843">
      <c r="C3843" s="72"/>
      <c r="G3843" s="77"/>
      <c r="H3843" s="77"/>
    </row>
    <row r="3844">
      <c r="C3844" s="72"/>
      <c r="G3844" s="77"/>
      <c r="H3844" s="77"/>
    </row>
    <row r="3845">
      <c r="C3845" s="72"/>
      <c r="G3845" s="77"/>
      <c r="H3845" s="77"/>
    </row>
    <row r="3846">
      <c r="C3846" s="72"/>
      <c r="G3846" s="77"/>
      <c r="H3846" s="77"/>
    </row>
    <row r="3847">
      <c r="C3847" s="72"/>
      <c r="G3847" s="77"/>
      <c r="H3847" s="77"/>
    </row>
    <row r="3848">
      <c r="C3848" s="72"/>
      <c r="G3848" s="77"/>
      <c r="H3848" s="77"/>
    </row>
    <row r="3849">
      <c r="C3849" s="72"/>
      <c r="G3849" s="77"/>
      <c r="H3849" s="77"/>
    </row>
    <row r="3850">
      <c r="C3850" s="72"/>
      <c r="G3850" s="77"/>
      <c r="H3850" s="77"/>
    </row>
    <row r="3851">
      <c r="C3851" s="72"/>
      <c r="G3851" s="77"/>
      <c r="H3851" s="77"/>
    </row>
    <row r="3852">
      <c r="C3852" s="72"/>
      <c r="G3852" s="77"/>
      <c r="H3852" s="77"/>
    </row>
    <row r="3853">
      <c r="C3853" s="72"/>
      <c r="G3853" s="77"/>
      <c r="H3853" s="77"/>
    </row>
    <row r="3854">
      <c r="C3854" s="72"/>
      <c r="G3854" s="77"/>
      <c r="H3854" s="77"/>
    </row>
    <row r="3855">
      <c r="C3855" s="72"/>
      <c r="G3855" s="77"/>
      <c r="H3855" s="77"/>
    </row>
    <row r="3856">
      <c r="C3856" s="72"/>
      <c r="G3856" s="77"/>
      <c r="H3856" s="77"/>
    </row>
    <row r="3857">
      <c r="C3857" s="72"/>
      <c r="G3857" s="77"/>
      <c r="H3857" s="77"/>
    </row>
    <row r="3858">
      <c r="C3858" s="72"/>
      <c r="G3858" s="77"/>
      <c r="H3858" s="77"/>
    </row>
    <row r="3859">
      <c r="C3859" s="72"/>
      <c r="G3859" s="77"/>
      <c r="H3859" s="77"/>
    </row>
    <row r="3860">
      <c r="C3860" s="72"/>
      <c r="G3860" s="77"/>
      <c r="H3860" s="77"/>
    </row>
    <row r="3861">
      <c r="C3861" s="72"/>
      <c r="G3861" s="77"/>
      <c r="H3861" s="77"/>
    </row>
    <row r="3862">
      <c r="C3862" s="72"/>
      <c r="G3862" s="77"/>
      <c r="H3862" s="77"/>
    </row>
    <row r="3863">
      <c r="C3863" s="72"/>
      <c r="G3863" s="77"/>
      <c r="H3863" s="77"/>
    </row>
    <row r="3864">
      <c r="C3864" s="72"/>
      <c r="G3864" s="77"/>
      <c r="H3864" s="77"/>
    </row>
    <row r="3865">
      <c r="C3865" s="72"/>
      <c r="G3865" s="77"/>
      <c r="H3865" s="77"/>
    </row>
    <row r="3866">
      <c r="C3866" s="72"/>
      <c r="G3866" s="77"/>
      <c r="H3866" s="77"/>
    </row>
    <row r="3867">
      <c r="C3867" s="72"/>
      <c r="G3867" s="77"/>
      <c r="H3867" s="77"/>
    </row>
    <row r="3868">
      <c r="C3868" s="72"/>
      <c r="G3868" s="77"/>
      <c r="H3868" s="77"/>
    </row>
    <row r="3869">
      <c r="C3869" s="72"/>
      <c r="G3869" s="77"/>
      <c r="H3869" s="77"/>
    </row>
    <row r="3870">
      <c r="C3870" s="72"/>
      <c r="G3870" s="77"/>
      <c r="H3870" s="77"/>
    </row>
    <row r="3871">
      <c r="C3871" s="72"/>
      <c r="G3871" s="77"/>
      <c r="H3871" s="77"/>
    </row>
    <row r="3872">
      <c r="C3872" s="72"/>
      <c r="G3872" s="77"/>
      <c r="H3872" s="77"/>
    </row>
    <row r="3873">
      <c r="C3873" s="72"/>
      <c r="G3873" s="77"/>
      <c r="H3873" s="77"/>
    </row>
    <row r="3874">
      <c r="C3874" s="72"/>
      <c r="G3874" s="77"/>
      <c r="H3874" s="77"/>
    </row>
    <row r="3875">
      <c r="C3875" s="72"/>
      <c r="G3875" s="77"/>
      <c r="H3875" s="77"/>
    </row>
    <row r="3876">
      <c r="C3876" s="72"/>
      <c r="G3876" s="77"/>
      <c r="H3876" s="77"/>
    </row>
    <row r="3877">
      <c r="C3877" s="72"/>
      <c r="G3877" s="77"/>
      <c r="H3877" s="77"/>
    </row>
    <row r="3878">
      <c r="C3878" s="72"/>
      <c r="G3878" s="77"/>
      <c r="H3878" s="77"/>
    </row>
    <row r="3879">
      <c r="C3879" s="72"/>
      <c r="G3879" s="77"/>
      <c r="H3879" s="77"/>
    </row>
    <row r="3880">
      <c r="C3880" s="72"/>
      <c r="G3880" s="77"/>
      <c r="H3880" s="77"/>
    </row>
    <row r="3881">
      <c r="C3881" s="72"/>
      <c r="G3881" s="77"/>
      <c r="H3881" s="77"/>
    </row>
    <row r="3882">
      <c r="C3882" s="72"/>
      <c r="G3882" s="77"/>
      <c r="H3882" s="77"/>
    </row>
    <row r="3883">
      <c r="C3883" s="72"/>
      <c r="G3883" s="77"/>
      <c r="H3883" s="77"/>
    </row>
    <row r="3884">
      <c r="C3884" s="72"/>
      <c r="G3884" s="77"/>
      <c r="H3884" s="77"/>
    </row>
    <row r="3885">
      <c r="C3885" s="72"/>
      <c r="G3885" s="77"/>
      <c r="H3885" s="77"/>
    </row>
    <row r="3886">
      <c r="C3886" s="72"/>
      <c r="G3886" s="77"/>
      <c r="H3886" s="77"/>
    </row>
    <row r="3887">
      <c r="C3887" s="72"/>
      <c r="G3887" s="77"/>
      <c r="H3887" s="77"/>
    </row>
    <row r="3888">
      <c r="C3888" s="72"/>
      <c r="G3888" s="77"/>
      <c r="H3888" s="77"/>
    </row>
    <row r="3889">
      <c r="C3889" s="72"/>
      <c r="G3889" s="77"/>
      <c r="H3889" s="77"/>
    </row>
    <row r="3890">
      <c r="C3890" s="72"/>
      <c r="G3890" s="77"/>
      <c r="H3890" s="77"/>
    </row>
    <row r="3891">
      <c r="C3891" s="72"/>
      <c r="G3891" s="77"/>
      <c r="H3891" s="77"/>
    </row>
    <row r="3892">
      <c r="C3892" s="72"/>
      <c r="G3892" s="77"/>
      <c r="H3892" s="77"/>
    </row>
    <row r="3893">
      <c r="C3893" s="72"/>
      <c r="G3893" s="77"/>
      <c r="H3893" s="77"/>
    </row>
    <row r="3894">
      <c r="C3894" s="72"/>
      <c r="G3894" s="77"/>
      <c r="H3894" s="77"/>
    </row>
    <row r="3895">
      <c r="C3895" s="72"/>
      <c r="G3895" s="77"/>
      <c r="H3895" s="77"/>
    </row>
    <row r="3896">
      <c r="C3896" s="72"/>
      <c r="G3896" s="77"/>
      <c r="H3896" s="77"/>
    </row>
    <row r="3897">
      <c r="C3897" s="72"/>
      <c r="G3897" s="77"/>
      <c r="H3897" s="77"/>
    </row>
    <row r="3898">
      <c r="C3898" s="72"/>
      <c r="G3898" s="77"/>
      <c r="H3898" s="77"/>
    </row>
    <row r="3899">
      <c r="C3899" s="72"/>
      <c r="G3899" s="77"/>
      <c r="H3899" s="77"/>
    </row>
    <row r="3900">
      <c r="C3900" s="72"/>
      <c r="G3900" s="77"/>
      <c r="H3900" s="77"/>
    </row>
    <row r="3901">
      <c r="C3901" s="72"/>
      <c r="G3901" s="77"/>
      <c r="H3901" s="77"/>
    </row>
    <row r="3902">
      <c r="C3902" s="72"/>
      <c r="G3902" s="77"/>
      <c r="H3902" s="77"/>
    </row>
    <row r="3903">
      <c r="C3903" s="72"/>
      <c r="G3903" s="77"/>
      <c r="H3903" s="77"/>
    </row>
    <row r="3904">
      <c r="C3904" s="72"/>
      <c r="G3904" s="77"/>
      <c r="H3904" s="77"/>
    </row>
    <row r="3905">
      <c r="C3905" s="72"/>
      <c r="G3905" s="77"/>
      <c r="H3905" s="77"/>
    </row>
    <row r="3906">
      <c r="C3906" s="72"/>
      <c r="G3906" s="77"/>
      <c r="H3906" s="77"/>
    </row>
    <row r="3907">
      <c r="C3907" s="72"/>
      <c r="G3907" s="77"/>
      <c r="H3907" s="77"/>
    </row>
    <row r="3908">
      <c r="C3908" s="72"/>
      <c r="G3908" s="77"/>
      <c r="H3908" s="77"/>
    </row>
    <row r="3909">
      <c r="C3909" s="72"/>
      <c r="G3909" s="77"/>
      <c r="H3909" s="77"/>
    </row>
    <row r="3910">
      <c r="C3910" s="72"/>
      <c r="G3910" s="77"/>
      <c r="H3910" s="77"/>
    </row>
    <row r="3911">
      <c r="C3911" s="72"/>
      <c r="G3911" s="77"/>
      <c r="H3911" s="77"/>
    </row>
    <row r="3912">
      <c r="C3912" s="72"/>
      <c r="G3912" s="77"/>
      <c r="H3912" s="77"/>
    </row>
    <row r="3913">
      <c r="C3913" s="72"/>
      <c r="G3913" s="77"/>
      <c r="H3913" s="77"/>
    </row>
    <row r="3914">
      <c r="C3914" s="72"/>
      <c r="G3914" s="77"/>
      <c r="H3914" s="77"/>
    </row>
    <row r="3915">
      <c r="C3915" s="72"/>
      <c r="G3915" s="77"/>
      <c r="H3915" s="77"/>
    </row>
    <row r="3916">
      <c r="C3916" s="72"/>
      <c r="G3916" s="77"/>
      <c r="H3916" s="77"/>
    </row>
    <row r="3917">
      <c r="C3917" s="72"/>
      <c r="G3917" s="77"/>
      <c r="H3917" s="77"/>
    </row>
    <row r="3918">
      <c r="C3918" s="72"/>
      <c r="G3918" s="77"/>
      <c r="H3918" s="77"/>
    </row>
    <row r="3919">
      <c r="C3919" s="72"/>
      <c r="G3919" s="77"/>
      <c r="H3919" s="77"/>
    </row>
    <row r="3920">
      <c r="C3920" s="72"/>
      <c r="G3920" s="77"/>
      <c r="H3920" s="77"/>
    </row>
    <row r="3921">
      <c r="C3921" s="72"/>
      <c r="G3921" s="77"/>
      <c r="H3921" s="77"/>
    </row>
    <row r="3922">
      <c r="C3922" s="72"/>
      <c r="G3922" s="77"/>
      <c r="H3922" s="77"/>
    </row>
    <row r="3923">
      <c r="C3923" s="72"/>
      <c r="G3923" s="77"/>
      <c r="H3923" s="77"/>
    </row>
    <row r="3924">
      <c r="C3924" s="72"/>
      <c r="G3924" s="77"/>
      <c r="H3924" s="77"/>
    </row>
    <row r="3925">
      <c r="C3925" s="72"/>
      <c r="G3925" s="77"/>
      <c r="H3925" s="77"/>
    </row>
    <row r="3926">
      <c r="C3926" s="72"/>
      <c r="G3926" s="77"/>
      <c r="H3926" s="77"/>
    </row>
    <row r="3927">
      <c r="C3927" s="72"/>
      <c r="G3927" s="77"/>
      <c r="H3927" s="77"/>
    </row>
    <row r="3928">
      <c r="C3928" s="72"/>
      <c r="G3928" s="77"/>
      <c r="H3928" s="77"/>
    </row>
    <row r="3929">
      <c r="C3929" s="72"/>
      <c r="G3929" s="77"/>
      <c r="H3929" s="77"/>
    </row>
    <row r="3930">
      <c r="C3930" s="72"/>
      <c r="G3930" s="77"/>
      <c r="H3930" s="77"/>
    </row>
    <row r="3931">
      <c r="C3931" s="72"/>
      <c r="G3931" s="77"/>
      <c r="H3931" s="77"/>
    </row>
    <row r="3932">
      <c r="C3932" s="72"/>
      <c r="G3932" s="77"/>
      <c r="H3932" s="77"/>
    </row>
    <row r="3933">
      <c r="C3933" s="72"/>
      <c r="G3933" s="77"/>
      <c r="H3933" s="77"/>
    </row>
    <row r="3934">
      <c r="C3934" s="72"/>
      <c r="G3934" s="77"/>
      <c r="H3934" s="77"/>
    </row>
    <row r="3935">
      <c r="C3935" s="72"/>
      <c r="G3935" s="77"/>
      <c r="H3935" s="77"/>
    </row>
    <row r="3936">
      <c r="C3936" s="72"/>
      <c r="G3936" s="77"/>
      <c r="H3936" s="77"/>
    </row>
    <row r="3937">
      <c r="C3937" s="72"/>
      <c r="G3937" s="77"/>
      <c r="H3937" s="77"/>
    </row>
    <row r="3938">
      <c r="C3938" s="72"/>
      <c r="G3938" s="77"/>
      <c r="H3938" s="77"/>
    </row>
    <row r="3939">
      <c r="C3939" s="72"/>
      <c r="G3939" s="77"/>
      <c r="H3939" s="77"/>
    </row>
    <row r="3940">
      <c r="C3940" s="72"/>
      <c r="G3940" s="77"/>
      <c r="H3940" s="77"/>
    </row>
    <row r="3941">
      <c r="C3941" s="72"/>
      <c r="G3941" s="77"/>
      <c r="H3941" s="77"/>
    </row>
    <row r="3942">
      <c r="C3942" s="72"/>
      <c r="G3942" s="77"/>
      <c r="H3942" s="77"/>
    </row>
    <row r="3943">
      <c r="C3943" s="72"/>
      <c r="G3943" s="77"/>
      <c r="H3943" s="77"/>
    </row>
    <row r="3944">
      <c r="C3944" s="72"/>
      <c r="G3944" s="77"/>
      <c r="H3944" s="77"/>
    </row>
    <row r="3945">
      <c r="C3945" s="72"/>
      <c r="G3945" s="77"/>
      <c r="H3945" s="77"/>
    </row>
    <row r="3946">
      <c r="C3946" s="72"/>
      <c r="G3946" s="77"/>
      <c r="H3946" s="77"/>
    </row>
    <row r="3947">
      <c r="C3947" s="72"/>
      <c r="G3947" s="77"/>
      <c r="H3947" s="77"/>
    </row>
    <row r="3948">
      <c r="C3948" s="72"/>
      <c r="G3948" s="77"/>
      <c r="H3948" s="77"/>
    </row>
    <row r="3949">
      <c r="C3949" s="72"/>
      <c r="G3949" s="77"/>
      <c r="H3949" s="77"/>
    </row>
    <row r="3950">
      <c r="C3950" s="72"/>
      <c r="G3950" s="77"/>
      <c r="H3950" s="77"/>
    </row>
    <row r="3951">
      <c r="C3951" s="72"/>
      <c r="G3951" s="77"/>
      <c r="H3951" s="77"/>
    </row>
    <row r="3952">
      <c r="C3952" s="72"/>
      <c r="G3952" s="77"/>
      <c r="H3952" s="77"/>
    </row>
    <row r="3953">
      <c r="C3953" s="72"/>
      <c r="G3953" s="77"/>
      <c r="H3953" s="77"/>
    </row>
    <row r="3954">
      <c r="C3954" s="72"/>
      <c r="G3954" s="77"/>
      <c r="H3954" s="77"/>
    </row>
    <row r="3955">
      <c r="C3955" s="72"/>
      <c r="G3955" s="77"/>
      <c r="H3955" s="77"/>
    </row>
    <row r="3956">
      <c r="C3956" s="72"/>
      <c r="G3956" s="77"/>
      <c r="H3956" s="77"/>
    </row>
    <row r="3957">
      <c r="C3957" s="72"/>
      <c r="G3957" s="77"/>
      <c r="H3957" s="77"/>
    </row>
    <row r="3958">
      <c r="C3958" s="72"/>
      <c r="G3958" s="77"/>
      <c r="H3958" s="77"/>
    </row>
    <row r="3959">
      <c r="C3959" s="72"/>
      <c r="G3959" s="77"/>
      <c r="H3959" s="77"/>
    </row>
    <row r="3960">
      <c r="C3960" s="72"/>
      <c r="G3960" s="77"/>
      <c r="H3960" s="77"/>
    </row>
    <row r="3961">
      <c r="C3961" s="72"/>
      <c r="G3961" s="77"/>
      <c r="H3961" s="77"/>
    </row>
    <row r="3962">
      <c r="C3962" s="72"/>
      <c r="G3962" s="77"/>
      <c r="H3962" s="77"/>
    </row>
    <row r="3963">
      <c r="C3963" s="72"/>
      <c r="G3963" s="77"/>
      <c r="H3963" s="77"/>
    </row>
    <row r="3964">
      <c r="C3964" s="72"/>
      <c r="G3964" s="77"/>
      <c r="H3964" s="77"/>
    </row>
    <row r="3965">
      <c r="C3965" s="72"/>
      <c r="G3965" s="77"/>
      <c r="H3965" s="77"/>
    </row>
    <row r="3966">
      <c r="C3966" s="72"/>
      <c r="G3966" s="77"/>
      <c r="H3966" s="77"/>
    </row>
    <row r="3967">
      <c r="C3967" s="72"/>
      <c r="G3967" s="77"/>
      <c r="H3967" s="77"/>
    </row>
    <row r="3968">
      <c r="C3968" s="72"/>
      <c r="G3968" s="77"/>
      <c r="H3968" s="77"/>
    </row>
    <row r="3969">
      <c r="C3969" s="72"/>
      <c r="G3969" s="77"/>
      <c r="H3969" s="77"/>
    </row>
    <row r="3970">
      <c r="C3970" s="72"/>
      <c r="G3970" s="77"/>
      <c r="H3970" s="77"/>
    </row>
    <row r="3971">
      <c r="C3971" s="72"/>
      <c r="G3971" s="77"/>
      <c r="H3971" s="77"/>
    </row>
    <row r="3972">
      <c r="C3972" s="72"/>
      <c r="G3972" s="77"/>
      <c r="H3972" s="77"/>
    </row>
    <row r="3973">
      <c r="C3973" s="72"/>
      <c r="G3973" s="77"/>
      <c r="H3973" s="77"/>
    </row>
    <row r="3974">
      <c r="C3974" s="72"/>
      <c r="G3974" s="77"/>
      <c r="H3974" s="77"/>
    </row>
    <row r="3975">
      <c r="C3975" s="72"/>
      <c r="G3975" s="77"/>
      <c r="H3975" s="77"/>
    </row>
    <row r="3976">
      <c r="C3976" s="72"/>
      <c r="G3976" s="77"/>
      <c r="H3976" s="77"/>
    </row>
    <row r="3977">
      <c r="C3977" s="72"/>
      <c r="G3977" s="77"/>
      <c r="H3977" s="77"/>
    </row>
    <row r="3978">
      <c r="C3978" s="72"/>
      <c r="G3978" s="77"/>
      <c r="H3978" s="77"/>
    </row>
    <row r="3979">
      <c r="C3979" s="72"/>
      <c r="G3979" s="77"/>
      <c r="H3979" s="77"/>
    </row>
    <row r="3980">
      <c r="C3980" s="72"/>
      <c r="G3980" s="77"/>
      <c r="H3980" s="77"/>
    </row>
    <row r="3981">
      <c r="C3981" s="72"/>
      <c r="G3981" s="77"/>
      <c r="H3981" s="77"/>
    </row>
    <row r="3982">
      <c r="C3982" s="72"/>
      <c r="G3982" s="77"/>
      <c r="H3982" s="77"/>
    </row>
    <row r="3983">
      <c r="C3983" s="72"/>
      <c r="G3983" s="77"/>
      <c r="H3983" s="77"/>
    </row>
    <row r="3984">
      <c r="C3984" s="72"/>
      <c r="G3984" s="77"/>
      <c r="H3984" s="77"/>
    </row>
    <row r="3985">
      <c r="C3985" s="72"/>
      <c r="G3985" s="77"/>
      <c r="H3985" s="77"/>
    </row>
    <row r="3986">
      <c r="C3986" s="72"/>
      <c r="G3986" s="77"/>
      <c r="H3986" s="77"/>
    </row>
    <row r="3987">
      <c r="C3987" s="72"/>
      <c r="G3987" s="77"/>
      <c r="H3987" s="77"/>
    </row>
    <row r="3988">
      <c r="C3988" s="72"/>
      <c r="G3988" s="77"/>
      <c r="H3988" s="77"/>
    </row>
    <row r="3989">
      <c r="C3989" s="72"/>
      <c r="G3989" s="77"/>
      <c r="H3989" s="77"/>
    </row>
    <row r="3990">
      <c r="C3990" s="72"/>
      <c r="G3990" s="77"/>
      <c r="H3990" s="77"/>
    </row>
    <row r="3991">
      <c r="C3991" s="72"/>
      <c r="G3991" s="77"/>
      <c r="H3991" s="77"/>
    </row>
    <row r="3992">
      <c r="C3992" s="72"/>
      <c r="G3992" s="77"/>
      <c r="H3992" s="77"/>
    </row>
    <row r="3993">
      <c r="C3993" s="72"/>
      <c r="G3993" s="77"/>
      <c r="H3993" s="77"/>
    </row>
    <row r="3994">
      <c r="C3994" s="72"/>
      <c r="G3994" s="77"/>
      <c r="H3994" s="77"/>
    </row>
    <row r="3995">
      <c r="C3995" s="72"/>
      <c r="G3995" s="77"/>
      <c r="H3995" s="77"/>
    </row>
    <row r="3996">
      <c r="C3996" s="72"/>
      <c r="G3996" s="77"/>
      <c r="H3996" s="77"/>
    </row>
    <row r="3997">
      <c r="C3997" s="72"/>
      <c r="G3997" s="77"/>
      <c r="H3997" s="77"/>
    </row>
    <row r="3998">
      <c r="C3998" s="72"/>
      <c r="G3998" s="77"/>
      <c r="H3998" s="77"/>
    </row>
    <row r="3999">
      <c r="C3999" s="72"/>
      <c r="G3999" s="77"/>
      <c r="H3999" s="77"/>
    </row>
    <row r="4000">
      <c r="C4000" s="72"/>
      <c r="G4000" s="77"/>
      <c r="H4000" s="77"/>
    </row>
    <row r="4001">
      <c r="C4001" s="72"/>
      <c r="G4001" s="77"/>
      <c r="H4001" s="77"/>
    </row>
    <row r="4002">
      <c r="C4002" s="72"/>
      <c r="G4002" s="77"/>
      <c r="H4002" s="77"/>
    </row>
    <row r="4003">
      <c r="C4003" s="72"/>
      <c r="G4003" s="77"/>
      <c r="H4003" s="77"/>
    </row>
    <row r="4004">
      <c r="C4004" s="72"/>
      <c r="G4004" s="77"/>
      <c r="H4004" s="77"/>
    </row>
    <row r="4005">
      <c r="C4005" s="72"/>
      <c r="G4005" s="77"/>
      <c r="H4005" s="77"/>
    </row>
    <row r="4006">
      <c r="C4006" s="72"/>
      <c r="G4006" s="77"/>
      <c r="H4006" s="77"/>
    </row>
    <row r="4007">
      <c r="C4007" s="72"/>
      <c r="G4007" s="77"/>
      <c r="H4007" s="77"/>
    </row>
    <row r="4008">
      <c r="C4008" s="72"/>
      <c r="G4008" s="77"/>
      <c r="H4008" s="77"/>
    </row>
    <row r="4009">
      <c r="C4009" s="72"/>
      <c r="G4009" s="77"/>
      <c r="H4009" s="77"/>
    </row>
    <row r="4010">
      <c r="C4010" s="72"/>
      <c r="G4010" s="77"/>
      <c r="H4010" s="77"/>
    </row>
    <row r="4011">
      <c r="C4011" s="72"/>
      <c r="G4011" s="77"/>
      <c r="H4011" s="77"/>
    </row>
    <row r="4012">
      <c r="C4012" s="72"/>
      <c r="G4012" s="77"/>
      <c r="H4012" s="77"/>
    </row>
    <row r="4013">
      <c r="C4013" s="72"/>
      <c r="G4013" s="77"/>
      <c r="H4013" s="77"/>
    </row>
    <row r="4014">
      <c r="C4014" s="72"/>
      <c r="G4014" s="77"/>
      <c r="H4014" s="77"/>
    </row>
    <row r="4015">
      <c r="C4015" s="72"/>
      <c r="G4015" s="77"/>
      <c r="H4015" s="77"/>
    </row>
    <row r="4016">
      <c r="C4016" s="72"/>
      <c r="G4016" s="77"/>
      <c r="H4016" s="77"/>
    </row>
    <row r="4017">
      <c r="C4017" s="72"/>
      <c r="G4017" s="77"/>
      <c r="H4017" s="77"/>
    </row>
    <row r="4018">
      <c r="C4018" s="72"/>
      <c r="G4018" s="77"/>
      <c r="H4018" s="77"/>
    </row>
    <row r="4019">
      <c r="C4019" s="72"/>
      <c r="G4019" s="77"/>
      <c r="H4019" s="77"/>
    </row>
    <row r="4020">
      <c r="C4020" s="72"/>
      <c r="G4020" s="77"/>
      <c r="H4020" s="77"/>
    </row>
    <row r="4021">
      <c r="C4021" s="72"/>
      <c r="G4021" s="77"/>
      <c r="H4021" s="77"/>
    </row>
    <row r="4022">
      <c r="C4022" s="72"/>
      <c r="G4022" s="77"/>
      <c r="H4022" s="77"/>
    </row>
    <row r="4023">
      <c r="C4023" s="72"/>
      <c r="G4023" s="77"/>
      <c r="H4023" s="77"/>
    </row>
    <row r="4024">
      <c r="C4024" s="72"/>
      <c r="G4024" s="77"/>
      <c r="H4024" s="77"/>
    </row>
    <row r="4025">
      <c r="C4025" s="72"/>
      <c r="G4025" s="77"/>
      <c r="H4025" s="77"/>
    </row>
    <row r="4026">
      <c r="C4026" s="72"/>
      <c r="G4026" s="77"/>
      <c r="H4026" s="77"/>
    </row>
    <row r="4027">
      <c r="C4027" s="72"/>
      <c r="G4027" s="77"/>
      <c r="H4027" s="77"/>
    </row>
    <row r="4028">
      <c r="C4028" s="72"/>
      <c r="G4028" s="77"/>
      <c r="H4028" s="77"/>
    </row>
    <row r="4029">
      <c r="C4029" s="72"/>
      <c r="G4029" s="77"/>
      <c r="H4029" s="77"/>
    </row>
    <row r="4030">
      <c r="C4030" s="72"/>
      <c r="G4030" s="77"/>
      <c r="H4030" s="77"/>
    </row>
    <row r="4031">
      <c r="C4031" s="72"/>
      <c r="G4031" s="77"/>
      <c r="H4031" s="77"/>
    </row>
    <row r="4032">
      <c r="C4032" s="72"/>
      <c r="G4032" s="77"/>
      <c r="H4032" s="77"/>
    </row>
    <row r="4033">
      <c r="C4033" s="72"/>
      <c r="G4033" s="77"/>
      <c r="H4033" s="77"/>
    </row>
    <row r="4034">
      <c r="C4034" s="72"/>
      <c r="G4034" s="77"/>
      <c r="H4034" s="77"/>
    </row>
    <row r="4035">
      <c r="C4035" s="72"/>
      <c r="G4035" s="77"/>
      <c r="H4035" s="77"/>
    </row>
    <row r="4036">
      <c r="C4036" s="72"/>
      <c r="G4036" s="77"/>
      <c r="H4036" s="77"/>
    </row>
    <row r="4037">
      <c r="C4037" s="72"/>
      <c r="G4037" s="77"/>
      <c r="H4037" s="77"/>
    </row>
    <row r="4038">
      <c r="C4038" s="72"/>
      <c r="G4038" s="77"/>
      <c r="H4038" s="77"/>
    </row>
    <row r="4039">
      <c r="C4039" s="72"/>
      <c r="G4039" s="77"/>
      <c r="H4039" s="77"/>
    </row>
    <row r="4040">
      <c r="C4040" s="72"/>
      <c r="G4040" s="77"/>
      <c r="H4040" s="77"/>
    </row>
    <row r="4041">
      <c r="C4041" s="72"/>
      <c r="G4041" s="77"/>
      <c r="H4041" s="77"/>
    </row>
    <row r="4042">
      <c r="C4042" s="72"/>
      <c r="G4042" s="77"/>
      <c r="H4042" s="77"/>
    </row>
    <row r="4043">
      <c r="C4043" s="72"/>
      <c r="G4043" s="77"/>
      <c r="H4043" s="77"/>
    </row>
    <row r="4044">
      <c r="C4044" s="72"/>
      <c r="G4044" s="77"/>
      <c r="H4044" s="77"/>
    </row>
    <row r="4045">
      <c r="C4045" s="72"/>
      <c r="G4045" s="77"/>
      <c r="H4045" s="77"/>
    </row>
    <row r="4046">
      <c r="C4046" s="72"/>
      <c r="G4046" s="77"/>
      <c r="H4046" s="77"/>
    </row>
    <row r="4047">
      <c r="C4047" s="72"/>
      <c r="G4047" s="77"/>
      <c r="H4047" s="77"/>
    </row>
    <row r="4048">
      <c r="C4048" s="72"/>
      <c r="G4048" s="77"/>
      <c r="H4048" s="77"/>
    </row>
    <row r="4049">
      <c r="C4049" s="72"/>
      <c r="G4049" s="77"/>
      <c r="H4049" s="77"/>
    </row>
    <row r="4050">
      <c r="C4050" s="72"/>
      <c r="G4050" s="77"/>
      <c r="H4050" s="77"/>
    </row>
    <row r="4051">
      <c r="C4051" s="72"/>
      <c r="G4051" s="77"/>
      <c r="H4051" s="77"/>
    </row>
    <row r="4052">
      <c r="C4052" s="72"/>
      <c r="G4052" s="77"/>
      <c r="H4052" s="77"/>
    </row>
    <row r="4053">
      <c r="C4053" s="72"/>
      <c r="G4053" s="77"/>
      <c r="H4053" s="77"/>
    </row>
    <row r="4054">
      <c r="C4054" s="72"/>
      <c r="G4054" s="77"/>
      <c r="H4054" s="77"/>
    </row>
    <row r="4055">
      <c r="C4055" s="72"/>
      <c r="G4055" s="77"/>
      <c r="H4055" s="77"/>
    </row>
    <row r="4056">
      <c r="C4056" s="72"/>
      <c r="G4056" s="77"/>
      <c r="H4056" s="77"/>
    </row>
    <row r="4057">
      <c r="C4057" s="72"/>
      <c r="G4057" s="77"/>
      <c r="H4057" s="77"/>
    </row>
    <row r="4058">
      <c r="C4058" s="72"/>
      <c r="G4058" s="77"/>
      <c r="H4058" s="77"/>
    </row>
    <row r="4059">
      <c r="C4059" s="72"/>
      <c r="G4059" s="77"/>
      <c r="H4059" s="77"/>
    </row>
    <row r="4060">
      <c r="C4060" s="72"/>
      <c r="G4060" s="77"/>
      <c r="H4060" s="77"/>
    </row>
    <row r="4061">
      <c r="C4061" s="72"/>
      <c r="G4061" s="77"/>
      <c r="H4061" s="77"/>
    </row>
    <row r="4062">
      <c r="C4062" s="72"/>
      <c r="G4062" s="77"/>
      <c r="H4062" s="77"/>
    </row>
    <row r="4063">
      <c r="C4063" s="72"/>
      <c r="G4063" s="77"/>
      <c r="H4063" s="77"/>
    </row>
    <row r="4064">
      <c r="C4064" s="72"/>
      <c r="G4064" s="77"/>
      <c r="H4064" s="77"/>
    </row>
    <row r="4065">
      <c r="C4065" s="72"/>
      <c r="G4065" s="77"/>
      <c r="H4065" s="77"/>
    </row>
    <row r="4066">
      <c r="C4066" s="72"/>
      <c r="G4066" s="77"/>
      <c r="H4066" s="77"/>
    </row>
    <row r="4067">
      <c r="C4067" s="72"/>
      <c r="G4067" s="77"/>
      <c r="H4067" s="77"/>
    </row>
    <row r="4068">
      <c r="C4068" s="72"/>
      <c r="G4068" s="77"/>
      <c r="H4068" s="77"/>
    </row>
    <row r="4069">
      <c r="C4069" s="72"/>
      <c r="G4069" s="77"/>
      <c r="H4069" s="77"/>
    </row>
    <row r="4070">
      <c r="C4070" s="72"/>
      <c r="G4070" s="77"/>
      <c r="H4070" s="77"/>
    </row>
    <row r="4071">
      <c r="C4071" s="72"/>
      <c r="G4071" s="77"/>
      <c r="H4071" s="77"/>
    </row>
    <row r="4072">
      <c r="C4072" s="72"/>
      <c r="G4072" s="77"/>
      <c r="H4072" s="77"/>
    </row>
    <row r="4073">
      <c r="C4073" s="72"/>
      <c r="G4073" s="77"/>
      <c r="H4073" s="77"/>
    </row>
    <row r="4074">
      <c r="C4074" s="72"/>
      <c r="G4074" s="77"/>
      <c r="H4074" s="77"/>
    </row>
    <row r="4075">
      <c r="C4075" s="72"/>
      <c r="G4075" s="77"/>
      <c r="H4075" s="77"/>
    </row>
    <row r="4076">
      <c r="C4076" s="72"/>
      <c r="G4076" s="77"/>
      <c r="H4076" s="77"/>
    </row>
    <row r="4077">
      <c r="C4077" s="72"/>
      <c r="G4077" s="77"/>
      <c r="H4077" s="77"/>
    </row>
    <row r="4078">
      <c r="C4078" s="72"/>
      <c r="G4078" s="77"/>
      <c r="H4078" s="77"/>
    </row>
    <row r="4079">
      <c r="C4079" s="72"/>
      <c r="G4079" s="77"/>
      <c r="H4079" s="77"/>
    </row>
    <row r="4080">
      <c r="C4080" s="72"/>
      <c r="G4080" s="77"/>
      <c r="H4080" s="77"/>
    </row>
    <row r="4081">
      <c r="C4081" s="72"/>
      <c r="G4081" s="77"/>
      <c r="H4081" s="77"/>
    </row>
    <row r="4082">
      <c r="C4082" s="72"/>
      <c r="G4082" s="77"/>
      <c r="H4082" s="77"/>
    </row>
    <row r="4083">
      <c r="C4083" s="72"/>
      <c r="G4083" s="77"/>
      <c r="H4083" s="77"/>
    </row>
    <row r="4084">
      <c r="C4084" s="72"/>
      <c r="G4084" s="77"/>
      <c r="H4084" s="77"/>
    </row>
    <row r="4085">
      <c r="C4085" s="72"/>
      <c r="G4085" s="77"/>
      <c r="H4085" s="77"/>
    </row>
    <row r="4086">
      <c r="C4086" s="72"/>
      <c r="G4086" s="77"/>
      <c r="H4086" s="77"/>
    </row>
    <row r="4087">
      <c r="C4087" s="72"/>
      <c r="G4087" s="77"/>
      <c r="H4087" s="77"/>
    </row>
    <row r="4088">
      <c r="C4088" s="72"/>
      <c r="G4088" s="77"/>
      <c r="H4088" s="77"/>
    </row>
    <row r="4089">
      <c r="C4089" s="72"/>
      <c r="G4089" s="77"/>
      <c r="H4089" s="77"/>
    </row>
    <row r="4090">
      <c r="C4090" s="72"/>
      <c r="G4090" s="77"/>
      <c r="H4090" s="77"/>
    </row>
    <row r="4091">
      <c r="C4091" s="72"/>
      <c r="G4091" s="77"/>
      <c r="H4091" s="77"/>
    </row>
    <row r="4092">
      <c r="C4092" s="72"/>
      <c r="G4092" s="77"/>
      <c r="H4092" s="77"/>
    </row>
    <row r="4093">
      <c r="C4093" s="72"/>
      <c r="G4093" s="77"/>
      <c r="H4093" s="77"/>
    </row>
    <row r="4094">
      <c r="C4094" s="72"/>
      <c r="G4094" s="77"/>
      <c r="H4094" s="77"/>
    </row>
    <row r="4095">
      <c r="C4095" s="72"/>
      <c r="G4095" s="77"/>
      <c r="H4095" s="77"/>
    </row>
    <row r="4096">
      <c r="C4096" s="72"/>
      <c r="G4096" s="77"/>
      <c r="H4096" s="77"/>
    </row>
    <row r="4097">
      <c r="C4097" s="72"/>
      <c r="G4097" s="77"/>
      <c r="H4097" s="77"/>
    </row>
    <row r="4098">
      <c r="C4098" s="72"/>
      <c r="G4098" s="77"/>
      <c r="H4098" s="77"/>
    </row>
    <row r="4099">
      <c r="C4099" s="72"/>
      <c r="G4099" s="77"/>
      <c r="H4099" s="77"/>
    </row>
    <row r="4100">
      <c r="C4100" s="72"/>
      <c r="G4100" s="77"/>
      <c r="H4100" s="77"/>
    </row>
    <row r="4101">
      <c r="C4101" s="72"/>
      <c r="G4101" s="77"/>
      <c r="H4101" s="77"/>
    </row>
    <row r="4102">
      <c r="C4102" s="72"/>
      <c r="G4102" s="77"/>
      <c r="H4102" s="77"/>
    </row>
    <row r="4103">
      <c r="C4103" s="72"/>
      <c r="G4103" s="77"/>
      <c r="H4103" s="77"/>
    </row>
    <row r="4104">
      <c r="C4104" s="72"/>
      <c r="G4104" s="77"/>
      <c r="H4104" s="77"/>
    </row>
    <row r="4105">
      <c r="C4105" s="72"/>
      <c r="G4105" s="77"/>
      <c r="H4105" s="77"/>
    </row>
    <row r="4106">
      <c r="C4106" s="72"/>
      <c r="G4106" s="77"/>
      <c r="H4106" s="77"/>
    </row>
    <row r="4107">
      <c r="C4107" s="72"/>
      <c r="G4107" s="77"/>
      <c r="H4107" s="77"/>
    </row>
    <row r="4108">
      <c r="C4108" s="72"/>
      <c r="G4108" s="77"/>
      <c r="H4108" s="77"/>
    </row>
    <row r="4109">
      <c r="C4109" s="72"/>
      <c r="G4109" s="77"/>
      <c r="H4109" s="77"/>
    </row>
    <row r="4110">
      <c r="C4110" s="72"/>
      <c r="G4110" s="77"/>
      <c r="H4110" s="77"/>
    </row>
    <row r="4111">
      <c r="C4111" s="72"/>
      <c r="G4111" s="77"/>
      <c r="H4111" s="77"/>
    </row>
    <row r="4112">
      <c r="C4112" s="72"/>
      <c r="G4112" s="77"/>
      <c r="H4112" s="77"/>
    </row>
    <row r="4113">
      <c r="C4113" s="72"/>
      <c r="G4113" s="77"/>
      <c r="H4113" s="77"/>
    </row>
    <row r="4114">
      <c r="C4114" s="72"/>
      <c r="G4114" s="77"/>
      <c r="H4114" s="77"/>
    </row>
    <row r="4115">
      <c r="C4115" s="72"/>
      <c r="G4115" s="77"/>
      <c r="H4115" s="77"/>
    </row>
    <row r="4116">
      <c r="C4116" s="72"/>
      <c r="G4116" s="77"/>
      <c r="H4116" s="77"/>
    </row>
    <row r="4117">
      <c r="C4117" s="72"/>
      <c r="G4117" s="77"/>
      <c r="H4117" s="77"/>
    </row>
    <row r="4118">
      <c r="C4118" s="72"/>
      <c r="G4118" s="77"/>
      <c r="H4118" s="77"/>
    </row>
    <row r="4119">
      <c r="C4119" s="72"/>
      <c r="G4119" s="77"/>
      <c r="H4119" s="77"/>
    </row>
    <row r="4120">
      <c r="C4120" s="72"/>
      <c r="G4120" s="77"/>
      <c r="H4120" s="77"/>
    </row>
    <row r="4121">
      <c r="C4121" s="72"/>
      <c r="G4121" s="77"/>
      <c r="H4121" s="77"/>
    </row>
    <row r="4122">
      <c r="C4122" s="72"/>
      <c r="G4122" s="77"/>
      <c r="H4122" s="77"/>
    </row>
    <row r="4123">
      <c r="C4123" s="72"/>
      <c r="G4123" s="77"/>
      <c r="H4123" s="77"/>
    </row>
    <row r="4124">
      <c r="C4124" s="72"/>
      <c r="G4124" s="77"/>
      <c r="H4124" s="77"/>
    </row>
    <row r="4125">
      <c r="C4125" s="72"/>
      <c r="G4125" s="77"/>
      <c r="H4125" s="77"/>
    </row>
    <row r="4126">
      <c r="C4126" s="72"/>
      <c r="G4126" s="77"/>
      <c r="H4126" s="77"/>
    </row>
    <row r="4127">
      <c r="C4127" s="72"/>
      <c r="G4127" s="77"/>
      <c r="H4127" s="77"/>
    </row>
    <row r="4128">
      <c r="C4128" s="72"/>
      <c r="G4128" s="77"/>
      <c r="H4128" s="77"/>
    </row>
    <row r="4129">
      <c r="C4129" s="72"/>
      <c r="G4129" s="77"/>
      <c r="H4129" s="77"/>
    </row>
    <row r="4130">
      <c r="C4130" s="72"/>
      <c r="G4130" s="77"/>
      <c r="H4130" s="77"/>
    </row>
    <row r="4131">
      <c r="C4131" s="72"/>
      <c r="G4131" s="77"/>
      <c r="H4131" s="77"/>
    </row>
    <row r="4132">
      <c r="C4132" s="72"/>
      <c r="G4132" s="77"/>
      <c r="H4132" s="77"/>
    </row>
    <row r="4133">
      <c r="C4133" s="72"/>
      <c r="G4133" s="77"/>
      <c r="H4133" s="77"/>
    </row>
    <row r="4134">
      <c r="C4134" s="72"/>
      <c r="G4134" s="77"/>
      <c r="H4134" s="77"/>
    </row>
    <row r="4135">
      <c r="C4135" s="72"/>
      <c r="G4135" s="77"/>
      <c r="H4135" s="77"/>
    </row>
    <row r="4136">
      <c r="C4136" s="72"/>
      <c r="G4136" s="77"/>
      <c r="H4136" s="77"/>
    </row>
    <row r="4137">
      <c r="C4137" s="72"/>
      <c r="G4137" s="77"/>
      <c r="H4137" s="77"/>
    </row>
    <row r="4138">
      <c r="C4138" s="72"/>
      <c r="G4138" s="77"/>
      <c r="H4138" s="77"/>
    </row>
    <row r="4139">
      <c r="C4139" s="72"/>
      <c r="G4139" s="77"/>
      <c r="H4139" s="77"/>
    </row>
    <row r="4140">
      <c r="C4140" s="72"/>
      <c r="G4140" s="77"/>
      <c r="H4140" s="77"/>
    </row>
    <row r="4141">
      <c r="C4141" s="72"/>
      <c r="G4141" s="77"/>
      <c r="H4141" s="77"/>
    </row>
    <row r="4142">
      <c r="C4142" s="72"/>
      <c r="G4142" s="77"/>
      <c r="H4142" s="77"/>
    </row>
    <row r="4143">
      <c r="C4143" s="72"/>
      <c r="G4143" s="77"/>
      <c r="H4143" s="77"/>
    </row>
    <row r="4144">
      <c r="C4144" s="72"/>
      <c r="G4144" s="77"/>
      <c r="H4144" s="77"/>
    </row>
    <row r="4145">
      <c r="C4145" s="72"/>
      <c r="G4145" s="77"/>
      <c r="H4145" s="77"/>
    </row>
    <row r="4146">
      <c r="C4146" s="72"/>
      <c r="G4146" s="77"/>
      <c r="H4146" s="77"/>
    </row>
    <row r="4147">
      <c r="C4147" s="72"/>
      <c r="G4147" s="77"/>
      <c r="H4147" s="77"/>
    </row>
    <row r="4148">
      <c r="C4148" s="72"/>
      <c r="G4148" s="77"/>
      <c r="H4148" s="77"/>
    </row>
    <row r="4149">
      <c r="C4149" s="72"/>
      <c r="G4149" s="77"/>
      <c r="H4149" s="77"/>
    </row>
    <row r="4150">
      <c r="C4150" s="72"/>
      <c r="G4150" s="77"/>
      <c r="H4150" s="77"/>
    </row>
    <row r="4151">
      <c r="C4151" s="72"/>
      <c r="G4151" s="77"/>
      <c r="H4151" s="77"/>
    </row>
    <row r="4152">
      <c r="C4152" s="72"/>
      <c r="G4152" s="77"/>
      <c r="H4152" s="77"/>
    </row>
    <row r="4153">
      <c r="C4153" s="72"/>
      <c r="G4153" s="77"/>
      <c r="H4153" s="77"/>
    </row>
    <row r="4154">
      <c r="C4154" s="72"/>
      <c r="G4154" s="77"/>
      <c r="H4154" s="77"/>
    </row>
    <row r="4155">
      <c r="C4155" s="72"/>
      <c r="G4155" s="77"/>
      <c r="H4155" s="77"/>
    </row>
    <row r="4156">
      <c r="C4156" s="72"/>
      <c r="G4156" s="77"/>
      <c r="H4156" s="77"/>
    </row>
    <row r="4157">
      <c r="C4157" s="72"/>
      <c r="G4157" s="77"/>
      <c r="H4157" s="77"/>
    </row>
    <row r="4158">
      <c r="C4158" s="72"/>
      <c r="G4158" s="77"/>
      <c r="H4158" s="77"/>
    </row>
    <row r="4159">
      <c r="C4159" s="72"/>
      <c r="G4159" s="77"/>
      <c r="H4159" s="77"/>
    </row>
    <row r="4160">
      <c r="C4160" s="72"/>
      <c r="G4160" s="77"/>
      <c r="H4160" s="77"/>
    </row>
    <row r="4161">
      <c r="C4161" s="72"/>
      <c r="G4161" s="77"/>
      <c r="H4161" s="77"/>
    </row>
    <row r="4162">
      <c r="C4162" s="72"/>
      <c r="G4162" s="77"/>
      <c r="H4162" s="77"/>
    </row>
    <row r="4163">
      <c r="C4163" s="72"/>
      <c r="G4163" s="77"/>
      <c r="H4163" s="77"/>
    </row>
    <row r="4164">
      <c r="C4164" s="72"/>
      <c r="G4164" s="77"/>
      <c r="H4164" s="77"/>
    </row>
    <row r="4165">
      <c r="C4165" s="72"/>
      <c r="G4165" s="77"/>
      <c r="H4165" s="77"/>
    </row>
    <row r="4166">
      <c r="C4166" s="72"/>
      <c r="G4166" s="77"/>
      <c r="H4166" s="77"/>
    </row>
    <row r="4167">
      <c r="C4167" s="72"/>
      <c r="G4167" s="77"/>
      <c r="H4167" s="77"/>
    </row>
    <row r="4168">
      <c r="C4168" s="72"/>
      <c r="G4168" s="77"/>
      <c r="H4168" s="77"/>
    </row>
    <row r="4169">
      <c r="C4169" s="72"/>
      <c r="G4169" s="77"/>
      <c r="H4169" s="77"/>
    </row>
    <row r="4170">
      <c r="C4170" s="72"/>
      <c r="G4170" s="77"/>
      <c r="H4170" s="77"/>
    </row>
    <row r="4171">
      <c r="C4171" s="72"/>
      <c r="G4171" s="77"/>
      <c r="H4171" s="77"/>
    </row>
    <row r="4172">
      <c r="C4172" s="72"/>
      <c r="G4172" s="77"/>
      <c r="H4172" s="77"/>
    </row>
    <row r="4173">
      <c r="C4173" s="72"/>
      <c r="G4173" s="77"/>
      <c r="H4173" s="77"/>
    </row>
    <row r="4174">
      <c r="C4174" s="72"/>
      <c r="G4174" s="77"/>
      <c r="H4174" s="77"/>
    </row>
    <row r="4175">
      <c r="C4175" s="72"/>
      <c r="G4175" s="77"/>
      <c r="H4175" s="77"/>
    </row>
    <row r="4176">
      <c r="C4176" s="72"/>
      <c r="G4176" s="77"/>
      <c r="H4176" s="77"/>
    </row>
    <row r="4177">
      <c r="C4177" s="72"/>
      <c r="G4177" s="77"/>
      <c r="H4177" s="77"/>
    </row>
    <row r="4178">
      <c r="C4178" s="72"/>
      <c r="G4178" s="77"/>
      <c r="H4178" s="77"/>
    </row>
    <row r="4179">
      <c r="C4179" s="72"/>
      <c r="G4179" s="77"/>
      <c r="H4179" s="77"/>
    </row>
    <row r="4180">
      <c r="C4180" s="72"/>
      <c r="G4180" s="77"/>
      <c r="H4180" s="77"/>
    </row>
    <row r="4181">
      <c r="C4181" s="72"/>
      <c r="G4181" s="77"/>
      <c r="H4181" s="77"/>
    </row>
    <row r="4182">
      <c r="C4182" s="72"/>
      <c r="G4182" s="77"/>
      <c r="H4182" s="77"/>
    </row>
    <row r="4183">
      <c r="C4183" s="72"/>
      <c r="G4183" s="77"/>
      <c r="H4183" s="77"/>
    </row>
    <row r="4184">
      <c r="C4184" s="72"/>
      <c r="G4184" s="77"/>
      <c r="H4184" s="77"/>
    </row>
    <row r="4185">
      <c r="C4185" s="72"/>
      <c r="G4185" s="77"/>
      <c r="H4185" s="77"/>
    </row>
    <row r="4186">
      <c r="C4186" s="72"/>
      <c r="G4186" s="77"/>
      <c r="H4186" s="77"/>
    </row>
    <row r="4187">
      <c r="C4187" s="72"/>
      <c r="G4187" s="77"/>
      <c r="H4187" s="77"/>
    </row>
    <row r="4188">
      <c r="C4188" s="72"/>
      <c r="G4188" s="77"/>
      <c r="H4188" s="77"/>
    </row>
    <row r="4189">
      <c r="C4189" s="72"/>
      <c r="G4189" s="77"/>
      <c r="H4189" s="77"/>
    </row>
    <row r="4190">
      <c r="C4190" s="72"/>
      <c r="G4190" s="77"/>
      <c r="H4190" s="77"/>
    </row>
    <row r="4191">
      <c r="C4191" s="72"/>
      <c r="G4191" s="77"/>
      <c r="H4191" s="77"/>
    </row>
    <row r="4192">
      <c r="C4192" s="72"/>
      <c r="G4192" s="77"/>
      <c r="H4192" s="77"/>
    </row>
    <row r="4193">
      <c r="C4193" s="72"/>
      <c r="G4193" s="77"/>
      <c r="H4193" s="77"/>
    </row>
    <row r="4194">
      <c r="C4194" s="72"/>
      <c r="G4194" s="77"/>
      <c r="H4194" s="77"/>
    </row>
    <row r="4195">
      <c r="C4195" s="72"/>
      <c r="G4195" s="77"/>
      <c r="H4195" s="77"/>
    </row>
    <row r="4196">
      <c r="C4196" s="72"/>
      <c r="G4196" s="77"/>
      <c r="H4196" s="77"/>
    </row>
    <row r="4197">
      <c r="C4197" s="72"/>
      <c r="G4197" s="77"/>
      <c r="H4197" s="77"/>
    </row>
    <row r="4198">
      <c r="C4198" s="72"/>
      <c r="G4198" s="77"/>
      <c r="H4198" s="77"/>
    </row>
    <row r="4199">
      <c r="C4199" s="72"/>
      <c r="G4199" s="77"/>
      <c r="H4199" s="77"/>
    </row>
    <row r="4200">
      <c r="C4200" s="72"/>
      <c r="G4200" s="77"/>
      <c r="H4200" s="77"/>
    </row>
    <row r="4201">
      <c r="C4201" s="72"/>
      <c r="G4201" s="77"/>
      <c r="H4201" s="77"/>
    </row>
    <row r="4202">
      <c r="C4202" s="72"/>
      <c r="G4202" s="77"/>
      <c r="H4202" s="77"/>
    </row>
    <row r="4203">
      <c r="C4203" s="72"/>
      <c r="G4203" s="77"/>
      <c r="H4203" s="77"/>
    </row>
    <row r="4204">
      <c r="C4204" s="72"/>
      <c r="G4204" s="77"/>
      <c r="H4204" s="77"/>
    </row>
    <row r="4205">
      <c r="C4205" s="72"/>
      <c r="G4205" s="77"/>
      <c r="H4205" s="77"/>
    </row>
    <row r="4206">
      <c r="C4206" s="72"/>
      <c r="G4206" s="77"/>
      <c r="H4206" s="77"/>
    </row>
    <row r="4207">
      <c r="C4207" s="72"/>
      <c r="G4207" s="77"/>
      <c r="H4207" s="77"/>
    </row>
    <row r="4208">
      <c r="C4208" s="72"/>
      <c r="G4208" s="77"/>
      <c r="H4208" s="77"/>
    </row>
    <row r="4209">
      <c r="C4209" s="72"/>
      <c r="G4209" s="77"/>
      <c r="H4209" s="77"/>
    </row>
    <row r="4210">
      <c r="C4210" s="72"/>
      <c r="G4210" s="77"/>
      <c r="H4210" s="77"/>
    </row>
    <row r="4211">
      <c r="C4211" s="72"/>
      <c r="G4211" s="77"/>
      <c r="H4211" s="77"/>
    </row>
    <row r="4212">
      <c r="C4212" s="72"/>
      <c r="G4212" s="77"/>
      <c r="H4212" s="77"/>
    </row>
    <row r="4213">
      <c r="C4213" s="72"/>
      <c r="G4213" s="77"/>
      <c r="H4213" s="77"/>
    </row>
    <row r="4214">
      <c r="C4214" s="72"/>
      <c r="G4214" s="77"/>
      <c r="H4214" s="77"/>
    </row>
    <row r="4215">
      <c r="C4215" s="72"/>
      <c r="G4215" s="77"/>
      <c r="H4215" s="77"/>
    </row>
    <row r="4216">
      <c r="C4216" s="72"/>
      <c r="G4216" s="77"/>
      <c r="H4216" s="77"/>
    </row>
    <row r="4217">
      <c r="C4217" s="72"/>
      <c r="G4217" s="77"/>
      <c r="H4217" s="77"/>
    </row>
    <row r="4218">
      <c r="C4218" s="72"/>
      <c r="G4218" s="77"/>
      <c r="H4218" s="77"/>
    </row>
    <row r="4219">
      <c r="C4219" s="72"/>
      <c r="G4219" s="77"/>
      <c r="H4219" s="77"/>
    </row>
    <row r="4220">
      <c r="C4220" s="72"/>
      <c r="G4220" s="77"/>
      <c r="H4220" s="77"/>
    </row>
    <row r="4221">
      <c r="C4221" s="72"/>
      <c r="G4221" s="77"/>
      <c r="H4221" s="77"/>
    </row>
    <row r="4222">
      <c r="C4222" s="72"/>
      <c r="G4222" s="77"/>
      <c r="H4222" s="77"/>
    </row>
    <row r="4223">
      <c r="C4223" s="72"/>
      <c r="G4223" s="77"/>
      <c r="H4223" s="77"/>
    </row>
    <row r="4224">
      <c r="C4224" s="72"/>
      <c r="G4224" s="77"/>
      <c r="H4224" s="77"/>
    </row>
    <row r="4225">
      <c r="C4225" s="72"/>
      <c r="G4225" s="77"/>
      <c r="H4225" s="77"/>
    </row>
    <row r="4226">
      <c r="C4226" s="72"/>
      <c r="G4226" s="77"/>
      <c r="H4226" s="77"/>
    </row>
    <row r="4227">
      <c r="C4227" s="72"/>
      <c r="G4227" s="77"/>
      <c r="H4227" s="77"/>
    </row>
    <row r="4228">
      <c r="C4228" s="72"/>
      <c r="G4228" s="77"/>
      <c r="H4228" s="77"/>
    </row>
    <row r="4229">
      <c r="C4229" s="72"/>
      <c r="G4229" s="77"/>
      <c r="H4229" s="77"/>
    </row>
    <row r="4230">
      <c r="C4230" s="72"/>
      <c r="G4230" s="77"/>
      <c r="H4230" s="77"/>
    </row>
    <row r="4231">
      <c r="C4231" s="72"/>
      <c r="G4231" s="77"/>
      <c r="H4231" s="77"/>
    </row>
    <row r="4232">
      <c r="C4232" s="72"/>
      <c r="G4232" s="77"/>
      <c r="H4232" s="77"/>
    </row>
    <row r="4233">
      <c r="C4233" s="72"/>
      <c r="G4233" s="77"/>
      <c r="H4233" s="77"/>
    </row>
    <row r="4234">
      <c r="C4234" s="72"/>
      <c r="G4234" s="77"/>
      <c r="H4234" s="77"/>
    </row>
    <row r="4235">
      <c r="C4235" s="72"/>
      <c r="G4235" s="77"/>
      <c r="H4235" s="77"/>
    </row>
    <row r="4236">
      <c r="C4236" s="72"/>
      <c r="G4236" s="77"/>
      <c r="H4236" s="77"/>
    </row>
    <row r="4237">
      <c r="C4237" s="72"/>
      <c r="G4237" s="77"/>
      <c r="H4237" s="77"/>
    </row>
    <row r="4238">
      <c r="C4238" s="72"/>
      <c r="G4238" s="77"/>
      <c r="H4238" s="77"/>
    </row>
    <row r="4239">
      <c r="C4239" s="72"/>
      <c r="G4239" s="77"/>
      <c r="H4239" s="77"/>
    </row>
    <row r="4240">
      <c r="C4240" s="72"/>
      <c r="G4240" s="77"/>
      <c r="H4240" s="77"/>
    </row>
    <row r="4241">
      <c r="C4241" s="72"/>
      <c r="G4241" s="77"/>
      <c r="H4241" s="77"/>
    </row>
    <row r="4242">
      <c r="C4242" s="72"/>
      <c r="G4242" s="77"/>
      <c r="H4242" s="77"/>
    </row>
    <row r="4243">
      <c r="C4243" s="72"/>
      <c r="G4243" s="77"/>
      <c r="H4243" s="77"/>
    </row>
    <row r="4244">
      <c r="C4244" s="72"/>
      <c r="G4244" s="77"/>
      <c r="H4244" s="77"/>
    </row>
    <row r="4245">
      <c r="C4245" s="72"/>
      <c r="G4245" s="77"/>
      <c r="H4245" s="77"/>
    </row>
    <row r="4246">
      <c r="C4246" s="72"/>
      <c r="G4246" s="77"/>
      <c r="H4246" s="77"/>
    </row>
    <row r="4247">
      <c r="C4247" s="72"/>
      <c r="G4247" s="77"/>
      <c r="H4247" s="77"/>
    </row>
    <row r="4248">
      <c r="C4248" s="72"/>
      <c r="G4248" s="77"/>
      <c r="H4248" s="77"/>
    </row>
    <row r="4249">
      <c r="C4249" s="72"/>
      <c r="G4249" s="77"/>
      <c r="H4249" s="77"/>
    </row>
    <row r="4250">
      <c r="C4250" s="72"/>
      <c r="G4250" s="77"/>
      <c r="H4250" s="77"/>
    </row>
    <row r="4251">
      <c r="C4251" s="72"/>
      <c r="G4251" s="77"/>
      <c r="H4251" s="77"/>
    </row>
    <row r="4252">
      <c r="C4252" s="72"/>
      <c r="G4252" s="77"/>
      <c r="H4252" s="77"/>
    </row>
    <row r="4253">
      <c r="C4253" s="72"/>
      <c r="G4253" s="77"/>
      <c r="H4253" s="77"/>
    </row>
    <row r="4254">
      <c r="C4254" s="72"/>
      <c r="G4254" s="77"/>
      <c r="H4254" s="77"/>
    </row>
    <row r="4255">
      <c r="C4255" s="72"/>
      <c r="G4255" s="77"/>
      <c r="H4255" s="77"/>
    </row>
    <row r="4256">
      <c r="C4256" s="72"/>
      <c r="G4256" s="77"/>
      <c r="H4256" s="77"/>
    </row>
    <row r="4257">
      <c r="C4257" s="72"/>
      <c r="G4257" s="77"/>
      <c r="H4257" s="77"/>
    </row>
    <row r="4258">
      <c r="C4258" s="72"/>
      <c r="G4258" s="77"/>
      <c r="H4258" s="77"/>
    </row>
    <row r="4259">
      <c r="C4259" s="72"/>
      <c r="G4259" s="77"/>
      <c r="H4259" s="77"/>
    </row>
    <row r="4260">
      <c r="C4260" s="72"/>
      <c r="G4260" s="77"/>
      <c r="H4260" s="77"/>
    </row>
    <row r="4261">
      <c r="C4261" s="72"/>
      <c r="G4261" s="77"/>
      <c r="H4261" s="77"/>
    </row>
    <row r="4262">
      <c r="C4262" s="72"/>
      <c r="G4262" s="77"/>
      <c r="H4262" s="77"/>
    </row>
    <row r="4263">
      <c r="C4263" s="72"/>
      <c r="G4263" s="77"/>
      <c r="H4263" s="77"/>
    </row>
    <row r="4264">
      <c r="C4264" s="72"/>
      <c r="G4264" s="77"/>
      <c r="H4264" s="77"/>
    </row>
    <row r="4265">
      <c r="C4265" s="72"/>
      <c r="G4265" s="77"/>
      <c r="H4265" s="77"/>
    </row>
    <row r="4266">
      <c r="C4266" s="72"/>
      <c r="G4266" s="77"/>
      <c r="H4266" s="77"/>
    </row>
    <row r="4267">
      <c r="C4267" s="72"/>
      <c r="G4267" s="77"/>
      <c r="H4267" s="77"/>
    </row>
    <row r="4268">
      <c r="C4268" s="72"/>
      <c r="G4268" s="77"/>
      <c r="H4268" s="77"/>
    </row>
    <row r="4269">
      <c r="C4269" s="72"/>
      <c r="G4269" s="77"/>
      <c r="H4269" s="77"/>
    </row>
    <row r="4270">
      <c r="C4270" s="72"/>
      <c r="G4270" s="77"/>
      <c r="H4270" s="77"/>
    </row>
    <row r="4271">
      <c r="C4271" s="72"/>
      <c r="G4271" s="77"/>
      <c r="H4271" s="77"/>
    </row>
    <row r="4272">
      <c r="C4272" s="72"/>
      <c r="G4272" s="77"/>
      <c r="H4272" s="77"/>
    </row>
    <row r="4273">
      <c r="C4273" s="72"/>
      <c r="G4273" s="77"/>
      <c r="H4273" s="77"/>
    </row>
    <row r="4274">
      <c r="C4274" s="72"/>
      <c r="G4274" s="77"/>
      <c r="H4274" s="77"/>
    </row>
    <row r="4275">
      <c r="C4275" s="72"/>
      <c r="G4275" s="77"/>
      <c r="H4275" s="77"/>
    </row>
    <row r="4276">
      <c r="C4276" s="72"/>
      <c r="G4276" s="77"/>
      <c r="H4276" s="77"/>
    </row>
    <row r="4277">
      <c r="C4277" s="72"/>
      <c r="G4277" s="77"/>
      <c r="H4277" s="77"/>
    </row>
    <row r="4278">
      <c r="C4278" s="72"/>
      <c r="G4278" s="77"/>
      <c r="H4278" s="77"/>
    </row>
    <row r="4279">
      <c r="C4279" s="72"/>
      <c r="G4279" s="77"/>
      <c r="H4279" s="77"/>
    </row>
    <row r="4280">
      <c r="C4280" s="72"/>
      <c r="G4280" s="77"/>
      <c r="H4280" s="77"/>
    </row>
    <row r="4281">
      <c r="C4281" s="72"/>
      <c r="G4281" s="77"/>
      <c r="H4281" s="77"/>
    </row>
    <row r="4282">
      <c r="C4282" s="72"/>
      <c r="G4282" s="77"/>
      <c r="H4282" s="77"/>
    </row>
    <row r="4283">
      <c r="C4283" s="72"/>
      <c r="G4283" s="77"/>
      <c r="H4283" s="77"/>
    </row>
    <row r="4284">
      <c r="C4284" s="72"/>
      <c r="G4284" s="77"/>
      <c r="H4284" s="77"/>
    </row>
    <row r="4285">
      <c r="C4285" s="72"/>
      <c r="G4285" s="77"/>
      <c r="H4285" s="77"/>
    </row>
    <row r="4286">
      <c r="C4286" s="72"/>
      <c r="G4286" s="77"/>
      <c r="H4286" s="77"/>
    </row>
    <row r="4287">
      <c r="C4287" s="72"/>
      <c r="G4287" s="77"/>
      <c r="H4287" s="77"/>
    </row>
    <row r="4288">
      <c r="C4288" s="72"/>
      <c r="G4288" s="77"/>
      <c r="H4288" s="77"/>
    </row>
    <row r="4289">
      <c r="C4289" s="72"/>
      <c r="G4289" s="77"/>
      <c r="H4289" s="77"/>
    </row>
    <row r="4290">
      <c r="C4290" s="72"/>
      <c r="G4290" s="77"/>
      <c r="H4290" s="77"/>
    </row>
    <row r="4291">
      <c r="C4291" s="72"/>
      <c r="G4291" s="77"/>
      <c r="H4291" s="77"/>
    </row>
    <row r="4292">
      <c r="C4292" s="72"/>
      <c r="G4292" s="77"/>
      <c r="H4292" s="77"/>
    </row>
    <row r="4293">
      <c r="C4293" s="72"/>
      <c r="G4293" s="77"/>
      <c r="H4293" s="77"/>
    </row>
    <row r="4294">
      <c r="C4294" s="72"/>
      <c r="G4294" s="77"/>
      <c r="H4294" s="77"/>
    </row>
    <row r="4295">
      <c r="C4295" s="72"/>
      <c r="G4295" s="77"/>
      <c r="H4295" s="77"/>
    </row>
    <row r="4296">
      <c r="C4296" s="72"/>
      <c r="G4296" s="77"/>
      <c r="H4296" s="77"/>
    </row>
    <row r="4297">
      <c r="C4297" s="72"/>
      <c r="G4297" s="77"/>
      <c r="H4297" s="77"/>
    </row>
    <row r="4298">
      <c r="C4298" s="72"/>
      <c r="G4298" s="77"/>
      <c r="H4298" s="77"/>
    </row>
    <row r="4299">
      <c r="C4299" s="72"/>
      <c r="G4299" s="77"/>
      <c r="H4299" s="77"/>
    </row>
    <row r="4300">
      <c r="C4300" s="72"/>
      <c r="G4300" s="77"/>
      <c r="H4300" s="77"/>
    </row>
    <row r="4301">
      <c r="C4301" s="72"/>
      <c r="G4301" s="77"/>
      <c r="H4301" s="77"/>
    </row>
    <row r="4302">
      <c r="C4302" s="72"/>
      <c r="G4302" s="77"/>
      <c r="H4302" s="77"/>
    </row>
    <row r="4303">
      <c r="C4303" s="72"/>
      <c r="G4303" s="77"/>
      <c r="H4303" s="77"/>
    </row>
    <row r="4304">
      <c r="C4304" s="72"/>
      <c r="G4304" s="77"/>
      <c r="H4304" s="77"/>
    </row>
    <row r="4305">
      <c r="C4305" s="72"/>
      <c r="G4305" s="77"/>
      <c r="H4305" s="77"/>
    </row>
    <row r="4306">
      <c r="C4306" s="72"/>
      <c r="G4306" s="77"/>
      <c r="H4306" s="77"/>
    </row>
    <row r="4307">
      <c r="C4307" s="72"/>
      <c r="G4307" s="77"/>
      <c r="H4307" s="77"/>
    </row>
    <row r="4308">
      <c r="C4308" s="72"/>
      <c r="G4308" s="77"/>
      <c r="H4308" s="77"/>
    </row>
    <row r="4309">
      <c r="C4309" s="72"/>
      <c r="G4309" s="77"/>
      <c r="H4309" s="77"/>
    </row>
    <row r="4310">
      <c r="C4310" s="72"/>
      <c r="G4310" s="77"/>
      <c r="H4310" s="77"/>
    </row>
    <row r="4311">
      <c r="C4311" s="72"/>
      <c r="G4311" s="77"/>
      <c r="H4311" s="77"/>
    </row>
    <row r="4312">
      <c r="C4312" s="72"/>
      <c r="G4312" s="77"/>
      <c r="H4312" s="77"/>
    </row>
    <row r="4313">
      <c r="C4313" s="72"/>
      <c r="G4313" s="77"/>
      <c r="H4313" s="77"/>
    </row>
    <row r="4314">
      <c r="C4314" s="72"/>
      <c r="G4314" s="77"/>
      <c r="H4314" s="77"/>
    </row>
    <row r="4315">
      <c r="C4315" s="72"/>
      <c r="G4315" s="77"/>
      <c r="H4315" s="77"/>
    </row>
    <row r="4316">
      <c r="C4316" s="72"/>
      <c r="G4316" s="77"/>
      <c r="H4316" s="77"/>
    </row>
    <row r="4317">
      <c r="C4317" s="72"/>
      <c r="G4317" s="77"/>
      <c r="H4317" s="77"/>
    </row>
    <row r="4318">
      <c r="C4318" s="72"/>
      <c r="G4318" s="77"/>
      <c r="H4318" s="77"/>
    </row>
    <row r="4319">
      <c r="C4319" s="72"/>
      <c r="G4319" s="77"/>
      <c r="H4319" s="77"/>
    </row>
    <row r="4320">
      <c r="C4320" s="72"/>
      <c r="G4320" s="77"/>
      <c r="H4320" s="77"/>
    </row>
    <row r="4321">
      <c r="C4321" s="72"/>
      <c r="G4321" s="77"/>
      <c r="H4321" s="77"/>
    </row>
    <row r="4322">
      <c r="C4322" s="72"/>
      <c r="G4322" s="77"/>
      <c r="H4322" s="77"/>
    </row>
    <row r="4323">
      <c r="C4323" s="72"/>
      <c r="G4323" s="77"/>
      <c r="H4323" s="77"/>
    </row>
    <row r="4324">
      <c r="C4324" s="72"/>
      <c r="G4324" s="77"/>
      <c r="H4324" s="77"/>
    </row>
    <row r="4325">
      <c r="C4325" s="72"/>
      <c r="G4325" s="77"/>
      <c r="H4325" s="77"/>
    </row>
    <row r="4326">
      <c r="C4326" s="72"/>
      <c r="G4326" s="77"/>
      <c r="H4326" s="77"/>
    </row>
    <row r="4327">
      <c r="C4327" s="72"/>
      <c r="G4327" s="77"/>
      <c r="H4327" s="77"/>
    </row>
    <row r="4328">
      <c r="C4328" s="72"/>
      <c r="G4328" s="77"/>
      <c r="H4328" s="77"/>
    </row>
    <row r="4329">
      <c r="C4329" s="72"/>
      <c r="G4329" s="77"/>
      <c r="H4329" s="77"/>
    </row>
    <row r="4330">
      <c r="C4330" s="72"/>
      <c r="G4330" s="77"/>
      <c r="H4330" s="77"/>
    </row>
    <row r="4331">
      <c r="C4331" s="72"/>
      <c r="G4331" s="77"/>
      <c r="H4331" s="77"/>
    </row>
    <row r="4332">
      <c r="C4332" s="72"/>
      <c r="G4332" s="77"/>
      <c r="H4332" s="77"/>
    </row>
    <row r="4333">
      <c r="C4333" s="72"/>
      <c r="G4333" s="77"/>
      <c r="H4333" s="77"/>
    </row>
    <row r="4334">
      <c r="C4334" s="72"/>
      <c r="G4334" s="77"/>
      <c r="H4334" s="77"/>
    </row>
    <row r="4335">
      <c r="C4335" s="72"/>
      <c r="G4335" s="77"/>
      <c r="H4335" s="77"/>
    </row>
    <row r="4336">
      <c r="C4336" s="72"/>
      <c r="G4336" s="77"/>
      <c r="H4336" s="77"/>
    </row>
    <row r="4337">
      <c r="C4337" s="72"/>
      <c r="G4337" s="77"/>
      <c r="H4337" s="77"/>
    </row>
    <row r="4338">
      <c r="C4338" s="72"/>
      <c r="G4338" s="77"/>
      <c r="H4338" s="77"/>
    </row>
    <row r="4339">
      <c r="C4339" s="72"/>
      <c r="G4339" s="77"/>
      <c r="H4339" s="77"/>
    </row>
    <row r="4340">
      <c r="C4340" s="72"/>
      <c r="G4340" s="77"/>
      <c r="H4340" s="77"/>
    </row>
    <row r="4341">
      <c r="C4341" s="72"/>
      <c r="G4341" s="77"/>
      <c r="H4341" s="77"/>
    </row>
    <row r="4342">
      <c r="C4342" s="72"/>
      <c r="G4342" s="77"/>
      <c r="H4342" s="77"/>
    </row>
    <row r="4343">
      <c r="C4343" s="72"/>
      <c r="G4343" s="77"/>
      <c r="H4343" s="77"/>
    </row>
    <row r="4344">
      <c r="C4344" s="72"/>
      <c r="G4344" s="77"/>
      <c r="H4344" s="77"/>
    </row>
    <row r="4345">
      <c r="C4345" s="72"/>
      <c r="G4345" s="77"/>
      <c r="H4345" s="77"/>
    </row>
    <row r="4346">
      <c r="C4346" s="72"/>
      <c r="G4346" s="77"/>
      <c r="H4346" s="77"/>
    </row>
    <row r="4347">
      <c r="C4347" s="72"/>
      <c r="G4347" s="77"/>
      <c r="H4347" s="77"/>
    </row>
    <row r="4348">
      <c r="C4348" s="72"/>
      <c r="G4348" s="77"/>
      <c r="H4348" s="77"/>
    </row>
    <row r="4349">
      <c r="C4349" s="72"/>
      <c r="G4349" s="77"/>
      <c r="H4349" s="77"/>
    </row>
    <row r="4350">
      <c r="C4350" s="72"/>
      <c r="G4350" s="77"/>
      <c r="H4350" s="77"/>
    </row>
    <row r="4351">
      <c r="C4351" s="72"/>
      <c r="G4351" s="77"/>
      <c r="H4351" s="77"/>
    </row>
    <row r="4352">
      <c r="C4352" s="72"/>
      <c r="G4352" s="77"/>
      <c r="H4352" s="77"/>
    </row>
    <row r="4353">
      <c r="C4353" s="72"/>
      <c r="G4353" s="77"/>
      <c r="H4353" s="77"/>
    </row>
    <row r="4354">
      <c r="C4354" s="72"/>
      <c r="G4354" s="77"/>
      <c r="H4354" s="77"/>
    </row>
    <row r="4355">
      <c r="C4355" s="72"/>
      <c r="G4355" s="77"/>
      <c r="H4355" s="77"/>
    </row>
    <row r="4356">
      <c r="C4356" s="72"/>
      <c r="G4356" s="77"/>
      <c r="H4356" s="77"/>
    </row>
    <row r="4357">
      <c r="C4357" s="72"/>
      <c r="G4357" s="77"/>
      <c r="H4357" s="77"/>
    </row>
    <row r="4358">
      <c r="C4358" s="72"/>
      <c r="G4358" s="77"/>
      <c r="H4358" s="77"/>
    </row>
    <row r="4359">
      <c r="C4359" s="72"/>
      <c r="G4359" s="77"/>
      <c r="H4359" s="77"/>
    </row>
    <row r="4360">
      <c r="C4360" s="72"/>
      <c r="G4360" s="77"/>
      <c r="H4360" s="77"/>
    </row>
    <row r="4361">
      <c r="C4361" s="72"/>
      <c r="G4361" s="77"/>
      <c r="H4361" s="77"/>
    </row>
    <row r="4362">
      <c r="C4362" s="72"/>
      <c r="G4362" s="77"/>
      <c r="H4362" s="77"/>
    </row>
    <row r="4363">
      <c r="C4363" s="72"/>
      <c r="G4363" s="77"/>
      <c r="H4363" s="77"/>
    </row>
    <row r="4364">
      <c r="C4364" s="72"/>
      <c r="G4364" s="77"/>
      <c r="H4364" s="77"/>
    </row>
    <row r="4365">
      <c r="C4365" s="72"/>
      <c r="G4365" s="77"/>
      <c r="H4365" s="77"/>
    </row>
    <row r="4366">
      <c r="C4366" s="72"/>
      <c r="G4366" s="77"/>
      <c r="H4366" s="77"/>
    </row>
    <row r="4367">
      <c r="C4367" s="72"/>
      <c r="G4367" s="77"/>
      <c r="H4367" s="77"/>
    </row>
    <row r="4368">
      <c r="C4368" s="72"/>
      <c r="G4368" s="77"/>
      <c r="H4368" s="77"/>
    </row>
    <row r="4369">
      <c r="C4369" s="72"/>
      <c r="G4369" s="77"/>
      <c r="H4369" s="77"/>
    </row>
    <row r="4370">
      <c r="C4370" s="72"/>
      <c r="G4370" s="77"/>
      <c r="H4370" s="77"/>
    </row>
    <row r="4371">
      <c r="C4371" s="72"/>
      <c r="G4371" s="77"/>
      <c r="H4371" s="77"/>
    </row>
    <row r="4372">
      <c r="C4372" s="72"/>
      <c r="G4372" s="77"/>
      <c r="H4372" s="77"/>
    </row>
    <row r="4373">
      <c r="C4373" s="72"/>
      <c r="G4373" s="77"/>
      <c r="H4373" s="77"/>
    </row>
    <row r="4374">
      <c r="C4374" s="72"/>
      <c r="G4374" s="77"/>
      <c r="H4374" s="77"/>
    </row>
    <row r="4375">
      <c r="C4375" s="72"/>
      <c r="G4375" s="77"/>
      <c r="H4375" s="77"/>
    </row>
    <row r="4376">
      <c r="C4376" s="72"/>
      <c r="G4376" s="77"/>
      <c r="H4376" s="77"/>
    </row>
    <row r="4377">
      <c r="C4377" s="72"/>
      <c r="G4377" s="77"/>
      <c r="H4377" s="77"/>
    </row>
    <row r="4378">
      <c r="C4378" s="72"/>
      <c r="G4378" s="77"/>
      <c r="H4378" s="77"/>
    </row>
    <row r="4379">
      <c r="C4379" s="72"/>
      <c r="G4379" s="77"/>
      <c r="H4379" s="77"/>
    </row>
    <row r="4380">
      <c r="C4380" s="72"/>
      <c r="G4380" s="77"/>
      <c r="H4380" s="77"/>
    </row>
    <row r="4381">
      <c r="C4381" s="72"/>
      <c r="G4381" s="77"/>
      <c r="H4381" s="77"/>
    </row>
    <row r="4382">
      <c r="C4382" s="72"/>
      <c r="G4382" s="77"/>
      <c r="H4382" s="77"/>
    </row>
    <row r="4383">
      <c r="C4383" s="72"/>
      <c r="G4383" s="77"/>
      <c r="H4383" s="77"/>
    </row>
    <row r="4384">
      <c r="C4384" s="72"/>
      <c r="G4384" s="77"/>
      <c r="H4384" s="77"/>
    </row>
    <row r="4385">
      <c r="C4385" s="72"/>
      <c r="G4385" s="77"/>
      <c r="H4385" s="77"/>
    </row>
    <row r="4386">
      <c r="C4386" s="72"/>
      <c r="G4386" s="77"/>
      <c r="H4386" s="77"/>
    </row>
    <row r="4387">
      <c r="C4387" s="72"/>
      <c r="G4387" s="77"/>
      <c r="H4387" s="77"/>
    </row>
    <row r="4388">
      <c r="C4388" s="72"/>
      <c r="G4388" s="77"/>
      <c r="H4388" s="77"/>
    </row>
    <row r="4389">
      <c r="C4389" s="72"/>
      <c r="G4389" s="77"/>
      <c r="H4389" s="77"/>
    </row>
    <row r="4390">
      <c r="C4390" s="72"/>
      <c r="G4390" s="77"/>
      <c r="H4390" s="77"/>
    </row>
    <row r="4391">
      <c r="C4391" s="72"/>
      <c r="G4391" s="77"/>
      <c r="H4391" s="77"/>
    </row>
    <row r="4392">
      <c r="C4392" s="72"/>
      <c r="G4392" s="77"/>
      <c r="H4392" s="77"/>
    </row>
    <row r="4393">
      <c r="C4393" s="72"/>
      <c r="G4393" s="77"/>
      <c r="H4393" s="77"/>
    </row>
    <row r="4394">
      <c r="C4394" s="72"/>
      <c r="G4394" s="77"/>
      <c r="H4394" s="77"/>
    </row>
    <row r="4395">
      <c r="C4395" s="72"/>
      <c r="G4395" s="77"/>
      <c r="H4395" s="77"/>
    </row>
    <row r="4396">
      <c r="C4396" s="72"/>
      <c r="G4396" s="77"/>
      <c r="H4396" s="77"/>
    </row>
    <row r="4397">
      <c r="C4397" s="72"/>
      <c r="G4397" s="77"/>
      <c r="H4397" s="77"/>
    </row>
    <row r="4398">
      <c r="C4398" s="72"/>
      <c r="G4398" s="77"/>
      <c r="H4398" s="77"/>
    </row>
    <row r="4399">
      <c r="C4399" s="72"/>
      <c r="G4399" s="77"/>
      <c r="H4399" s="77"/>
    </row>
    <row r="4400">
      <c r="C4400" s="72"/>
      <c r="G4400" s="77"/>
      <c r="H4400" s="77"/>
    </row>
    <row r="4401">
      <c r="C4401" s="72"/>
      <c r="G4401" s="77"/>
      <c r="H4401" s="77"/>
    </row>
    <row r="4402">
      <c r="C4402" s="72"/>
      <c r="G4402" s="77"/>
      <c r="H4402" s="77"/>
    </row>
    <row r="4403">
      <c r="C4403" s="72"/>
      <c r="G4403" s="77"/>
      <c r="H4403" s="77"/>
    </row>
    <row r="4404">
      <c r="C4404" s="72"/>
      <c r="G4404" s="77"/>
      <c r="H4404" s="77"/>
    </row>
    <row r="4405">
      <c r="C4405" s="72"/>
      <c r="G4405" s="77"/>
      <c r="H4405" s="77"/>
    </row>
    <row r="4406">
      <c r="C4406" s="72"/>
      <c r="G4406" s="77"/>
      <c r="H4406" s="77"/>
    </row>
    <row r="4407">
      <c r="C4407" s="72"/>
      <c r="G4407" s="77"/>
      <c r="H4407" s="77"/>
    </row>
    <row r="4408">
      <c r="C4408" s="72"/>
      <c r="G4408" s="77"/>
      <c r="H4408" s="77"/>
    </row>
    <row r="4409">
      <c r="C4409" s="72"/>
      <c r="G4409" s="77"/>
      <c r="H4409" s="77"/>
    </row>
    <row r="4410">
      <c r="C4410" s="72"/>
      <c r="G4410" s="77"/>
      <c r="H4410" s="77"/>
    </row>
    <row r="4411">
      <c r="C4411" s="72"/>
      <c r="G4411" s="77"/>
      <c r="H4411" s="77"/>
    </row>
    <row r="4412">
      <c r="C4412" s="72"/>
      <c r="G4412" s="77"/>
      <c r="H4412" s="77"/>
    </row>
    <row r="4413">
      <c r="C4413" s="72"/>
      <c r="G4413" s="77"/>
      <c r="H4413" s="77"/>
    </row>
    <row r="4414">
      <c r="C4414" s="72"/>
      <c r="G4414" s="77"/>
      <c r="H4414" s="77"/>
    </row>
    <row r="4415">
      <c r="C4415" s="72"/>
      <c r="G4415" s="77"/>
      <c r="H4415" s="77"/>
    </row>
    <row r="4416">
      <c r="C4416" s="72"/>
      <c r="G4416" s="77"/>
      <c r="H4416" s="77"/>
    </row>
    <row r="4417">
      <c r="C4417" s="72"/>
      <c r="G4417" s="77"/>
      <c r="H4417" s="77"/>
    </row>
    <row r="4418">
      <c r="C4418" s="72"/>
      <c r="G4418" s="77"/>
      <c r="H4418" s="77"/>
    </row>
    <row r="4419">
      <c r="C4419" s="72"/>
      <c r="G4419" s="77"/>
      <c r="H4419" s="77"/>
    </row>
    <row r="4420">
      <c r="C4420" s="72"/>
      <c r="G4420" s="77"/>
      <c r="H4420" s="77"/>
    </row>
    <row r="4421">
      <c r="C4421" s="72"/>
      <c r="G4421" s="77"/>
      <c r="H4421" s="77"/>
    </row>
    <row r="4422">
      <c r="C4422" s="72"/>
      <c r="G4422" s="77"/>
      <c r="H4422" s="77"/>
    </row>
    <row r="4423">
      <c r="C4423" s="72"/>
      <c r="G4423" s="77"/>
      <c r="H4423" s="77"/>
    </row>
    <row r="4424">
      <c r="C4424" s="72"/>
      <c r="G4424" s="77"/>
      <c r="H4424" s="77"/>
    </row>
    <row r="4425">
      <c r="C4425" s="72"/>
      <c r="G4425" s="77"/>
      <c r="H4425" s="77"/>
    </row>
    <row r="4426">
      <c r="C4426" s="72"/>
      <c r="G4426" s="77"/>
      <c r="H4426" s="77"/>
    </row>
    <row r="4427">
      <c r="C4427" s="72"/>
      <c r="G4427" s="77"/>
      <c r="H4427" s="77"/>
    </row>
    <row r="4428">
      <c r="C4428" s="72"/>
      <c r="G4428" s="77"/>
      <c r="H4428" s="77"/>
    </row>
    <row r="4429">
      <c r="C4429" s="72"/>
      <c r="G4429" s="77"/>
      <c r="H4429" s="77"/>
    </row>
    <row r="4430">
      <c r="C4430" s="72"/>
      <c r="G4430" s="77"/>
      <c r="H4430" s="77"/>
    </row>
    <row r="4431">
      <c r="C4431" s="72"/>
      <c r="G4431" s="77"/>
      <c r="H4431" s="77"/>
    </row>
    <row r="4432">
      <c r="C4432" s="72"/>
      <c r="G4432" s="77"/>
      <c r="H4432" s="77"/>
    </row>
    <row r="4433">
      <c r="C4433" s="72"/>
      <c r="G4433" s="77"/>
      <c r="H4433" s="77"/>
    </row>
    <row r="4434">
      <c r="C4434" s="72"/>
      <c r="G4434" s="77"/>
      <c r="H4434" s="77"/>
    </row>
    <row r="4435">
      <c r="C4435" s="72"/>
      <c r="G4435" s="77"/>
      <c r="H4435" s="77"/>
    </row>
    <row r="4436">
      <c r="C4436" s="72"/>
      <c r="G4436" s="77"/>
      <c r="H4436" s="77"/>
    </row>
    <row r="4437">
      <c r="C4437" s="72"/>
      <c r="G4437" s="77"/>
      <c r="H4437" s="77"/>
    </row>
    <row r="4438">
      <c r="C4438" s="72"/>
      <c r="G4438" s="77"/>
      <c r="H4438" s="77"/>
    </row>
    <row r="4439">
      <c r="C4439" s="72"/>
      <c r="G4439" s="77"/>
      <c r="H4439" s="77"/>
    </row>
    <row r="4440">
      <c r="C4440" s="72"/>
      <c r="G4440" s="77"/>
      <c r="H4440" s="77"/>
    </row>
    <row r="4441">
      <c r="C4441" s="72"/>
      <c r="G4441" s="77"/>
      <c r="H4441" s="77"/>
    </row>
    <row r="4442">
      <c r="C4442" s="72"/>
      <c r="G4442" s="77"/>
      <c r="H4442" s="77"/>
    </row>
    <row r="4443">
      <c r="C4443" s="72"/>
      <c r="G4443" s="77"/>
      <c r="H4443" s="77"/>
    </row>
    <row r="4444">
      <c r="C4444" s="72"/>
      <c r="G4444" s="77"/>
      <c r="H4444" s="77"/>
    </row>
    <row r="4445">
      <c r="C4445" s="72"/>
      <c r="G4445" s="77"/>
      <c r="H4445" s="77"/>
    </row>
    <row r="4446">
      <c r="C4446" s="72"/>
      <c r="G4446" s="77"/>
      <c r="H4446" s="77"/>
    </row>
    <row r="4447">
      <c r="C4447" s="72"/>
      <c r="G4447" s="77"/>
      <c r="H4447" s="77"/>
    </row>
    <row r="4448">
      <c r="C4448" s="72"/>
      <c r="G4448" s="77"/>
      <c r="H4448" s="77"/>
    </row>
    <row r="4449">
      <c r="C4449" s="72"/>
      <c r="G4449" s="77"/>
      <c r="H4449" s="77"/>
    </row>
    <row r="4450">
      <c r="C4450" s="72"/>
      <c r="G4450" s="77"/>
      <c r="H4450" s="77"/>
    </row>
    <row r="4451">
      <c r="C4451" s="72"/>
      <c r="G4451" s="77"/>
      <c r="H4451" s="77"/>
    </row>
    <row r="4452">
      <c r="C4452" s="72"/>
      <c r="G4452" s="77"/>
      <c r="H4452" s="77"/>
    </row>
    <row r="4453">
      <c r="C4453" s="72"/>
      <c r="G4453" s="77"/>
      <c r="H4453" s="77"/>
    </row>
    <row r="4454">
      <c r="C4454" s="72"/>
      <c r="G4454" s="77"/>
      <c r="H4454" s="77"/>
    </row>
    <row r="4455">
      <c r="C4455" s="72"/>
      <c r="G4455" s="77"/>
      <c r="H4455" s="77"/>
    </row>
    <row r="4456">
      <c r="C4456" s="72"/>
      <c r="G4456" s="77"/>
      <c r="H4456" s="77"/>
    </row>
    <row r="4457">
      <c r="C4457" s="72"/>
      <c r="G4457" s="77"/>
      <c r="H4457" s="77"/>
    </row>
    <row r="4458">
      <c r="C4458" s="72"/>
      <c r="G4458" s="77"/>
      <c r="H4458" s="77"/>
    </row>
    <row r="4459">
      <c r="C4459" s="72"/>
      <c r="G4459" s="77"/>
      <c r="H4459" s="77"/>
    </row>
    <row r="4460">
      <c r="C4460" s="72"/>
      <c r="G4460" s="77"/>
      <c r="H4460" s="77"/>
    </row>
    <row r="4461">
      <c r="C4461" s="72"/>
      <c r="G4461" s="77"/>
      <c r="H4461" s="77"/>
    </row>
    <row r="4462">
      <c r="C4462" s="72"/>
      <c r="G4462" s="77"/>
      <c r="H4462" s="77"/>
    </row>
    <row r="4463">
      <c r="C4463" s="72"/>
      <c r="G4463" s="77"/>
      <c r="H4463" s="77"/>
    </row>
    <row r="4464">
      <c r="C4464" s="72"/>
      <c r="G4464" s="77"/>
      <c r="H4464" s="77"/>
    </row>
    <row r="4465">
      <c r="C4465" s="72"/>
      <c r="G4465" s="77"/>
      <c r="H4465" s="77"/>
    </row>
    <row r="4466">
      <c r="C4466" s="72"/>
      <c r="G4466" s="77"/>
      <c r="H4466" s="77"/>
    </row>
    <row r="4467">
      <c r="C4467" s="72"/>
      <c r="G4467" s="77"/>
      <c r="H4467" s="77"/>
    </row>
    <row r="4468">
      <c r="C4468" s="72"/>
      <c r="G4468" s="77"/>
      <c r="H4468" s="77"/>
    </row>
    <row r="4469">
      <c r="C4469" s="72"/>
      <c r="G4469" s="77"/>
      <c r="H4469" s="77"/>
    </row>
    <row r="4470">
      <c r="C4470" s="72"/>
      <c r="G4470" s="77"/>
      <c r="H4470" s="77"/>
    </row>
    <row r="4471">
      <c r="C4471" s="72"/>
      <c r="G4471" s="77"/>
      <c r="H4471" s="77"/>
    </row>
    <row r="4472">
      <c r="C4472" s="72"/>
      <c r="G4472" s="77"/>
      <c r="H4472" s="77"/>
    </row>
    <row r="4473">
      <c r="C4473" s="72"/>
      <c r="G4473" s="77"/>
      <c r="H4473" s="77"/>
    </row>
    <row r="4474">
      <c r="C4474" s="72"/>
      <c r="G4474" s="77"/>
      <c r="H4474" s="77"/>
    </row>
    <row r="4475">
      <c r="C4475" s="72"/>
      <c r="G4475" s="77"/>
      <c r="H4475" s="77"/>
    </row>
    <row r="4476">
      <c r="C4476" s="72"/>
      <c r="G4476" s="77"/>
      <c r="H4476" s="77"/>
    </row>
    <row r="4477">
      <c r="C4477" s="72"/>
      <c r="G4477" s="77"/>
      <c r="H4477" s="77"/>
    </row>
    <row r="4478">
      <c r="C4478" s="72"/>
      <c r="G4478" s="77"/>
      <c r="H4478" s="77"/>
    </row>
    <row r="4479">
      <c r="C4479" s="72"/>
      <c r="G4479" s="77"/>
      <c r="H4479" s="77"/>
    </row>
    <row r="4480">
      <c r="C4480" s="72"/>
      <c r="G4480" s="77"/>
      <c r="H4480" s="77"/>
    </row>
    <row r="4481">
      <c r="C4481" s="72"/>
      <c r="G4481" s="77"/>
      <c r="H4481" s="77"/>
    </row>
    <row r="4482">
      <c r="C4482" s="72"/>
      <c r="G4482" s="77"/>
      <c r="H4482" s="77"/>
    </row>
    <row r="4483">
      <c r="C4483" s="72"/>
      <c r="G4483" s="77"/>
      <c r="H4483" s="77"/>
    </row>
    <row r="4484">
      <c r="C4484" s="72"/>
      <c r="G4484" s="77"/>
      <c r="H4484" s="77"/>
    </row>
    <row r="4485">
      <c r="C4485" s="72"/>
      <c r="G4485" s="77"/>
      <c r="H4485" s="77"/>
    </row>
    <row r="4486">
      <c r="C4486" s="72"/>
      <c r="G4486" s="77"/>
      <c r="H4486" s="77"/>
    </row>
    <row r="4487">
      <c r="C4487" s="72"/>
      <c r="G4487" s="77"/>
      <c r="H4487" s="77"/>
    </row>
    <row r="4488">
      <c r="C4488" s="72"/>
      <c r="G4488" s="77"/>
      <c r="H4488" s="77"/>
    </row>
    <row r="4489">
      <c r="C4489" s="72"/>
      <c r="G4489" s="77"/>
      <c r="H4489" s="77"/>
    </row>
    <row r="4490">
      <c r="C4490" s="72"/>
      <c r="G4490" s="77"/>
      <c r="H4490" s="77"/>
    </row>
    <row r="4491">
      <c r="C4491" s="72"/>
      <c r="G4491" s="77"/>
      <c r="H4491" s="77"/>
    </row>
    <row r="4492">
      <c r="C4492" s="72"/>
      <c r="G4492" s="77"/>
      <c r="H4492" s="77"/>
    </row>
    <row r="4493">
      <c r="C4493" s="72"/>
      <c r="G4493" s="77"/>
      <c r="H4493" s="77"/>
    </row>
    <row r="4494">
      <c r="C4494" s="72"/>
      <c r="G4494" s="77"/>
      <c r="H4494" s="77"/>
    </row>
    <row r="4495">
      <c r="C4495" s="72"/>
      <c r="G4495" s="77"/>
      <c r="H4495" s="77"/>
    </row>
    <row r="4496">
      <c r="C4496" s="72"/>
      <c r="G4496" s="77"/>
      <c r="H4496" s="77"/>
    </row>
    <row r="4497">
      <c r="C4497" s="72"/>
      <c r="G4497" s="77"/>
      <c r="H4497" s="77"/>
    </row>
    <row r="4498">
      <c r="C4498" s="72"/>
      <c r="G4498" s="77"/>
      <c r="H4498" s="77"/>
    </row>
    <row r="4499">
      <c r="C4499" s="72"/>
      <c r="G4499" s="77"/>
      <c r="H4499" s="77"/>
    </row>
    <row r="4500">
      <c r="C4500" s="72"/>
      <c r="G4500" s="77"/>
      <c r="H4500" s="77"/>
    </row>
    <row r="4501">
      <c r="C4501" s="72"/>
      <c r="G4501" s="77"/>
      <c r="H4501" s="77"/>
    </row>
    <row r="4502">
      <c r="C4502" s="72"/>
      <c r="G4502" s="77"/>
      <c r="H4502" s="77"/>
    </row>
    <row r="4503">
      <c r="C4503" s="72"/>
      <c r="G4503" s="77"/>
      <c r="H4503" s="77"/>
    </row>
    <row r="4504">
      <c r="C4504" s="72"/>
      <c r="G4504" s="77"/>
      <c r="H4504" s="77"/>
    </row>
    <row r="4505">
      <c r="C4505" s="72"/>
      <c r="G4505" s="77"/>
      <c r="H4505" s="77"/>
    </row>
    <row r="4506">
      <c r="C4506" s="72"/>
      <c r="G4506" s="77"/>
      <c r="H4506" s="77"/>
    </row>
    <row r="4507">
      <c r="C4507" s="72"/>
      <c r="G4507" s="77"/>
      <c r="H4507" s="77"/>
    </row>
    <row r="4508">
      <c r="C4508" s="72"/>
      <c r="G4508" s="77"/>
      <c r="H4508" s="77"/>
    </row>
    <row r="4509">
      <c r="C4509" s="72"/>
      <c r="G4509" s="77"/>
      <c r="H4509" s="77"/>
    </row>
    <row r="4510">
      <c r="C4510" s="72"/>
      <c r="G4510" s="77"/>
      <c r="H4510" s="77"/>
    </row>
    <row r="4511">
      <c r="C4511" s="72"/>
      <c r="G4511" s="77"/>
      <c r="H4511" s="77"/>
    </row>
    <row r="4512">
      <c r="C4512" s="72"/>
      <c r="G4512" s="77"/>
      <c r="H4512" s="77"/>
    </row>
    <row r="4513">
      <c r="C4513" s="72"/>
      <c r="G4513" s="77"/>
      <c r="H4513" s="77"/>
    </row>
    <row r="4514">
      <c r="C4514" s="72"/>
      <c r="G4514" s="77"/>
      <c r="H4514" s="77"/>
    </row>
    <row r="4515">
      <c r="C4515" s="72"/>
      <c r="G4515" s="77"/>
      <c r="H4515" s="77"/>
    </row>
    <row r="4516">
      <c r="C4516" s="72"/>
      <c r="G4516" s="77"/>
      <c r="H4516" s="77"/>
    </row>
    <row r="4517">
      <c r="C4517" s="72"/>
      <c r="G4517" s="77"/>
      <c r="H4517" s="77"/>
    </row>
    <row r="4518">
      <c r="C4518" s="72"/>
      <c r="G4518" s="77"/>
      <c r="H4518" s="77"/>
    </row>
    <row r="4519">
      <c r="C4519" s="72"/>
      <c r="G4519" s="77"/>
      <c r="H4519" s="77"/>
    </row>
    <row r="4520">
      <c r="C4520" s="72"/>
      <c r="G4520" s="77"/>
      <c r="H4520" s="77"/>
    </row>
    <row r="4521">
      <c r="C4521" s="72"/>
      <c r="G4521" s="77"/>
      <c r="H4521" s="77"/>
    </row>
    <row r="4522">
      <c r="C4522" s="72"/>
      <c r="G4522" s="77"/>
      <c r="H4522" s="77"/>
    </row>
    <row r="4523">
      <c r="C4523" s="72"/>
      <c r="G4523" s="77"/>
      <c r="H4523" s="77"/>
    </row>
    <row r="4524">
      <c r="C4524" s="72"/>
      <c r="G4524" s="77"/>
      <c r="H4524" s="77"/>
    </row>
    <row r="4525">
      <c r="C4525" s="72"/>
      <c r="G4525" s="77"/>
      <c r="H4525" s="77"/>
    </row>
    <row r="4526">
      <c r="C4526" s="72"/>
      <c r="G4526" s="77"/>
      <c r="H4526" s="77"/>
    </row>
    <row r="4527">
      <c r="C4527" s="72"/>
      <c r="G4527" s="77"/>
      <c r="H4527" s="77"/>
    </row>
    <row r="4528">
      <c r="C4528" s="72"/>
      <c r="G4528" s="77"/>
      <c r="H4528" s="77"/>
    </row>
    <row r="4529">
      <c r="C4529" s="72"/>
      <c r="G4529" s="77"/>
      <c r="H4529" s="77"/>
    </row>
    <row r="4530">
      <c r="C4530" s="72"/>
      <c r="G4530" s="77"/>
      <c r="H4530" s="77"/>
    </row>
    <row r="4531">
      <c r="C4531" s="72"/>
      <c r="G4531" s="77"/>
      <c r="H4531" s="77"/>
    </row>
    <row r="4532">
      <c r="C4532" s="72"/>
      <c r="G4532" s="77"/>
      <c r="H4532" s="77"/>
    </row>
    <row r="4533">
      <c r="C4533" s="72"/>
      <c r="G4533" s="77"/>
      <c r="H4533" s="77"/>
    </row>
    <row r="4534">
      <c r="C4534" s="72"/>
      <c r="G4534" s="77"/>
      <c r="H4534" s="77"/>
    </row>
    <row r="4535">
      <c r="C4535" s="72"/>
      <c r="G4535" s="77"/>
      <c r="H4535" s="77"/>
    </row>
    <row r="4536">
      <c r="C4536" s="72"/>
      <c r="G4536" s="77"/>
      <c r="H4536" s="77"/>
    </row>
    <row r="4537">
      <c r="C4537" s="72"/>
      <c r="G4537" s="77"/>
      <c r="H4537" s="77"/>
    </row>
    <row r="4538">
      <c r="C4538" s="72"/>
      <c r="G4538" s="77"/>
      <c r="H4538" s="77"/>
    </row>
    <row r="4539">
      <c r="C4539" s="72"/>
      <c r="G4539" s="77"/>
      <c r="H4539" s="77"/>
    </row>
    <row r="4540">
      <c r="C4540" s="72"/>
      <c r="G4540" s="77"/>
      <c r="H4540" s="77"/>
    </row>
    <row r="4541">
      <c r="C4541" s="72"/>
      <c r="G4541" s="77"/>
      <c r="H4541" s="77"/>
    </row>
    <row r="4542">
      <c r="C4542" s="72"/>
      <c r="G4542" s="77"/>
      <c r="H4542" s="77"/>
    </row>
    <row r="4543">
      <c r="C4543" s="72"/>
      <c r="G4543" s="77"/>
      <c r="H4543" s="77"/>
    </row>
    <row r="4544">
      <c r="C4544" s="72"/>
      <c r="G4544" s="77"/>
      <c r="H4544" s="77"/>
    </row>
    <row r="4545">
      <c r="C4545" s="72"/>
      <c r="G4545" s="77"/>
      <c r="H4545" s="77"/>
    </row>
    <row r="4546">
      <c r="C4546" s="72"/>
      <c r="G4546" s="77"/>
      <c r="H4546" s="77"/>
    </row>
    <row r="4547">
      <c r="C4547" s="72"/>
      <c r="G4547" s="77"/>
      <c r="H4547" s="77"/>
    </row>
    <row r="4548">
      <c r="C4548" s="72"/>
      <c r="G4548" s="77"/>
      <c r="H4548" s="77"/>
    </row>
    <row r="4549">
      <c r="C4549" s="72"/>
      <c r="G4549" s="77"/>
      <c r="H4549" s="77"/>
    </row>
    <row r="4550">
      <c r="C4550" s="72"/>
      <c r="G4550" s="77"/>
      <c r="H4550" s="77"/>
    </row>
    <row r="4551">
      <c r="C4551" s="72"/>
      <c r="G4551" s="77"/>
      <c r="H4551" s="77"/>
    </row>
    <row r="4552">
      <c r="C4552" s="72"/>
      <c r="G4552" s="77"/>
      <c r="H4552" s="77"/>
    </row>
    <row r="4553">
      <c r="C4553" s="72"/>
      <c r="G4553" s="77"/>
      <c r="H4553" s="77"/>
    </row>
    <row r="4554">
      <c r="C4554" s="72"/>
      <c r="G4554" s="77"/>
      <c r="H4554" s="77"/>
    </row>
    <row r="4555">
      <c r="C4555" s="72"/>
      <c r="G4555" s="77"/>
      <c r="H4555" s="77"/>
    </row>
    <row r="4556">
      <c r="C4556" s="72"/>
      <c r="G4556" s="77"/>
      <c r="H4556" s="77"/>
    </row>
    <row r="4557">
      <c r="C4557" s="72"/>
      <c r="G4557" s="77"/>
      <c r="H4557" s="77"/>
    </row>
    <row r="4558">
      <c r="C4558" s="72"/>
      <c r="G4558" s="77"/>
      <c r="H4558" s="77"/>
    </row>
    <row r="4559">
      <c r="C4559" s="72"/>
      <c r="G4559" s="77"/>
      <c r="H4559" s="77"/>
    </row>
    <row r="4560">
      <c r="C4560" s="72"/>
      <c r="G4560" s="77"/>
      <c r="H4560" s="77"/>
    </row>
    <row r="4561">
      <c r="C4561" s="72"/>
      <c r="G4561" s="77"/>
      <c r="H4561" s="77"/>
    </row>
    <row r="4562">
      <c r="C4562" s="72"/>
      <c r="G4562" s="77"/>
      <c r="H4562" s="77"/>
    </row>
    <row r="4563">
      <c r="C4563" s="72"/>
      <c r="G4563" s="77"/>
      <c r="H4563" s="77"/>
    </row>
    <row r="4564">
      <c r="C4564" s="72"/>
      <c r="G4564" s="77"/>
      <c r="H4564" s="77"/>
    </row>
    <row r="4565">
      <c r="C4565" s="72"/>
      <c r="G4565" s="77"/>
      <c r="H4565" s="77"/>
    </row>
    <row r="4566">
      <c r="C4566" s="72"/>
      <c r="G4566" s="77"/>
      <c r="H4566" s="77"/>
    </row>
    <row r="4567">
      <c r="C4567" s="72"/>
      <c r="G4567" s="77"/>
      <c r="H4567" s="77"/>
    </row>
    <row r="4568">
      <c r="C4568" s="72"/>
      <c r="G4568" s="77"/>
      <c r="H4568" s="77"/>
    </row>
    <row r="4569">
      <c r="C4569" s="72"/>
      <c r="G4569" s="77"/>
      <c r="H4569" s="77"/>
    </row>
    <row r="4570">
      <c r="C4570" s="72"/>
      <c r="G4570" s="77"/>
      <c r="H4570" s="77"/>
    </row>
    <row r="4571">
      <c r="C4571" s="72"/>
      <c r="G4571" s="77"/>
      <c r="H4571" s="77"/>
    </row>
    <row r="4572">
      <c r="C4572" s="72"/>
      <c r="G4572" s="77"/>
      <c r="H4572" s="77"/>
    </row>
    <row r="4573">
      <c r="C4573" s="72"/>
      <c r="G4573" s="77"/>
      <c r="H4573" s="77"/>
    </row>
    <row r="4574">
      <c r="C4574" s="72"/>
      <c r="G4574" s="77"/>
      <c r="H4574" s="77"/>
    </row>
    <row r="4575">
      <c r="C4575" s="72"/>
      <c r="G4575" s="77"/>
      <c r="H4575" s="77"/>
    </row>
    <row r="4576">
      <c r="C4576" s="72"/>
      <c r="G4576" s="77"/>
      <c r="H4576" s="77"/>
    </row>
    <row r="4577">
      <c r="C4577" s="72"/>
      <c r="G4577" s="77"/>
      <c r="H4577" s="77"/>
    </row>
    <row r="4578">
      <c r="C4578" s="72"/>
      <c r="G4578" s="77"/>
      <c r="H4578" s="77"/>
    </row>
    <row r="4579">
      <c r="C4579" s="72"/>
      <c r="G4579" s="77"/>
      <c r="H4579" s="77"/>
    </row>
    <row r="4580">
      <c r="C4580" s="72"/>
      <c r="G4580" s="77"/>
      <c r="H4580" s="77"/>
    </row>
    <row r="4581">
      <c r="C4581" s="72"/>
      <c r="G4581" s="77"/>
      <c r="H4581" s="77"/>
    </row>
    <row r="4582">
      <c r="C4582" s="72"/>
      <c r="G4582" s="77"/>
      <c r="H4582" s="77"/>
    </row>
    <row r="4583">
      <c r="C4583" s="72"/>
      <c r="G4583" s="77"/>
      <c r="H4583" s="77"/>
    </row>
    <row r="4584">
      <c r="C4584" s="72"/>
      <c r="G4584" s="77"/>
      <c r="H4584" s="77"/>
    </row>
    <row r="4585">
      <c r="C4585" s="72"/>
      <c r="G4585" s="77"/>
      <c r="H4585" s="77"/>
    </row>
    <row r="4586">
      <c r="C4586" s="72"/>
      <c r="G4586" s="77"/>
      <c r="H4586" s="77"/>
    </row>
    <row r="4587">
      <c r="C4587" s="72"/>
      <c r="G4587" s="77"/>
      <c r="H4587" s="77"/>
    </row>
    <row r="4588">
      <c r="C4588" s="72"/>
      <c r="G4588" s="77"/>
      <c r="H4588" s="77"/>
    </row>
    <row r="4589">
      <c r="C4589" s="72"/>
      <c r="G4589" s="77"/>
      <c r="H4589" s="77"/>
    </row>
    <row r="4590">
      <c r="C4590" s="72"/>
      <c r="G4590" s="77"/>
      <c r="H4590" s="77"/>
    </row>
    <row r="4591">
      <c r="C4591" s="72"/>
      <c r="G4591" s="77"/>
      <c r="H4591" s="77"/>
    </row>
    <row r="4592">
      <c r="C4592" s="72"/>
      <c r="G4592" s="77"/>
      <c r="H4592" s="77"/>
    </row>
    <row r="4593">
      <c r="C4593" s="72"/>
      <c r="G4593" s="77"/>
      <c r="H4593" s="77"/>
    </row>
    <row r="4594">
      <c r="C4594" s="72"/>
      <c r="G4594" s="77"/>
      <c r="H4594" s="77"/>
    </row>
    <row r="4595">
      <c r="C4595" s="72"/>
      <c r="G4595" s="77"/>
      <c r="H4595" s="77"/>
    </row>
    <row r="4596">
      <c r="C4596" s="72"/>
      <c r="G4596" s="77"/>
      <c r="H4596" s="77"/>
    </row>
    <row r="4597">
      <c r="C4597" s="72"/>
      <c r="G4597" s="77"/>
      <c r="H4597" s="77"/>
    </row>
    <row r="4598">
      <c r="C4598" s="72"/>
      <c r="G4598" s="77"/>
      <c r="H4598" s="77"/>
    </row>
    <row r="4599">
      <c r="C4599" s="72"/>
      <c r="G4599" s="77"/>
      <c r="H4599" s="77"/>
    </row>
    <row r="4600">
      <c r="C4600" s="72"/>
      <c r="G4600" s="77"/>
      <c r="H4600" s="77"/>
    </row>
    <row r="4601">
      <c r="C4601" s="72"/>
      <c r="G4601" s="77"/>
      <c r="H4601" s="77"/>
    </row>
    <row r="4602">
      <c r="C4602" s="72"/>
      <c r="G4602" s="77"/>
      <c r="H4602" s="77"/>
    </row>
    <row r="4603">
      <c r="C4603" s="72"/>
      <c r="G4603" s="77"/>
      <c r="H4603" s="77"/>
    </row>
    <row r="4604">
      <c r="C4604" s="72"/>
      <c r="G4604" s="77"/>
      <c r="H4604" s="77"/>
    </row>
    <row r="4605">
      <c r="C4605" s="72"/>
      <c r="G4605" s="77"/>
      <c r="H4605" s="77"/>
    </row>
    <row r="4606">
      <c r="C4606" s="72"/>
      <c r="G4606" s="77"/>
      <c r="H4606" s="77"/>
    </row>
    <row r="4607">
      <c r="C4607" s="72"/>
      <c r="G4607" s="77"/>
      <c r="H4607" s="77"/>
    </row>
    <row r="4608">
      <c r="C4608" s="72"/>
      <c r="G4608" s="77"/>
      <c r="H4608" s="77"/>
    </row>
    <row r="4609">
      <c r="C4609" s="72"/>
      <c r="G4609" s="77"/>
      <c r="H4609" s="77"/>
    </row>
    <row r="4610">
      <c r="C4610" s="72"/>
      <c r="G4610" s="77"/>
      <c r="H4610" s="77"/>
    </row>
    <row r="4611">
      <c r="C4611" s="72"/>
      <c r="G4611" s="77"/>
      <c r="H4611" s="77"/>
    </row>
    <row r="4612">
      <c r="C4612" s="72"/>
      <c r="G4612" s="77"/>
      <c r="H4612" s="77"/>
    </row>
    <row r="4613">
      <c r="C4613" s="72"/>
      <c r="G4613" s="77"/>
      <c r="H4613" s="77"/>
    </row>
    <row r="4614">
      <c r="C4614" s="72"/>
      <c r="G4614" s="77"/>
      <c r="H4614" s="77"/>
    </row>
    <row r="4615">
      <c r="C4615" s="72"/>
      <c r="G4615" s="77"/>
      <c r="H4615" s="77"/>
    </row>
    <row r="4616">
      <c r="C4616" s="72"/>
      <c r="G4616" s="77"/>
      <c r="H4616" s="77"/>
    </row>
    <row r="4617">
      <c r="C4617" s="72"/>
      <c r="G4617" s="77"/>
      <c r="H4617" s="77"/>
    </row>
    <row r="4618">
      <c r="C4618" s="72"/>
      <c r="G4618" s="77"/>
      <c r="H4618" s="77"/>
    </row>
    <row r="4619">
      <c r="C4619" s="72"/>
      <c r="G4619" s="77"/>
      <c r="H4619" s="77"/>
    </row>
    <row r="4620">
      <c r="C4620" s="72"/>
      <c r="G4620" s="77"/>
      <c r="H4620" s="77"/>
    </row>
    <row r="4621">
      <c r="C4621" s="72"/>
      <c r="G4621" s="77"/>
      <c r="H4621" s="77"/>
    </row>
    <row r="4622">
      <c r="C4622" s="72"/>
      <c r="G4622" s="77"/>
      <c r="H4622" s="77"/>
    </row>
    <row r="4623">
      <c r="C4623" s="72"/>
      <c r="G4623" s="77"/>
      <c r="H4623" s="77"/>
    </row>
    <row r="4624">
      <c r="C4624" s="72"/>
      <c r="G4624" s="77"/>
      <c r="H4624" s="77"/>
    </row>
    <row r="4625">
      <c r="C4625" s="72"/>
      <c r="G4625" s="77"/>
      <c r="H4625" s="77"/>
    </row>
    <row r="4626">
      <c r="C4626" s="72"/>
      <c r="G4626" s="77"/>
      <c r="H4626" s="77"/>
    </row>
    <row r="4627">
      <c r="C4627" s="72"/>
      <c r="G4627" s="77"/>
      <c r="H4627" s="77"/>
    </row>
    <row r="4628">
      <c r="C4628" s="72"/>
      <c r="G4628" s="77"/>
      <c r="H4628" s="77"/>
    </row>
    <row r="4629">
      <c r="C4629" s="72"/>
      <c r="G4629" s="77"/>
      <c r="H4629" s="77"/>
    </row>
    <row r="4630">
      <c r="C4630" s="72"/>
      <c r="G4630" s="77"/>
      <c r="H4630" s="77"/>
    </row>
    <row r="4631">
      <c r="C4631" s="72"/>
      <c r="G4631" s="77"/>
      <c r="H4631" s="77"/>
    </row>
    <row r="4632">
      <c r="C4632" s="72"/>
      <c r="G4632" s="77"/>
      <c r="H4632" s="77"/>
    </row>
    <row r="4633">
      <c r="C4633" s="72"/>
      <c r="G4633" s="77"/>
      <c r="H4633" s="77"/>
    </row>
    <row r="4634">
      <c r="C4634" s="72"/>
      <c r="G4634" s="77"/>
      <c r="H4634" s="77"/>
    </row>
    <row r="4635">
      <c r="C4635" s="72"/>
      <c r="G4635" s="77"/>
      <c r="H4635" s="77"/>
    </row>
    <row r="4636">
      <c r="C4636" s="72"/>
      <c r="G4636" s="77"/>
      <c r="H4636" s="77"/>
    </row>
    <row r="4637">
      <c r="C4637" s="72"/>
      <c r="G4637" s="77"/>
      <c r="H4637" s="77"/>
    </row>
    <row r="4638">
      <c r="C4638" s="72"/>
      <c r="G4638" s="77"/>
      <c r="H4638" s="77"/>
    </row>
    <row r="4639">
      <c r="C4639" s="72"/>
      <c r="G4639" s="77"/>
      <c r="H4639" s="77"/>
    </row>
    <row r="4640">
      <c r="C4640" s="72"/>
      <c r="G4640" s="77"/>
      <c r="H4640" s="77"/>
    </row>
    <row r="4641">
      <c r="C4641" s="72"/>
      <c r="G4641" s="77"/>
      <c r="H4641" s="77"/>
    </row>
    <row r="4642">
      <c r="C4642" s="72"/>
      <c r="G4642" s="77"/>
      <c r="H4642" s="77"/>
    </row>
    <row r="4643">
      <c r="C4643" s="72"/>
      <c r="G4643" s="77"/>
      <c r="H4643" s="77"/>
    </row>
    <row r="4644">
      <c r="C4644" s="72"/>
      <c r="G4644" s="77"/>
      <c r="H4644" s="77"/>
    </row>
    <row r="4645">
      <c r="C4645" s="72"/>
      <c r="G4645" s="77"/>
      <c r="H4645" s="77"/>
    </row>
    <row r="4646">
      <c r="C4646" s="72"/>
      <c r="G4646" s="77"/>
      <c r="H4646" s="77"/>
    </row>
    <row r="4647">
      <c r="C4647" s="72"/>
      <c r="G4647" s="77"/>
      <c r="H4647" s="77"/>
    </row>
    <row r="4648">
      <c r="C4648" s="72"/>
      <c r="G4648" s="77"/>
      <c r="H4648" s="77"/>
    </row>
    <row r="4649">
      <c r="C4649" s="72"/>
      <c r="G4649" s="77"/>
      <c r="H4649" s="77"/>
    </row>
    <row r="4650">
      <c r="C4650" s="72"/>
      <c r="G4650" s="77"/>
      <c r="H4650" s="77"/>
    </row>
    <row r="4651">
      <c r="C4651" s="72"/>
      <c r="G4651" s="77"/>
      <c r="H4651" s="77"/>
    </row>
    <row r="4652">
      <c r="C4652" s="72"/>
      <c r="G4652" s="77"/>
      <c r="H4652" s="77"/>
    </row>
    <row r="4653">
      <c r="C4653" s="72"/>
      <c r="G4653" s="77"/>
      <c r="H4653" s="77"/>
    </row>
    <row r="4654">
      <c r="C4654" s="72"/>
      <c r="G4654" s="77"/>
      <c r="H4654" s="77"/>
    </row>
    <row r="4655">
      <c r="C4655" s="72"/>
      <c r="G4655" s="77"/>
      <c r="H4655" s="77"/>
    </row>
    <row r="4656">
      <c r="C4656" s="72"/>
      <c r="G4656" s="77"/>
      <c r="H4656" s="77"/>
    </row>
    <row r="4657">
      <c r="C4657" s="72"/>
      <c r="G4657" s="77"/>
      <c r="H4657" s="77"/>
    </row>
    <row r="4658">
      <c r="C4658" s="72"/>
      <c r="G4658" s="77"/>
      <c r="H4658" s="77"/>
    </row>
    <row r="4659">
      <c r="C4659" s="72"/>
      <c r="G4659" s="77"/>
      <c r="H4659" s="77"/>
    </row>
    <row r="4660">
      <c r="C4660" s="72"/>
      <c r="G4660" s="77"/>
      <c r="H4660" s="77"/>
    </row>
    <row r="4661">
      <c r="C4661" s="72"/>
      <c r="G4661" s="77"/>
      <c r="H4661" s="77"/>
    </row>
    <row r="4662">
      <c r="C4662" s="72"/>
      <c r="G4662" s="77"/>
      <c r="H4662" s="77"/>
    </row>
    <row r="4663">
      <c r="C4663" s="72"/>
      <c r="G4663" s="77"/>
      <c r="H4663" s="77"/>
    </row>
    <row r="4664">
      <c r="C4664" s="72"/>
      <c r="G4664" s="77"/>
      <c r="H4664" s="77"/>
    </row>
    <row r="4665">
      <c r="C4665" s="72"/>
      <c r="G4665" s="77"/>
      <c r="H4665" s="77"/>
    </row>
    <row r="4666">
      <c r="C4666" s="72"/>
      <c r="G4666" s="77"/>
      <c r="H4666" s="77"/>
    </row>
    <row r="4667">
      <c r="C4667" s="72"/>
      <c r="G4667" s="77"/>
      <c r="H4667" s="77"/>
    </row>
    <row r="4668">
      <c r="C4668" s="72"/>
      <c r="G4668" s="77"/>
      <c r="H4668" s="77"/>
    </row>
    <row r="4669">
      <c r="C4669" s="72"/>
      <c r="G4669" s="77"/>
      <c r="H4669" s="77"/>
    </row>
    <row r="4670">
      <c r="C4670" s="72"/>
      <c r="G4670" s="77"/>
      <c r="H4670" s="77"/>
    </row>
    <row r="4671">
      <c r="C4671" s="72"/>
      <c r="G4671" s="77"/>
      <c r="H4671" s="77"/>
    </row>
    <row r="4672">
      <c r="C4672" s="72"/>
      <c r="G4672" s="77"/>
      <c r="H4672" s="77"/>
    </row>
    <row r="4673">
      <c r="C4673" s="72"/>
      <c r="G4673" s="77"/>
      <c r="H4673" s="77"/>
    </row>
    <row r="4674">
      <c r="C4674" s="72"/>
      <c r="G4674" s="77"/>
      <c r="H4674" s="77"/>
    </row>
    <row r="4675">
      <c r="C4675" s="72"/>
      <c r="G4675" s="77"/>
      <c r="H4675" s="77"/>
    </row>
    <row r="4676">
      <c r="C4676" s="72"/>
      <c r="G4676" s="77"/>
      <c r="H4676" s="77"/>
    </row>
    <row r="4677">
      <c r="C4677" s="72"/>
      <c r="G4677" s="77"/>
      <c r="H4677" s="77"/>
    </row>
    <row r="4678">
      <c r="C4678" s="72"/>
      <c r="G4678" s="77"/>
      <c r="H4678" s="77"/>
    </row>
    <row r="4679">
      <c r="C4679" s="72"/>
      <c r="G4679" s="77"/>
      <c r="H4679" s="77"/>
    </row>
    <row r="4680">
      <c r="C4680" s="72"/>
      <c r="G4680" s="77"/>
      <c r="H4680" s="77"/>
    </row>
    <row r="4681">
      <c r="C4681" s="72"/>
      <c r="G4681" s="77"/>
      <c r="H4681" s="77"/>
    </row>
    <row r="4682">
      <c r="C4682" s="72"/>
      <c r="G4682" s="77"/>
      <c r="H4682" s="77"/>
    </row>
    <row r="4683">
      <c r="C4683" s="72"/>
      <c r="G4683" s="77"/>
      <c r="H4683" s="77"/>
    </row>
    <row r="4684">
      <c r="C4684" s="72"/>
      <c r="G4684" s="77"/>
      <c r="H4684" s="77"/>
    </row>
    <row r="4685">
      <c r="C4685" s="72"/>
      <c r="G4685" s="77"/>
      <c r="H4685" s="77"/>
    </row>
    <row r="4686">
      <c r="C4686" s="72"/>
      <c r="G4686" s="77"/>
      <c r="H4686" s="77"/>
    </row>
    <row r="4687">
      <c r="C4687" s="72"/>
      <c r="G4687" s="77"/>
      <c r="H4687" s="77"/>
    </row>
    <row r="4688">
      <c r="C4688" s="72"/>
      <c r="G4688" s="77"/>
      <c r="H4688" s="77"/>
    </row>
    <row r="4689">
      <c r="C4689" s="72"/>
      <c r="G4689" s="77"/>
      <c r="H4689" s="77"/>
    </row>
    <row r="4690">
      <c r="C4690" s="72"/>
      <c r="G4690" s="77"/>
      <c r="H4690" s="77"/>
    </row>
    <row r="4691">
      <c r="C4691" s="72"/>
      <c r="G4691" s="77"/>
      <c r="H4691" s="77"/>
    </row>
    <row r="4692">
      <c r="C4692" s="72"/>
      <c r="G4692" s="77"/>
      <c r="H4692" s="77"/>
    </row>
    <row r="4693">
      <c r="C4693" s="72"/>
      <c r="G4693" s="77"/>
      <c r="H4693" s="77"/>
    </row>
    <row r="4694">
      <c r="C4694" s="72"/>
      <c r="G4694" s="77"/>
      <c r="H4694" s="77"/>
    </row>
    <row r="4695">
      <c r="C4695" s="72"/>
      <c r="G4695" s="77"/>
      <c r="H4695" s="77"/>
    </row>
    <row r="4696">
      <c r="C4696" s="72"/>
      <c r="G4696" s="77"/>
      <c r="H4696" s="77"/>
    </row>
    <row r="4697">
      <c r="C4697" s="72"/>
      <c r="G4697" s="77"/>
      <c r="H4697" s="77"/>
    </row>
    <row r="4698">
      <c r="C4698" s="72"/>
      <c r="G4698" s="77"/>
      <c r="H4698" s="77"/>
    </row>
    <row r="4699">
      <c r="C4699" s="72"/>
      <c r="G4699" s="77"/>
      <c r="H4699" s="77"/>
    </row>
    <row r="4700">
      <c r="C4700" s="72"/>
      <c r="G4700" s="77"/>
      <c r="H4700" s="77"/>
    </row>
    <row r="4701">
      <c r="C4701" s="72"/>
      <c r="G4701" s="77"/>
      <c r="H4701" s="77"/>
    </row>
    <row r="4702">
      <c r="C4702" s="72"/>
      <c r="G4702" s="77"/>
      <c r="H4702" s="77"/>
    </row>
    <row r="4703">
      <c r="C4703" s="72"/>
      <c r="G4703" s="77"/>
      <c r="H4703" s="77"/>
    </row>
    <row r="4704">
      <c r="C4704" s="72"/>
      <c r="G4704" s="77"/>
      <c r="H4704" s="77"/>
    </row>
    <row r="4705">
      <c r="C4705" s="72"/>
      <c r="G4705" s="77"/>
      <c r="H4705" s="77"/>
    </row>
    <row r="4706">
      <c r="C4706" s="72"/>
      <c r="G4706" s="77"/>
      <c r="H4706" s="77"/>
    </row>
    <row r="4707">
      <c r="C4707" s="72"/>
      <c r="G4707" s="77"/>
      <c r="H4707" s="77"/>
    </row>
    <row r="4708">
      <c r="C4708" s="72"/>
      <c r="G4708" s="77"/>
      <c r="H4708" s="77"/>
    </row>
    <row r="4709">
      <c r="C4709" s="72"/>
      <c r="G4709" s="77"/>
      <c r="H4709" s="77"/>
    </row>
    <row r="4710">
      <c r="C4710" s="72"/>
      <c r="G4710" s="77"/>
      <c r="H4710" s="77"/>
    </row>
    <row r="4711">
      <c r="C4711" s="72"/>
      <c r="G4711" s="77"/>
      <c r="H4711" s="77"/>
    </row>
    <row r="4712">
      <c r="C4712" s="72"/>
      <c r="G4712" s="77"/>
      <c r="H4712" s="77"/>
    </row>
    <row r="4713">
      <c r="C4713" s="72"/>
      <c r="G4713" s="77"/>
      <c r="H4713" s="77"/>
    </row>
    <row r="4714">
      <c r="C4714" s="72"/>
      <c r="G4714" s="77"/>
      <c r="H4714" s="77"/>
    </row>
    <row r="4715">
      <c r="C4715" s="72"/>
      <c r="G4715" s="77"/>
      <c r="H4715" s="77"/>
    </row>
    <row r="4716">
      <c r="C4716" s="72"/>
      <c r="G4716" s="77"/>
      <c r="H4716" s="77"/>
    </row>
    <row r="4717">
      <c r="C4717" s="72"/>
      <c r="G4717" s="77"/>
      <c r="H4717" s="77"/>
    </row>
    <row r="4718">
      <c r="C4718" s="72"/>
      <c r="G4718" s="77"/>
      <c r="H4718" s="77"/>
    </row>
    <row r="4719">
      <c r="C4719" s="72"/>
      <c r="G4719" s="77"/>
      <c r="H4719" s="77"/>
    </row>
    <row r="4720">
      <c r="C4720" s="72"/>
      <c r="G4720" s="77"/>
      <c r="H4720" s="77"/>
    </row>
    <row r="4721">
      <c r="C4721" s="72"/>
      <c r="G4721" s="77"/>
      <c r="H4721" s="77"/>
    </row>
    <row r="4722">
      <c r="C4722" s="72"/>
      <c r="G4722" s="77"/>
      <c r="H4722" s="77"/>
    </row>
    <row r="4723">
      <c r="C4723" s="72"/>
      <c r="G4723" s="77"/>
      <c r="H4723" s="77"/>
    </row>
    <row r="4724">
      <c r="C4724" s="72"/>
      <c r="G4724" s="77"/>
      <c r="H4724" s="77"/>
    </row>
    <row r="4725">
      <c r="C4725" s="72"/>
      <c r="G4725" s="77"/>
      <c r="H4725" s="77"/>
    </row>
    <row r="4726">
      <c r="C4726" s="72"/>
      <c r="G4726" s="77"/>
      <c r="H4726" s="77"/>
    </row>
    <row r="4727">
      <c r="C4727" s="72"/>
      <c r="G4727" s="77"/>
      <c r="H4727" s="77"/>
    </row>
    <row r="4728">
      <c r="C4728" s="72"/>
      <c r="G4728" s="77"/>
      <c r="H4728" s="77"/>
    </row>
    <row r="4729">
      <c r="C4729" s="72"/>
      <c r="G4729" s="77"/>
      <c r="H4729" s="77"/>
    </row>
    <row r="4730">
      <c r="C4730" s="72"/>
      <c r="G4730" s="77"/>
      <c r="H4730" s="77"/>
    </row>
    <row r="4731">
      <c r="C4731" s="72"/>
      <c r="G4731" s="77"/>
      <c r="H4731" s="77"/>
    </row>
    <row r="4732">
      <c r="C4732" s="72"/>
      <c r="G4732" s="77"/>
      <c r="H4732" s="77"/>
    </row>
    <row r="4733">
      <c r="C4733" s="72"/>
      <c r="G4733" s="77"/>
      <c r="H4733" s="77"/>
    </row>
    <row r="4734">
      <c r="C4734" s="72"/>
      <c r="G4734" s="77"/>
      <c r="H4734" s="77"/>
    </row>
    <row r="4735">
      <c r="C4735" s="72"/>
      <c r="G4735" s="77"/>
      <c r="H4735" s="77"/>
    </row>
    <row r="4736">
      <c r="C4736" s="72"/>
      <c r="G4736" s="77"/>
      <c r="H4736" s="77"/>
    </row>
    <row r="4737">
      <c r="C4737" s="72"/>
      <c r="G4737" s="77"/>
      <c r="H4737" s="77"/>
    </row>
    <row r="4738">
      <c r="C4738" s="72"/>
      <c r="G4738" s="77"/>
      <c r="H4738" s="77"/>
    </row>
    <row r="4739">
      <c r="C4739" s="72"/>
      <c r="G4739" s="77"/>
      <c r="H4739" s="77"/>
    </row>
    <row r="4740">
      <c r="C4740" s="72"/>
      <c r="G4740" s="77"/>
      <c r="H4740" s="77"/>
    </row>
    <row r="4741">
      <c r="C4741" s="72"/>
      <c r="G4741" s="77"/>
      <c r="H4741" s="77"/>
    </row>
    <row r="4742">
      <c r="C4742" s="72"/>
      <c r="G4742" s="77"/>
      <c r="H4742" s="77"/>
    </row>
    <row r="4743">
      <c r="C4743" s="72"/>
      <c r="G4743" s="77"/>
      <c r="H4743" s="77"/>
    </row>
    <row r="4744">
      <c r="C4744" s="72"/>
      <c r="G4744" s="77"/>
      <c r="H4744" s="77"/>
    </row>
    <row r="4745">
      <c r="C4745" s="72"/>
      <c r="G4745" s="77"/>
      <c r="H4745" s="77"/>
    </row>
    <row r="4746">
      <c r="C4746" s="72"/>
      <c r="G4746" s="77"/>
      <c r="H4746" s="77"/>
    </row>
    <row r="4747">
      <c r="C4747" s="72"/>
      <c r="G4747" s="77"/>
      <c r="H4747" s="77"/>
    </row>
    <row r="4748">
      <c r="C4748" s="72"/>
      <c r="G4748" s="77"/>
      <c r="H4748" s="77"/>
    </row>
    <row r="4749">
      <c r="C4749" s="72"/>
      <c r="G4749" s="77"/>
      <c r="H4749" s="77"/>
    </row>
    <row r="4750">
      <c r="C4750" s="72"/>
      <c r="G4750" s="77"/>
      <c r="H4750" s="77"/>
    </row>
    <row r="4751">
      <c r="C4751" s="72"/>
      <c r="G4751" s="77"/>
      <c r="H4751" s="77"/>
    </row>
    <row r="4752">
      <c r="C4752" s="72"/>
      <c r="G4752" s="77"/>
      <c r="H4752" s="77"/>
    </row>
    <row r="4753">
      <c r="C4753" s="72"/>
      <c r="G4753" s="77"/>
      <c r="H4753" s="77"/>
    </row>
    <row r="4754">
      <c r="C4754" s="72"/>
      <c r="G4754" s="77"/>
      <c r="H4754" s="77"/>
    </row>
    <row r="4755">
      <c r="C4755" s="72"/>
      <c r="G4755" s="77"/>
      <c r="H4755" s="77"/>
    </row>
    <row r="4756">
      <c r="C4756" s="72"/>
      <c r="G4756" s="77"/>
      <c r="H4756" s="77"/>
    </row>
    <row r="4757">
      <c r="C4757" s="72"/>
      <c r="G4757" s="77"/>
      <c r="H4757" s="77"/>
    </row>
    <row r="4758">
      <c r="C4758" s="72"/>
      <c r="G4758" s="77"/>
      <c r="H4758" s="77"/>
    </row>
    <row r="4759">
      <c r="C4759" s="72"/>
      <c r="G4759" s="77"/>
      <c r="H4759" s="77"/>
    </row>
    <row r="4760">
      <c r="C4760" s="72"/>
      <c r="G4760" s="77"/>
      <c r="H4760" s="77"/>
    </row>
    <row r="4761">
      <c r="C4761" s="72"/>
      <c r="G4761" s="77"/>
      <c r="H4761" s="77"/>
    </row>
    <row r="4762">
      <c r="C4762" s="72"/>
      <c r="G4762" s="77"/>
      <c r="H4762" s="77"/>
    </row>
    <row r="4763">
      <c r="C4763" s="72"/>
      <c r="G4763" s="77"/>
      <c r="H4763" s="77"/>
    </row>
    <row r="4764">
      <c r="C4764" s="72"/>
      <c r="G4764" s="77"/>
      <c r="H4764" s="77"/>
    </row>
    <row r="4765">
      <c r="C4765" s="72"/>
      <c r="G4765" s="77"/>
      <c r="H4765" s="77"/>
    </row>
    <row r="4766">
      <c r="C4766" s="72"/>
      <c r="G4766" s="77"/>
      <c r="H4766" s="77"/>
    </row>
    <row r="4767">
      <c r="C4767" s="72"/>
      <c r="G4767" s="77"/>
      <c r="H4767" s="77"/>
    </row>
    <row r="4768">
      <c r="C4768" s="72"/>
      <c r="G4768" s="77"/>
      <c r="H4768" s="77"/>
    </row>
    <row r="4769">
      <c r="C4769" s="72"/>
      <c r="G4769" s="77"/>
      <c r="H4769" s="77"/>
    </row>
    <row r="4770">
      <c r="C4770" s="72"/>
      <c r="G4770" s="77"/>
      <c r="H4770" s="77"/>
    </row>
    <row r="4771">
      <c r="C4771" s="72"/>
      <c r="G4771" s="77"/>
      <c r="H4771" s="77"/>
    </row>
    <row r="4772">
      <c r="C4772" s="72"/>
      <c r="G4772" s="77"/>
      <c r="H4772" s="77"/>
    </row>
    <row r="4773">
      <c r="C4773" s="72"/>
      <c r="G4773" s="77"/>
      <c r="H4773" s="77"/>
    </row>
    <row r="4774">
      <c r="C4774" s="72"/>
      <c r="G4774" s="77"/>
      <c r="H4774" s="77"/>
    </row>
    <row r="4775">
      <c r="C4775" s="72"/>
      <c r="G4775" s="77"/>
      <c r="H4775" s="77"/>
    </row>
    <row r="4776">
      <c r="C4776" s="72"/>
      <c r="G4776" s="77"/>
      <c r="H4776" s="77"/>
    </row>
    <row r="4777">
      <c r="C4777" s="72"/>
      <c r="G4777" s="77"/>
      <c r="H4777" s="77"/>
    </row>
    <row r="4778">
      <c r="C4778" s="72"/>
      <c r="G4778" s="77"/>
      <c r="H4778" s="77"/>
    </row>
    <row r="4779">
      <c r="C4779" s="72"/>
      <c r="G4779" s="77"/>
      <c r="H4779" s="77"/>
    </row>
    <row r="4780">
      <c r="C4780" s="72"/>
      <c r="G4780" s="77"/>
      <c r="H4780" s="77"/>
    </row>
    <row r="4781">
      <c r="C4781" s="72"/>
      <c r="G4781" s="77"/>
      <c r="H4781" s="77"/>
    </row>
    <row r="4782">
      <c r="C4782" s="72"/>
      <c r="G4782" s="77"/>
      <c r="H4782" s="77"/>
    </row>
    <row r="4783">
      <c r="C4783" s="72"/>
      <c r="G4783" s="77"/>
      <c r="H4783" s="77"/>
    </row>
    <row r="4784">
      <c r="C4784" s="72"/>
      <c r="G4784" s="77"/>
      <c r="H4784" s="77"/>
    </row>
    <row r="4785">
      <c r="C4785" s="72"/>
      <c r="G4785" s="77"/>
      <c r="H4785" s="77"/>
    </row>
    <row r="4786">
      <c r="C4786" s="72"/>
      <c r="G4786" s="77"/>
      <c r="H4786" s="77"/>
    </row>
    <row r="4787">
      <c r="C4787" s="72"/>
      <c r="G4787" s="77"/>
      <c r="H4787" s="77"/>
    </row>
    <row r="4788">
      <c r="C4788" s="72"/>
      <c r="G4788" s="77"/>
      <c r="H4788" s="77"/>
    </row>
    <row r="4789">
      <c r="C4789" s="72"/>
      <c r="G4789" s="77"/>
      <c r="H4789" s="77"/>
    </row>
    <row r="4790">
      <c r="C4790" s="72"/>
      <c r="G4790" s="77"/>
      <c r="H4790" s="77"/>
    </row>
    <row r="4791">
      <c r="C4791" s="72"/>
      <c r="G4791" s="77"/>
      <c r="H4791" s="77"/>
    </row>
    <row r="4792">
      <c r="C4792" s="72"/>
      <c r="G4792" s="77"/>
      <c r="H4792" s="77"/>
    </row>
    <row r="4793">
      <c r="C4793" s="72"/>
      <c r="G4793" s="77"/>
      <c r="H4793" s="77"/>
    </row>
    <row r="4794">
      <c r="C4794" s="72"/>
      <c r="G4794" s="77"/>
      <c r="H4794" s="77"/>
    </row>
    <row r="4795">
      <c r="C4795" s="72"/>
      <c r="G4795" s="77"/>
      <c r="H4795" s="77"/>
    </row>
    <row r="4796">
      <c r="C4796" s="72"/>
      <c r="G4796" s="77"/>
      <c r="H4796" s="77"/>
    </row>
    <row r="4797">
      <c r="C4797" s="72"/>
      <c r="G4797" s="77"/>
      <c r="H4797" s="77"/>
    </row>
    <row r="4798">
      <c r="C4798" s="72"/>
      <c r="G4798" s="77"/>
      <c r="H4798" s="77"/>
    </row>
    <row r="4799">
      <c r="C4799" s="72"/>
      <c r="G4799" s="77"/>
      <c r="H4799" s="77"/>
    </row>
    <row r="4800">
      <c r="C4800" s="72"/>
      <c r="G4800" s="77"/>
      <c r="H4800" s="77"/>
    </row>
    <row r="4801">
      <c r="C4801" s="72"/>
      <c r="G4801" s="77"/>
      <c r="H4801" s="77"/>
    </row>
    <row r="4802">
      <c r="C4802" s="72"/>
      <c r="G4802" s="77"/>
      <c r="H4802" s="77"/>
    </row>
    <row r="4803">
      <c r="C4803" s="72"/>
      <c r="G4803" s="77"/>
      <c r="H4803" s="77"/>
    </row>
    <row r="4804">
      <c r="C4804" s="72"/>
      <c r="G4804" s="77"/>
      <c r="H4804" s="77"/>
    </row>
    <row r="4805">
      <c r="C4805" s="72"/>
      <c r="G4805" s="77"/>
      <c r="H4805" s="77"/>
    </row>
    <row r="4806">
      <c r="C4806" s="72"/>
      <c r="G4806" s="77"/>
      <c r="H4806" s="77"/>
    </row>
    <row r="4807">
      <c r="C4807" s="72"/>
      <c r="G4807" s="77"/>
      <c r="H4807" s="77"/>
    </row>
    <row r="4808">
      <c r="C4808" s="72"/>
      <c r="G4808" s="77"/>
      <c r="H4808" s="77"/>
    </row>
    <row r="4809">
      <c r="C4809" s="72"/>
      <c r="G4809" s="77"/>
      <c r="H4809" s="77"/>
    </row>
    <row r="4810">
      <c r="C4810" s="72"/>
      <c r="G4810" s="77"/>
      <c r="H4810" s="77"/>
    </row>
    <row r="4811">
      <c r="C4811" s="72"/>
      <c r="G4811" s="77"/>
      <c r="H4811" s="77"/>
    </row>
    <row r="4812">
      <c r="C4812" s="72"/>
      <c r="G4812" s="77"/>
      <c r="H4812" s="77"/>
    </row>
    <row r="4813">
      <c r="C4813" s="72"/>
      <c r="G4813" s="77"/>
      <c r="H4813" s="77"/>
    </row>
    <row r="4814">
      <c r="C4814" s="72"/>
      <c r="G4814" s="77"/>
      <c r="H4814" s="77"/>
    </row>
    <row r="4815">
      <c r="C4815" s="72"/>
      <c r="G4815" s="77"/>
      <c r="H4815" s="77"/>
    </row>
    <row r="4816">
      <c r="C4816" s="72"/>
      <c r="G4816" s="77"/>
      <c r="H4816" s="77"/>
    </row>
    <row r="4817">
      <c r="C4817" s="72"/>
      <c r="G4817" s="77"/>
      <c r="H4817" s="77"/>
    </row>
    <row r="4818">
      <c r="C4818" s="72"/>
      <c r="G4818" s="77"/>
      <c r="H4818" s="77"/>
    </row>
    <row r="4819">
      <c r="C4819" s="72"/>
      <c r="G4819" s="77"/>
      <c r="H4819" s="77"/>
    </row>
    <row r="4820">
      <c r="C4820" s="72"/>
      <c r="G4820" s="77"/>
      <c r="H4820" s="77"/>
    </row>
    <row r="4821">
      <c r="C4821" s="72"/>
      <c r="G4821" s="77"/>
      <c r="H4821" s="77"/>
    </row>
    <row r="4822">
      <c r="C4822" s="72"/>
      <c r="G4822" s="77"/>
      <c r="H4822" s="77"/>
    </row>
    <row r="4823">
      <c r="C4823" s="72"/>
      <c r="G4823" s="77"/>
      <c r="H4823" s="77"/>
    </row>
    <row r="4824">
      <c r="C4824" s="72"/>
      <c r="G4824" s="77"/>
      <c r="H4824" s="77"/>
    </row>
    <row r="4825">
      <c r="C4825" s="72"/>
      <c r="G4825" s="77"/>
      <c r="H4825" s="77"/>
    </row>
    <row r="4826">
      <c r="C4826" s="72"/>
      <c r="G4826" s="77"/>
      <c r="H4826" s="77"/>
    </row>
    <row r="4827">
      <c r="C4827" s="72"/>
      <c r="G4827" s="77"/>
      <c r="H4827" s="77"/>
    </row>
    <row r="4828">
      <c r="C4828" s="72"/>
      <c r="G4828" s="77"/>
      <c r="H4828" s="77"/>
    </row>
    <row r="4829">
      <c r="C4829" s="72"/>
      <c r="G4829" s="77"/>
      <c r="H4829" s="77"/>
    </row>
    <row r="4830">
      <c r="C4830" s="72"/>
      <c r="G4830" s="77"/>
      <c r="H4830" s="77"/>
    </row>
    <row r="4831">
      <c r="C4831" s="72"/>
      <c r="G4831" s="77"/>
      <c r="H4831" s="77"/>
    </row>
    <row r="4832">
      <c r="C4832" s="72"/>
      <c r="G4832" s="77"/>
      <c r="H4832" s="77"/>
    </row>
    <row r="4833">
      <c r="C4833" s="72"/>
      <c r="G4833" s="77"/>
      <c r="H4833" s="77"/>
    </row>
    <row r="4834">
      <c r="C4834" s="72"/>
      <c r="G4834" s="77"/>
      <c r="H4834" s="77"/>
    </row>
    <row r="4835">
      <c r="C4835" s="72"/>
      <c r="G4835" s="77"/>
      <c r="H4835" s="77"/>
    </row>
    <row r="4836">
      <c r="C4836" s="72"/>
      <c r="G4836" s="77"/>
      <c r="H4836" s="77"/>
    </row>
    <row r="4837">
      <c r="C4837" s="72"/>
      <c r="G4837" s="77"/>
      <c r="H4837" s="77"/>
    </row>
    <row r="4838">
      <c r="C4838" s="72"/>
      <c r="G4838" s="77"/>
      <c r="H4838" s="77"/>
    </row>
    <row r="4839">
      <c r="C4839" s="72"/>
      <c r="G4839" s="77"/>
      <c r="H4839" s="77"/>
    </row>
    <row r="4840">
      <c r="C4840" s="72"/>
      <c r="G4840" s="77"/>
      <c r="H4840" s="77"/>
    </row>
    <row r="4841">
      <c r="C4841" s="72"/>
      <c r="G4841" s="77"/>
      <c r="H4841" s="77"/>
    </row>
    <row r="4842">
      <c r="C4842" s="72"/>
      <c r="G4842" s="77"/>
      <c r="H4842" s="77"/>
    </row>
    <row r="4843">
      <c r="C4843" s="72"/>
      <c r="G4843" s="77"/>
      <c r="H4843" s="77"/>
    </row>
    <row r="4844">
      <c r="C4844" s="72"/>
      <c r="G4844" s="77"/>
      <c r="H4844" s="77"/>
    </row>
    <row r="4845">
      <c r="C4845" s="72"/>
      <c r="G4845" s="77"/>
      <c r="H4845" s="77"/>
    </row>
    <row r="4846">
      <c r="C4846" s="72"/>
      <c r="G4846" s="77"/>
      <c r="H4846" s="77"/>
    </row>
    <row r="4847">
      <c r="C4847" s="72"/>
      <c r="G4847" s="77"/>
      <c r="H4847" s="77"/>
    </row>
    <row r="4848">
      <c r="C4848" s="72"/>
      <c r="G4848" s="77"/>
      <c r="H4848" s="77"/>
    </row>
    <row r="4849">
      <c r="C4849" s="72"/>
      <c r="G4849" s="77"/>
      <c r="H4849" s="77"/>
    </row>
    <row r="4850">
      <c r="C4850" s="72"/>
      <c r="G4850" s="77"/>
      <c r="H4850" s="77"/>
    </row>
    <row r="4851">
      <c r="C4851" s="72"/>
      <c r="G4851" s="77"/>
      <c r="H4851" s="77"/>
    </row>
    <row r="4852">
      <c r="C4852" s="72"/>
      <c r="G4852" s="77"/>
      <c r="H4852" s="77"/>
    </row>
    <row r="4853">
      <c r="C4853" s="72"/>
      <c r="G4853" s="77"/>
      <c r="H4853" s="77"/>
    </row>
    <row r="4854">
      <c r="C4854" s="72"/>
      <c r="G4854" s="77"/>
      <c r="H4854" s="77"/>
    </row>
    <row r="4855">
      <c r="C4855" s="72"/>
      <c r="G4855" s="77"/>
      <c r="H4855" s="77"/>
    </row>
    <row r="4856">
      <c r="C4856" s="72"/>
      <c r="G4856" s="77"/>
      <c r="H4856" s="77"/>
    </row>
    <row r="4857">
      <c r="C4857" s="72"/>
      <c r="G4857" s="77"/>
      <c r="H4857" s="77"/>
    </row>
    <row r="4858">
      <c r="C4858" s="72"/>
      <c r="G4858" s="77"/>
      <c r="H4858" s="77"/>
    </row>
    <row r="4859">
      <c r="C4859" s="72"/>
      <c r="G4859" s="77"/>
      <c r="H4859" s="77"/>
    </row>
    <row r="4860">
      <c r="C4860" s="72"/>
      <c r="G4860" s="77"/>
      <c r="H4860" s="77"/>
    </row>
    <row r="4861">
      <c r="C4861" s="72"/>
      <c r="G4861" s="77"/>
      <c r="H4861" s="77"/>
    </row>
    <row r="4862">
      <c r="C4862" s="72"/>
      <c r="G4862" s="77"/>
      <c r="H4862" s="77"/>
    </row>
    <row r="4863">
      <c r="C4863" s="72"/>
      <c r="G4863" s="77"/>
      <c r="H4863" s="77"/>
    </row>
    <row r="4864">
      <c r="C4864" s="72"/>
      <c r="G4864" s="77"/>
      <c r="H4864" s="77"/>
    </row>
    <row r="4865">
      <c r="C4865" s="72"/>
      <c r="G4865" s="77"/>
      <c r="H4865" s="77"/>
    </row>
    <row r="4866">
      <c r="C4866" s="72"/>
      <c r="G4866" s="77"/>
      <c r="H4866" s="77"/>
    </row>
    <row r="4867">
      <c r="C4867" s="72"/>
      <c r="G4867" s="77"/>
      <c r="H4867" s="77"/>
    </row>
    <row r="4868">
      <c r="C4868" s="72"/>
      <c r="G4868" s="77"/>
      <c r="H4868" s="77"/>
    </row>
    <row r="4869">
      <c r="C4869" s="72"/>
      <c r="G4869" s="77"/>
      <c r="H4869" s="77"/>
    </row>
    <row r="4870">
      <c r="C4870" s="72"/>
      <c r="G4870" s="77"/>
      <c r="H4870" s="77"/>
    </row>
    <row r="4871">
      <c r="C4871" s="72"/>
      <c r="G4871" s="77"/>
      <c r="H4871" s="77"/>
    </row>
    <row r="4872">
      <c r="C4872" s="72"/>
      <c r="G4872" s="77"/>
      <c r="H4872" s="77"/>
    </row>
    <row r="4873">
      <c r="C4873" s="72"/>
      <c r="G4873" s="77"/>
      <c r="H4873" s="77"/>
    </row>
    <row r="4874">
      <c r="C4874" s="72"/>
      <c r="G4874" s="77"/>
      <c r="H4874" s="77"/>
    </row>
    <row r="4875">
      <c r="C4875" s="72"/>
      <c r="G4875" s="77"/>
      <c r="H4875" s="77"/>
    </row>
    <row r="4876">
      <c r="C4876" s="72"/>
      <c r="G4876" s="77"/>
      <c r="H4876" s="77"/>
    </row>
    <row r="4877">
      <c r="C4877" s="72"/>
      <c r="G4877" s="77"/>
      <c r="H4877" s="77"/>
    </row>
    <row r="4878">
      <c r="C4878" s="72"/>
      <c r="G4878" s="77"/>
      <c r="H4878" s="77"/>
    </row>
    <row r="4879">
      <c r="C4879" s="72"/>
      <c r="G4879" s="77"/>
      <c r="H4879" s="77"/>
    </row>
    <row r="4880">
      <c r="C4880" s="72"/>
      <c r="G4880" s="77"/>
      <c r="H4880" s="77"/>
    </row>
    <row r="4881">
      <c r="C4881" s="72"/>
      <c r="G4881" s="77"/>
      <c r="H4881" s="77"/>
    </row>
    <row r="4882">
      <c r="C4882" s="72"/>
      <c r="G4882" s="77"/>
      <c r="H4882" s="77"/>
    </row>
    <row r="4883">
      <c r="C4883" s="72"/>
      <c r="G4883" s="77"/>
      <c r="H4883" s="77"/>
    </row>
    <row r="4884">
      <c r="C4884" s="72"/>
      <c r="G4884" s="77"/>
      <c r="H4884" s="77"/>
    </row>
    <row r="4885">
      <c r="C4885" s="72"/>
      <c r="G4885" s="77"/>
      <c r="H4885" s="77"/>
    </row>
    <row r="4886">
      <c r="C4886" s="72"/>
      <c r="G4886" s="77"/>
      <c r="H4886" s="77"/>
    </row>
    <row r="4887">
      <c r="C4887" s="72"/>
      <c r="G4887" s="77"/>
      <c r="H4887" s="77"/>
    </row>
    <row r="4888">
      <c r="C4888" s="72"/>
      <c r="G4888" s="77"/>
      <c r="H4888" s="77"/>
    </row>
    <row r="4889">
      <c r="C4889" s="72"/>
      <c r="G4889" s="77"/>
      <c r="H4889" s="77"/>
    </row>
    <row r="4890">
      <c r="C4890" s="72"/>
      <c r="G4890" s="77"/>
      <c r="H4890" s="77"/>
    </row>
    <row r="4891">
      <c r="C4891" s="72"/>
      <c r="G4891" s="77"/>
      <c r="H4891" s="77"/>
    </row>
    <row r="4892">
      <c r="C4892" s="72"/>
      <c r="G4892" s="77"/>
      <c r="H4892" s="77"/>
    </row>
    <row r="4893">
      <c r="C4893" s="72"/>
      <c r="G4893" s="77"/>
      <c r="H4893" s="77"/>
    </row>
    <row r="4894">
      <c r="C4894" s="72"/>
      <c r="G4894" s="77"/>
      <c r="H4894" s="77"/>
    </row>
    <row r="4895">
      <c r="C4895" s="72"/>
      <c r="G4895" s="77"/>
      <c r="H4895" s="77"/>
    </row>
    <row r="4896">
      <c r="C4896" s="72"/>
      <c r="G4896" s="77"/>
      <c r="H4896" s="77"/>
    </row>
    <row r="4897">
      <c r="C4897" s="72"/>
      <c r="G4897" s="77"/>
      <c r="H4897" s="77"/>
    </row>
    <row r="4898">
      <c r="C4898" s="72"/>
      <c r="G4898" s="77"/>
      <c r="H4898" s="77"/>
    </row>
    <row r="4899">
      <c r="C4899" s="72"/>
      <c r="G4899" s="77"/>
      <c r="H4899" s="77"/>
    </row>
    <row r="4900">
      <c r="C4900" s="72"/>
      <c r="G4900" s="77"/>
      <c r="H4900" s="77"/>
    </row>
    <row r="4901">
      <c r="C4901" s="72"/>
      <c r="G4901" s="77"/>
      <c r="H4901" s="77"/>
    </row>
    <row r="4902">
      <c r="C4902" s="72"/>
      <c r="G4902" s="77"/>
      <c r="H4902" s="77"/>
    </row>
    <row r="4903">
      <c r="C4903" s="72"/>
      <c r="G4903" s="77"/>
      <c r="H4903" s="77"/>
    </row>
    <row r="4904">
      <c r="C4904" s="72"/>
      <c r="G4904" s="77"/>
      <c r="H4904" s="77"/>
    </row>
    <row r="4905">
      <c r="C4905" s="72"/>
      <c r="G4905" s="77"/>
      <c r="H4905" s="77"/>
    </row>
    <row r="4906">
      <c r="C4906" s="72"/>
      <c r="G4906" s="77"/>
      <c r="H4906" s="77"/>
    </row>
    <row r="4907">
      <c r="C4907" s="72"/>
      <c r="G4907" s="77"/>
      <c r="H4907" s="77"/>
    </row>
    <row r="4908">
      <c r="C4908" s="72"/>
      <c r="G4908" s="77"/>
      <c r="H4908" s="77"/>
    </row>
    <row r="4909">
      <c r="C4909" s="72"/>
      <c r="G4909" s="77"/>
      <c r="H4909" s="77"/>
    </row>
    <row r="4910">
      <c r="C4910" s="72"/>
      <c r="G4910" s="77"/>
      <c r="H4910" s="77"/>
    </row>
    <row r="4911">
      <c r="C4911" s="72"/>
      <c r="G4911" s="77"/>
      <c r="H4911" s="77"/>
    </row>
    <row r="4912">
      <c r="C4912" s="72"/>
      <c r="G4912" s="77"/>
      <c r="H4912" s="77"/>
    </row>
    <row r="4913">
      <c r="C4913" s="72"/>
      <c r="G4913" s="77"/>
      <c r="H4913" s="77"/>
    </row>
    <row r="4914">
      <c r="C4914" s="72"/>
      <c r="G4914" s="77"/>
      <c r="H4914" s="77"/>
    </row>
    <row r="4915">
      <c r="C4915" s="72"/>
      <c r="G4915" s="77"/>
      <c r="H4915" s="77"/>
    </row>
    <row r="4916">
      <c r="C4916" s="72"/>
      <c r="G4916" s="77"/>
      <c r="H4916" s="77"/>
    </row>
    <row r="4917">
      <c r="C4917" s="72"/>
      <c r="G4917" s="77"/>
      <c r="H4917" s="77"/>
    </row>
    <row r="4918">
      <c r="C4918" s="72"/>
      <c r="G4918" s="77"/>
      <c r="H4918" s="77"/>
    </row>
    <row r="4919">
      <c r="C4919" s="72"/>
      <c r="G4919" s="77"/>
      <c r="H4919" s="77"/>
    </row>
    <row r="4920">
      <c r="C4920" s="72"/>
      <c r="G4920" s="77"/>
      <c r="H4920" s="77"/>
    </row>
    <row r="4921">
      <c r="C4921" s="72"/>
      <c r="G4921" s="77"/>
      <c r="H4921" s="77"/>
    </row>
    <row r="4922">
      <c r="C4922" s="72"/>
      <c r="G4922" s="77"/>
      <c r="H4922" s="77"/>
    </row>
    <row r="4923">
      <c r="C4923" s="72"/>
      <c r="G4923" s="77"/>
      <c r="H4923" s="77"/>
    </row>
    <row r="4924">
      <c r="C4924" s="72"/>
      <c r="G4924" s="77"/>
      <c r="H4924" s="77"/>
    </row>
    <row r="4925">
      <c r="C4925" s="72"/>
      <c r="G4925" s="77"/>
      <c r="H4925" s="77"/>
    </row>
    <row r="4926">
      <c r="C4926" s="72"/>
      <c r="G4926" s="77"/>
      <c r="H4926" s="77"/>
    </row>
    <row r="4927">
      <c r="C4927" s="72"/>
      <c r="G4927" s="77"/>
      <c r="H4927" s="77"/>
    </row>
    <row r="4928">
      <c r="C4928" s="72"/>
      <c r="G4928" s="77"/>
      <c r="H4928" s="77"/>
    </row>
    <row r="4929">
      <c r="C4929" s="72"/>
      <c r="G4929" s="77"/>
      <c r="H4929" s="77"/>
    </row>
    <row r="4930">
      <c r="C4930" s="72"/>
      <c r="G4930" s="77"/>
      <c r="H4930" s="77"/>
    </row>
    <row r="4931">
      <c r="C4931" s="72"/>
      <c r="G4931" s="77"/>
      <c r="H4931" s="77"/>
    </row>
    <row r="4932">
      <c r="C4932" s="72"/>
      <c r="G4932" s="77"/>
      <c r="H4932" s="77"/>
    </row>
    <row r="4933">
      <c r="C4933" s="72"/>
      <c r="G4933" s="77"/>
      <c r="H4933" s="77"/>
    </row>
    <row r="4934">
      <c r="C4934" s="72"/>
      <c r="G4934" s="77"/>
      <c r="H4934" s="77"/>
    </row>
    <row r="4935">
      <c r="C4935" s="72"/>
      <c r="G4935" s="77"/>
      <c r="H4935" s="77"/>
    </row>
    <row r="4936">
      <c r="C4936" s="72"/>
      <c r="G4936" s="77"/>
      <c r="H4936" s="77"/>
    </row>
    <row r="4937">
      <c r="C4937" s="72"/>
      <c r="G4937" s="77"/>
      <c r="H4937" s="77"/>
    </row>
    <row r="4938">
      <c r="C4938" s="72"/>
      <c r="G4938" s="77"/>
      <c r="H4938" s="77"/>
    </row>
    <row r="4939">
      <c r="C4939" s="72"/>
      <c r="G4939" s="77"/>
      <c r="H4939" s="77"/>
    </row>
    <row r="4940">
      <c r="C4940" s="72"/>
      <c r="G4940" s="77"/>
      <c r="H4940" s="77"/>
    </row>
    <row r="4941">
      <c r="C4941" s="72"/>
      <c r="G4941" s="77"/>
      <c r="H4941" s="77"/>
    </row>
    <row r="4942">
      <c r="C4942" s="72"/>
      <c r="G4942" s="77"/>
      <c r="H4942" s="77"/>
    </row>
    <row r="4943">
      <c r="C4943" s="72"/>
      <c r="G4943" s="77"/>
      <c r="H4943" s="77"/>
    </row>
    <row r="4944">
      <c r="C4944" s="72"/>
      <c r="G4944" s="77"/>
      <c r="H4944" s="77"/>
    </row>
    <row r="4945">
      <c r="C4945" s="72"/>
      <c r="G4945" s="77"/>
      <c r="H4945" s="77"/>
    </row>
    <row r="4946">
      <c r="C4946" s="72"/>
      <c r="G4946" s="77"/>
      <c r="H4946" s="77"/>
    </row>
    <row r="4947">
      <c r="C4947" s="72"/>
      <c r="G4947" s="77"/>
      <c r="H4947" s="77"/>
    </row>
    <row r="4948">
      <c r="C4948" s="72"/>
      <c r="G4948" s="77"/>
      <c r="H4948" s="77"/>
    </row>
    <row r="4949">
      <c r="C4949" s="72"/>
      <c r="G4949" s="77"/>
      <c r="H4949" s="77"/>
    </row>
    <row r="4950">
      <c r="C4950" s="72"/>
      <c r="G4950" s="77"/>
      <c r="H4950" s="77"/>
    </row>
    <row r="4951">
      <c r="C4951" s="72"/>
      <c r="G4951" s="77"/>
      <c r="H4951" s="77"/>
    </row>
    <row r="4952">
      <c r="C4952" s="72"/>
      <c r="G4952" s="77"/>
      <c r="H4952" s="77"/>
    </row>
    <row r="4953">
      <c r="C4953" s="72"/>
      <c r="G4953" s="77"/>
      <c r="H4953" s="77"/>
    </row>
    <row r="4954">
      <c r="C4954" s="72"/>
      <c r="G4954" s="77"/>
      <c r="H4954" s="77"/>
    </row>
    <row r="4955">
      <c r="C4955" s="72"/>
      <c r="G4955" s="77"/>
      <c r="H4955" s="77"/>
    </row>
    <row r="4956">
      <c r="C4956" s="72"/>
      <c r="G4956" s="77"/>
      <c r="H4956" s="77"/>
    </row>
    <row r="4957">
      <c r="C4957" s="72"/>
      <c r="G4957" s="77"/>
      <c r="H4957" s="77"/>
    </row>
    <row r="4958">
      <c r="C4958" s="72"/>
      <c r="G4958" s="77"/>
      <c r="H4958" s="77"/>
    </row>
    <row r="4959">
      <c r="C4959" s="72"/>
      <c r="G4959" s="77"/>
      <c r="H4959" s="77"/>
    </row>
    <row r="4960">
      <c r="C4960" s="72"/>
      <c r="G4960" s="77"/>
      <c r="H4960" s="77"/>
    </row>
    <row r="4961">
      <c r="C4961" s="72"/>
      <c r="G4961" s="77"/>
      <c r="H4961" s="77"/>
    </row>
    <row r="4962">
      <c r="C4962" s="72"/>
      <c r="G4962" s="77"/>
      <c r="H4962" s="77"/>
    </row>
    <row r="4963">
      <c r="C4963" s="72"/>
      <c r="G4963" s="77"/>
      <c r="H4963" s="77"/>
    </row>
    <row r="4964">
      <c r="C4964" s="72"/>
      <c r="G4964" s="77"/>
      <c r="H4964" s="77"/>
    </row>
    <row r="4965">
      <c r="C4965" s="72"/>
      <c r="G4965" s="77"/>
      <c r="H4965" s="77"/>
    </row>
    <row r="4966">
      <c r="C4966" s="72"/>
      <c r="G4966" s="77"/>
      <c r="H4966" s="77"/>
    </row>
    <row r="4967">
      <c r="C4967" s="72"/>
      <c r="G4967" s="77"/>
      <c r="H4967" s="77"/>
    </row>
    <row r="4968">
      <c r="C4968" s="72"/>
      <c r="G4968" s="77"/>
      <c r="H4968" s="77"/>
    </row>
    <row r="4969">
      <c r="C4969" s="72"/>
      <c r="G4969" s="77"/>
      <c r="H4969" s="77"/>
    </row>
    <row r="4970">
      <c r="C4970" s="72"/>
      <c r="G4970" s="77"/>
      <c r="H4970" s="77"/>
    </row>
    <row r="4971">
      <c r="C4971" s="72"/>
      <c r="G4971" s="77"/>
      <c r="H4971" s="77"/>
    </row>
    <row r="4972">
      <c r="C4972" s="72"/>
      <c r="G4972" s="77"/>
      <c r="H4972" s="77"/>
    </row>
    <row r="4973">
      <c r="C4973" s="72"/>
      <c r="G4973" s="77"/>
      <c r="H4973" s="77"/>
    </row>
    <row r="4974">
      <c r="C4974" s="72"/>
      <c r="G4974" s="77"/>
      <c r="H4974" s="77"/>
    </row>
    <row r="4975">
      <c r="C4975" s="72"/>
      <c r="G4975" s="77"/>
      <c r="H4975" s="77"/>
    </row>
    <row r="4976">
      <c r="C4976" s="72"/>
      <c r="G4976" s="77"/>
      <c r="H4976" s="77"/>
    </row>
    <row r="4977">
      <c r="C4977" s="72"/>
      <c r="G4977" s="77"/>
      <c r="H4977" s="77"/>
    </row>
    <row r="4978">
      <c r="C4978" s="72"/>
      <c r="G4978" s="77"/>
      <c r="H4978" s="77"/>
    </row>
    <row r="4979">
      <c r="C4979" s="72"/>
      <c r="G4979" s="77"/>
      <c r="H4979" s="77"/>
    </row>
    <row r="4980">
      <c r="C4980" s="72"/>
      <c r="G4980" s="77"/>
      <c r="H4980" s="77"/>
    </row>
    <row r="4981">
      <c r="C4981" s="72"/>
      <c r="G4981" s="77"/>
      <c r="H4981" s="77"/>
    </row>
    <row r="4982">
      <c r="C4982" s="72"/>
      <c r="G4982" s="77"/>
      <c r="H4982" s="77"/>
    </row>
    <row r="4983">
      <c r="C4983" s="72"/>
      <c r="G4983" s="77"/>
      <c r="H4983" s="77"/>
    </row>
    <row r="4984">
      <c r="C4984" s="72"/>
      <c r="G4984" s="77"/>
      <c r="H4984" s="77"/>
    </row>
    <row r="4985">
      <c r="C4985" s="72"/>
      <c r="G4985" s="77"/>
      <c r="H4985" s="77"/>
    </row>
    <row r="4986">
      <c r="C4986" s="72"/>
      <c r="G4986" s="77"/>
      <c r="H4986" s="77"/>
    </row>
    <row r="4987">
      <c r="C4987" s="72"/>
      <c r="G4987" s="77"/>
      <c r="H4987" s="77"/>
    </row>
    <row r="4988">
      <c r="C4988" s="72"/>
      <c r="G4988" s="77"/>
      <c r="H4988" s="77"/>
    </row>
    <row r="4989">
      <c r="C4989" s="72"/>
      <c r="G4989" s="77"/>
      <c r="H4989" s="77"/>
    </row>
    <row r="4990">
      <c r="C4990" s="72"/>
      <c r="G4990" s="77"/>
      <c r="H4990" s="77"/>
    </row>
    <row r="4991">
      <c r="C4991" s="72"/>
      <c r="G4991" s="77"/>
      <c r="H4991" s="77"/>
    </row>
    <row r="4992">
      <c r="C4992" s="72"/>
      <c r="G4992" s="77"/>
      <c r="H4992" s="77"/>
    </row>
    <row r="4993">
      <c r="C4993" s="72"/>
      <c r="G4993" s="77"/>
      <c r="H4993" s="77"/>
    </row>
    <row r="4994">
      <c r="C4994" s="72"/>
      <c r="G4994" s="77"/>
      <c r="H4994" s="77"/>
    </row>
    <row r="4995">
      <c r="C4995" s="72"/>
      <c r="G4995" s="77"/>
      <c r="H4995" s="77"/>
    </row>
    <row r="4996">
      <c r="C4996" s="72"/>
      <c r="G4996" s="77"/>
      <c r="H4996" s="77"/>
    </row>
    <row r="4997">
      <c r="C4997" s="72"/>
      <c r="G4997" s="77"/>
      <c r="H4997" s="77"/>
    </row>
    <row r="4998">
      <c r="C4998" s="72"/>
      <c r="G4998" s="77"/>
      <c r="H4998" s="77"/>
    </row>
    <row r="4999">
      <c r="C4999" s="72"/>
      <c r="G4999" s="77"/>
      <c r="H4999" s="77"/>
    </row>
    <row r="5000">
      <c r="C5000" s="72"/>
      <c r="G5000" s="77"/>
      <c r="H5000" s="77"/>
    </row>
    <row r="5001">
      <c r="C5001" s="72"/>
      <c r="G5001" s="77"/>
      <c r="H5001" s="77"/>
    </row>
    <row r="5002">
      <c r="C5002" s="72"/>
      <c r="G5002" s="77"/>
      <c r="H5002" s="77"/>
    </row>
    <row r="5003">
      <c r="C5003" s="72"/>
      <c r="G5003" s="77"/>
      <c r="H5003" s="77"/>
    </row>
    <row r="5004">
      <c r="C5004" s="72"/>
      <c r="G5004" s="77"/>
      <c r="H5004" s="77"/>
    </row>
    <row r="5005">
      <c r="C5005" s="72"/>
      <c r="G5005" s="77"/>
      <c r="H5005" s="77"/>
    </row>
    <row r="5006">
      <c r="C5006" s="72"/>
      <c r="G5006" s="77"/>
      <c r="H5006" s="77"/>
    </row>
    <row r="5007">
      <c r="C5007" s="72"/>
      <c r="G5007" s="77"/>
      <c r="H5007" s="77"/>
    </row>
    <row r="5008">
      <c r="C5008" s="72"/>
      <c r="G5008" s="77"/>
      <c r="H5008" s="77"/>
    </row>
    <row r="5009">
      <c r="C5009" s="72"/>
      <c r="G5009" s="77"/>
      <c r="H5009" s="77"/>
    </row>
    <row r="5010">
      <c r="C5010" s="72"/>
      <c r="G5010" s="77"/>
      <c r="H5010" s="77"/>
    </row>
    <row r="5011">
      <c r="C5011" s="72"/>
      <c r="G5011" s="77"/>
      <c r="H5011" s="77"/>
    </row>
    <row r="5012">
      <c r="C5012" s="72"/>
      <c r="G5012" s="77"/>
      <c r="H5012" s="77"/>
    </row>
    <row r="5013">
      <c r="C5013" s="72"/>
      <c r="G5013" s="77"/>
      <c r="H5013" s="77"/>
    </row>
    <row r="5014">
      <c r="C5014" s="72"/>
      <c r="G5014" s="77"/>
      <c r="H5014" s="77"/>
    </row>
    <row r="5015">
      <c r="C5015" s="72"/>
      <c r="G5015" s="77"/>
      <c r="H5015" s="77"/>
    </row>
    <row r="5016">
      <c r="C5016" s="72"/>
      <c r="G5016" s="77"/>
      <c r="H5016" s="77"/>
    </row>
    <row r="5017">
      <c r="C5017" s="72"/>
      <c r="G5017" s="77"/>
      <c r="H5017" s="77"/>
    </row>
    <row r="5018">
      <c r="C5018" s="72"/>
      <c r="G5018" s="77"/>
      <c r="H5018" s="77"/>
    </row>
    <row r="5019">
      <c r="C5019" s="72"/>
      <c r="G5019" s="77"/>
      <c r="H5019" s="77"/>
    </row>
    <row r="5020">
      <c r="C5020" s="72"/>
      <c r="G5020" s="77"/>
      <c r="H5020" s="77"/>
    </row>
    <row r="5021">
      <c r="C5021" s="72"/>
      <c r="G5021" s="77"/>
      <c r="H5021" s="77"/>
    </row>
    <row r="5022">
      <c r="C5022" s="72"/>
      <c r="G5022" s="77"/>
      <c r="H5022" s="77"/>
    </row>
    <row r="5023">
      <c r="C5023" s="72"/>
      <c r="G5023" s="77"/>
      <c r="H5023" s="77"/>
    </row>
    <row r="5024">
      <c r="C5024" s="72"/>
      <c r="G5024" s="77"/>
      <c r="H5024" s="77"/>
    </row>
    <row r="5025">
      <c r="C5025" s="72"/>
      <c r="G5025" s="77"/>
      <c r="H5025" s="77"/>
    </row>
    <row r="5026">
      <c r="C5026" s="72"/>
      <c r="G5026" s="77"/>
      <c r="H5026" s="77"/>
    </row>
    <row r="5027">
      <c r="C5027" s="72"/>
      <c r="G5027" s="77"/>
      <c r="H5027" s="77"/>
    </row>
    <row r="5028">
      <c r="C5028" s="72"/>
      <c r="G5028" s="77"/>
      <c r="H5028" s="77"/>
    </row>
    <row r="5029">
      <c r="C5029" s="72"/>
      <c r="G5029" s="77"/>
      <c r="H5029" s="77"/>
    </row>
    <row r="5030">
      <c r="C5030" s="72"/>
      <c r="G5030" s="77"/>
      <c r="H5030" s="77"/>
    </row>
    <row r="5031">
      <c r="C5031" s="72"/>
      <c r="G5031" s="77"/>
      <c r="H5031" s="77"/>
    </row>
    <row r="5032">
      <c r="C5032" s="72"/>
      <c r="G5032" s="77"/>
      <c r="H5032" s="77"/>
    </row>
    <row r="5033">
      <c r="C5033" s="72"/>
      <c r="G5033" s="77"/>
      <c r="H5033" s="77"/>
    </row>
    <row r="5034">
      <c r="C5034" s="72"/>
      <c r="G5034" s="77"/>
      <c r="H5034" s="77"/>
    </row>
    <row r="5035">
      <c r="C5035" s="72"/>
      <c r="G5035" s="77"/>
      <c r="H5035" s="77"/>
    </row>
    <row r="5036">
      <c r="C5036" s="72"/>
      <c r="G5036" s="77"/>
      <c r="H5036" s="77"/>
    </row>
    <row r="5037">
      <c r="C5037" s="72"/>
      <c r="G5037" s="77"/>
      <c r="H5037" s="77"/>
    </row>
    <row r="5038">
      <c r="C5038" s="72"/>
      <c r="G5038" s="77"/>
      <c r="H5038" s="77"/>
    </row>
    <row r="5039">
      <c r="C5039" s="72"/>
      <c r="G5039" s="77"/>
      <c r="H5039" s="77"/>
    </row>
    <row r="5040">
      <c r="C5040" s="72"/>
      <c r="G5040" s="77"/>
      <c r="H5040" s="77"/>
    </row>
    <row r="5041">
      <c r="C5041" s="72"/>
      <c r="G5041" s="77"/>
      <c r="H5041" s="77"/>
    </row>
    <row r="5042">
      <c r="C5042" s="72"/>
      <c r="G5042" s="77"/>
      <c r="H5042" s="77"/>
    </row>
    <row r="5043">
      <c r="C5043" s="72"/>
      <c r="G5043" s="77"/>
      <c r="H5043" s="77"/>
    </row>
    <row r="5044">
      <c r="C5044" s="72"/>
      <c r="G5044" s="77"/>
      <c r="H5044" s="77"/>
    </row>
    <row r="5045">
      <c r="C5045" s="72"/>
      <c r="G5045" s="77"/>
      <c r="H5045" s="77"/>
    </row>
    <row r="5046">
      <c r="C5046" s="72"/>
      <c r="G5046" s="77"/>
      <c r="H5046" s="77"/>
    </row>
    <row r="5047">
      <c r="C5047" s="72"/>
      <c r="G5047" s="77"/>
      <c r="H5047" s="77"/>
    </row>
    <row r="5048">
      <c r="C5048" s="72"/>
      <c r="G5048" s="77"/>
      <c r="H5048" s="77"/>
    </row>
    <row r="5049">
      <c r="C5049" s="72"/>
      <c r="G5049" s="77"/>
      <c r="H5049" s="77"/>
    </row>
    <row r="5050">
      <c r="C5050" s="72"/>
      <c r="G5050" s="77"/>
      <c r="H5050" s="77"/>
    </row>
    <row r="5051">
      <c r="C5051" s="72"/>
      <c r="G5051" s="77"/>
      <c r="H5051" s="77"/>
    </row>
    <row r="5052">
      <c r="C5052" s="72"/>
      <c r="G5052" s="77"/>
      <c r="H5052" s="77"/>
    </row>
    <row r="5053">
      <c r="C5053" s="72"/>
      <c r="G5053" s="77"/>
      <c r="H5053" s="77"/>
    </row>
    <row r="5054">
      <c r="C5054" s="72"/>
      <c r="G5054" s="77"/>
      <c r="H5054" s="77"/>
    </row>
    <row r="5055">
      <c r="C5055" s="72"/>
      <c r="G5055" s="77"/>
      <c r="H5055" s="77"/>
    </row>
    <row r="5056">
      <c r="C5056" s="72"/>
      <c r="G5056" s="77"/>
      <c r="H5056" s="77"/>
    </row>
    <row r="5057">
      <c r="C5057" s="72"/>
      <c r="G5057" s="77"/>
      <c r="H5057" s="77"/>
    </row>
    <row r="5058">
      <c r="C5058" s="72"/>
      <c r="G5058" s="77"/>
      <c r="H5058" s="77"/>
    </row>
    <row r="5059">
      <c r="C5059" s="72"/>
      <c r="G5059" s="77"/>
      <c r="H5059" s="77"/>
    </row>
    <row r="5060">
      <c r="C5060" s="72"/>
      <c r="G5060" s="77"/>
      <c r="H5060" s="77"/>
    </row>
    <row r="5061">
      <c r="C5061" s="72"/>
      <c r="G5061" s="77"/>
      <c r="H5061" s="77"/>
    </row>
    <row r="5062">
      <c r="C5062" s="72"/>
      <c r="G5062" s="77"/>
      <c r="H5062" s="77"/>
    </row>
    <row r="5063">
      <c r="C5063" s="72"/>
      <c r="G5063" s="77"/>
      <c r="H5063" s="77"/>
    </row>
    <row r="5064">
      <c r="C5064" s="72"/>
      <c r="G5064" s="77"/>
      <c r="H5064" s="77"/>
    </row>
    <row r="5065">
      <c r="C5065" s="72"/>
      <c r="G5065" s="77"/>
      <c r="H5065" s="77"/>
    </row>
    <row r="5066">
      <c r="C5066" s="72"/>
      <c r="G5066" s="77"/>
      <c r="H5066" s="77"/>
    </row>
    <row r="5067">
      <c r="C5067" s="72"/>
      <c r="G5067" s="77"/>
      <c r="H5067" s="77"/>
    </row>
    <row r="5068">
      <c r="C5068" s="72"/>
      <c r="G5068" s="77"/>
      <c r="H5068" s="77"/>
    </row>
    <row r="5069">
      <c r="C5069" s="72"/>
      <c r="G5069" s="77"/>
      <c r="H5069" s="77"/>
    </row>
    <row r="5070">
      <c r="C5070" s="72"/>
      <c r="G5070" s="77"/>
      <c r="H5070" s="77"/>
    </row>
    <row r="5071">
      <c r="C5071" s="72"/>
      <c r="G5071" s="77"/>
      <c r="H5071" s="77"/>
    </row>
    <row r="5072">
      <c r="C5072" s="72"/>
      <c r="G5072" s="77"/>
      <c r="H5072" s="77"/>
    </row>
    <row r="5073">
      <c r="C5073" s="72"/>
      <c r="G5073" s="77"/>
      <c r="H5073" s="77"/>
    </row>
    <row r="5074">
      <c r="C5074" s="72"/>
      <c r="G5074" s="77"/>
      <c r="H5074" s="77"/>
    </row>
    <row r="5075">
      <c r="C5075" s="72"/>
      <c r="G5075" s="77"/>
      <c r="H5075" s="77"/>
    </row>
    <row r="5076">
      <c r="C5076" s="72"/>
      <c r="G5076" s="77"/>
      <c r="H5076" s="77"/>
    </row>
    <row r="5077">
      <c r="C5077" s="72"/>
      <c r="G5077" s="77"/>
      <c r="H5077" s="77"/>
    </row>
    <row r="5078">
      <c r="C5078" s="72"/>
      <c r="G5078" s="77"/>
      <c r="H5078" s="77"/>
    </row>
    <row r="5079">
      <c r="C5079" s="72"/>
      <c r="G5079" s="77"/>
      <c r="H5079" s="77"/>
    </row>
    <row r="5080">
      <c r="C5080" s="72"/>
      <c r="G5080" s="77"/>
      <c r="H5080" s="77"/>
    </row>
    <row r="5081">
      <c r="C5081" s="72"/>
      <c r="G5081" s="77"/>
      <c r="H5081" s="77"/>
    </row>
    <row r="5082">
      <c r="C5082" s="72"/>
      <c r="G5082" s="77"/>
      <c r="H5082" s="77"/>
    </row>
    <row r="5083">
      <c r="C5083" s="72"/>
      <c r="G5083" s="77"/>
      <c r="H5083" s="77"/>
    </row>
    <row r="5084">
      <c r="C5084" s="72"/>
      <c r="G5084" s="77"/>
      <c r="H5084" s="77"/>
    </row>
    <row r="5085">
      <c r="C5085" s="72"/>
      <c r="G5085" s="77"/>
      <c r="H5085" s="77"/>
    </row>
    <row r="5086">
      <c r="C5086" s="72"/>
      <c r="G5086" s="77"/>
      <c r="H5086" s="77"/>
    </row>
    <row r="5087">
      <c r="C5087" s="72"/>
      <c r="G5087" s="77"/>
      <c r="H5087" s="77"/>
    </row>
    <row r="5088">
      <c r="C5088" s="72"/>
      <c r="G5088" s="77"/>
      <c r="H5088" s="77"/>
    </row>
    <row r="5089">
      <c r="C5089" s="72"/>
      <c r="G5089" s="77"/>
      <c r="H5089" s="77"/>
    </row>
    <row r="5090">
      <c r="C5090" s="72"/>
      <c r="G5090" s="77"/>
      <c r="H5090" s="77"/>
    </row>
    <row r="5091">
      <c r="C5091" s="72"/>
      <c r="G5091" s="77"/>
      <c r="H5091" s="77"/>
    </row>
    <row r="5092">
      <c r="C5092" s="72"/>
      <c r="G5092" s="77"/>
      <c r="H5092" s="77"/>
    </row>
    <row r="5093">
      <c r="C5093" s="72"/>
      <c r="G5093" s="77"/>
      <c r="H5093" s="77"/>
    </row>
    <row r="5094">
      <c r="C5094" s="72"/>
      <c r="G5094" s="77"/>
      <c r="H5094" s="77"/>
    </row>
    <row r="5095">
      <c r="C5095" s="72"/>
      <c r="G5095" s="77"/>
      <c r="H5095" s="77"/>
    </row>
    <row r="5096">
      <c r="C5096" s="72"/>
      <c r="G5096" s="77"/>
      <c r="H5096" s="77"/>
    </row>
    <row r="5097">
      <c r="C5097" s="72"/>
      <c r="G5097" s="77"/>
      <c r="H5097" s="77"/>
    </row>
    <row r="5098">
      <c r="C5098" s="72"/>
      <c r="G5098" s="77"/>
      <c r="H5098" s="77"/>
    </row>
    <row r="5099">
      <c r="C5099" s="72"/>
      <c r="G5099" s="77"/>
      <c r="H5099" s="77"/>
    </row>
    <row r="5100">
      <c r="C5100" s="72"/>
      <c r="G5100" s="77"/>
      <c r="H5100" s="77"/>
    </row>
    <row r="5101">
      <c r="C5101" s="72"/>
      <c r="G5101" s="77"/>
      <c r="H5101" s="77"/>
    </row>
    <row r="5102">
      <c r="C5102" s="72"/>
      <c r="G5102" s="77"/>
      <c r="H5102" s="77"/>
    </row>
    <row r="5103">
      <c r="C5103" s="72"/>
      <c r="G5103" s="77"/>
      <c r="H5103" s="77"/>
    </row>
    <row r="5104">
      <c r="C5104" s="72"/>
      <c r="G5104" s="77"/>
      <c r="H5104" s="77"/>
    </row>
    <row r="5105">
      <c r="C5105" s="72"/>
      <c r="G5105" s="77"/>
      <c r="H5105" s="77"/>
    </row>
    <row r="5106">
      <c r="C5106" s="72"/>
      <c r="G5106" s="77"/>
      <c r="H5106" s="77"/>
    </row>
    <row r="5107">
      <c r="C5107" s="72"/>
      <c r="G5107" s="77"/>
      <c r="H5107" s="77"/>
    </row>
    <row r="5108">
      <c r="C5108" s="72"/>
      <c r="G5108" s="77"/>
      <c r="H5108" s="77"/>
    </row>
    <row r="5109">
      <c r="C5109" s="72"/>
      <c r="G5109" s="77"/>
      <c r="H5109" s="77"/>
    </row>
    <row r="5110">
      <c r="C5110" s="72"/>
      <c r="G5110" s="77"/>
      <c r="H5110" s="77"/>
    </row>
    <row r="5111">
      <c r="C5111" s="72"/>
      <c r="G5111" s="77"/>
      <c r="H5111" s="77"/>
    </row>
    <row r="5112">
      <c r="C5112" s="72"/>
      <c r="G5112" s="77"/>
      <c r="H5112" s="77"/>
    </row>
    <row r="5113">
      <c r="C5113" s="72"/>
      <c r="G5113" s="77"/>
      <c r="H5113" s="77"/>
    </row>
    <row r="5114">
      <c r="C5114" s="72"/>
      <c r="G5114" s="77"/>
      <c r="H5114" s="77"/>
    </row>
    <row r="5115">
      <c r="C5115" s="72"/>
      <c r="G5115" s="77"/>
      <c r="H5115" s="77"/>
    </row>
    <row r="5116">
      <c r="C5116" s="72"/>
      <c r="G5116" s="77"/>
      <c r="H5116" s="77"/>
    </row>
    <row r="5117">
      <c r="C5117" s="72"/>
      <c r="G5117" s="77"/>
      <c r="H5117" s="77"/>
    </row>
    <row r="5118">
      <c r="C5118" s="72"/>
      <c r="G5118" s="77"/>
      <c r="H5118" s="77"/>
    </row>
    <row r="5119">
      <c r="C5119" s="72"/>
      <c r="G5119" s="77"/>
      <c r="H5119" s="77"/>
    </row>
    <row r="5120">
      <c r="C5120" s="72"/>
      <c r="G5120" s="77"/>
      <c r="H5120" s="77"/>
    </row>
    <row r="5121">
      <c r="C5121" s="72"/>
      <c r="G5121" s="77"/>
      <c r="H5121" s="77"/>
    </row>
    <row r="5122">
      <c r="C5122" s="72"/>
      <c r="G5122" s="77"/>
      <c r="H5122" s="77"/>
    </row>
    <row r="5123">
      <c r="C5123" s="72"/>
      <c r="G5123" s="77"/>
      <c r="H5123" s="77"/>
    </row>
    <row r="5124">
      <c r="C5124" s="72"/>
      <c r="G5124" s="77"/>
      <c r="H5124" s="77"/>
    </row>
    <row r="5125">
      <c r="C5125" s="72"/>
      <c r="G5125" s="77"/>
      <c r="H5125" s="77"/>
    </row>
    <row r="5126">
      <c r="C5126" s="72"/>
      <c r="G5126" s="77"/>
      <c r="H5126" s="77"/>
    </row>
    <row r="5127">
      <c r="C5127" s="72"/>
      <c r="G5127" s="77"/>
      <c r="H5127" s="77"/>
    </row>
    <row r="5128">
      <c r="C5128" s="72"/>
      <c r="G5128" s="77"/>
      <c r="H5128" s="77"/>
    </row>
    <row r="5129">
      <c r="C5129" s="72"/>
      <c r="G5129" s="77"/>
      <c r="H5129" s="77"/>
    </row>
    <row r="5130">
      <c r="C5130" s="72"/>
      <c r="G5130" s="77"/>
      <c r="H5130" s="77"/>
    </row>
    <row r="5131">
      <c r="C5131" s="72"/>
      <c r="G5131" s="77"/>
      <c r="H5131" s="77"/>
    </row>
    <row r="5132">
      <c r="C5132" s="72"/>
      <c r="G5132" s="77"/>
      <c r="H5132" s="77"/>
    </row>
    <row r="5133">
      <c r="C5133" s="72"/>
      <c r="G5133" s="77"/>
      <c r="H5133" s="77"/>
    </row>
    <row r="5134">
      <c r="C5134" s="72"/>
      <c r="G5134" s="77"/>
      <c r="H5134" s="77"/>
    </row>
    <row r="5135">
      <c r="C5135" s="72"/>
      <c r="G5135" s="77"/>
      <c r="H5135" s="77"/>
    </row>
    <row r="5136">
      <c r="C5136" s="72"/>
      <c r="G5136" s="77"/>
      <c r="H5136" s="77"/>
    </row>
    <row r="5137">
      <c r="C5137" s="72"/>
      <c r="G5137" s="77"/>
      <c r="H5137" s="77"/>
    </row>
    <row r="5138">
      <c r="C5138" s="72"/>
      <c r="G5138" s="77"/>
      <c r="H5138" s="77"/>
    </row>
    <row r="5139">
      <c r="C5139" s="72"/>
      <c r="G5139" s="77"/>
      <c r="H5139" s="77"/>
    </row>
    <row r="5140">
      <c r="C5140" s="72"/>
      <c r="G5140" s="77"/>
      <c r="H5140" s="77"/>
    </row>
    <row r="5141">
      <c r="C5141" s="72"/>
      <c r="G5141" s="77"/>
      <c r="H5141" s="77"/>
    </row>
    <row r="5142">
      <c r="C5142" s="72"/>
      <c r="G5142" s="77"/>
      <c r="H5142" s="77"/>
    </row>
    <row r="5143">
      <c r="C5143" s="72"/>
      <c r="G5143" s="77"/>
      <c r="H5143" s="77"/>
    </row>
    <row r="5144">
      <c r="C5144" s="72"/>
      <c r="G5144" s="77"/>
      <c r="H5144" s="77"/>
    </row>
    <row r="5145">
      <c r="C5145" s="72"/>
      <c r="G5145" s="77"/>
      <c r="H5145" s="77"/>
    </row>
    <row r="5146">
      <c r="C5146" s="72"/>
      <c r="G5146" s="77"/>
      <c r="H5146" s="77"/>
    </row>
    <row r="5147">
      <c r="C5147" s="72"/>
      <c r="G5147" s="77"/>
      <c r="H5147" s="77"/>
    </row>
    <row r="5148">
      <c r="C5148" s="72"/>
      <c r="G5148" s="77"/>
      <c r="H5148" s="77"/>
    </row>
    <row r="5149">
      <c r="C5149" s="72"/>
      <c r="G5149" s="77"/>
      <c r="H5149" s="77"/>
    </row>
    <row r="5150">
      <c r="C5150" s="72"/>
      <c r="G5150" s="77"/>
      <c r="H5150" s="77"/>
    </row>
    <row r="5151">
      <c r="C5151" s="72"/>
      <c r="G5151" s="77"/>
      <c r="H5151" s="77"/>
    </row>
    <row r="5152">
      <c r="C5152" s="72"/>
      <c r="G5152" s="77"/>
      <c r="H5152" s="77"/>
    </row>
    <row r="5153">
      <c r="C5153" s="72"/>
      <c r="G5153" s="77"/>
      <c r="H5153" s="77"/>
    </row>
    <row r="5154">
      <c r="C5154" s="72"/>
      <c r="G5154" s="77"/>
      <c r="H5154" s="77"/>
    </row>
    <row r="5155">
      <c r="C5155" s="72"/>
      <c r="G5155" s="77"/>
      <c r="H5155" s="77"/>
    </row>
    <row r="5156">
      <c r="C5156" s="72"/>
      <c r="G5156" s="77"/>
      <c r="H5156" s="77"/>
    </row>
    <row r="5157">
      <c r="C5157" s="72"/>
      <c r="G5157" s="77"/>
      <c r="H5157" s="77"/>
    </row>
    <row r="5158">
      <c r="C5158" s="72"/>
      <c r="G5158" s="77"/>
      <c r="H5158" s="77"/>
    </row>
    <row r="5159">
      <c r="C5159" s="72"/>
      <c r="G5159" s="77"/>
      <c r="H5159" s="77"/>
    </row>
    <row r="5160">
      <c r="C5160" s="72"/>
      <c r="G5160" s="77"/>
      <c r="H5160" s="77"/>
    </row>
    <row r="5161">
      <c r="C5161" s="72"/>
      <c r="G5161" s="77"/>
      <c r="H5161" s="77"/>
    </row>
    <row r="5162">
      <c r="C5162" s="72"/>
      <c r="G5162" s="77"/>
      <c r="H5162" s="77"/>
    </row>
    <row r="5163">
      <c r="C5163" s="72"/>
      <c r="G5163" s="77"/>
      <c r="H5163" s="77"/>
    </row>
    <row r="5164">
      <c r="C5164" s="72"/>
      <c r="G5164" s="77"/>
      <c r="H5164" s="77"/>
    </row>
    <row r="5165">
      <c r="C5165" s="72"/>
      <c r="G5165" s="77"/>
      <c r="H5165" s="77"/>
    </row>
    <row r="5166">
      <c r="C5166" s="72"/>
      <c r="G5166" s="77"/>
      <c r="H5166" s="77"/>
    </row>
    <row r="5167">
      <c r="C5167" s="72"/>
      <c r="G5167" s="77"/>
      <c r="H5167" s="77"/>
    </row>
    <row r="5168">
      <c r="C5168" s="72"/>
      <c r="G5168" s="77"/>
      <c r="H5168" s="77"/>
    </row>
    <row r="5169">
      <c r="C5169" s="72"/>
      <c r="G5169" s="77"/>
      <c r="H5169" s="77"/>
    </row>
    <row r="5170">
      <c r="C5170" s="72"/>
      <c r="G5170" s="77"/>
      <c r="H5170" s="77"/>
    </row>
    <row r="5171">
      <c r="C5171" s="72"/>
      <c r="G5171" s="77"/>
      <c r="H5171" s="77"/>
    </row>
    <row r="5172">
      <c r="C5172" s="72"/>
      <c r="G5172" s="77"/>
      <c r="H5172" s="77"/>
    </row>
    <row r="5173">
      <c r="C5173" s="72"/>
      <c r="G5173" s="77"/>
      <c r="H5173" s="77"/>
    </row>
    <row r="5174">
      <c r="C5174" s="72"/>
      <c r="G5174" s="77"/>
      <c r="H5174" s="77"/>
    </row>
    <row r="5175">
      <c r="C5175" s="72"/>
      <c r="G5175" s="77"/>
      <c r="H5175" s="77"/>
    </row>
    <row r="5176">
      <c r="C5176" s="72"/>
      <c r="G5176" s="77"/>
      <c r="H5176" s="77"/>
    </row>
    <row r="5177">
      <c r="C5177" s="72"/>
      <c r="G5177" s="77"/>
      <c r="H5177" s="77"/>
    </row>
    <row r="5178">
      <c r="C5178" s="72"/>
      <c r="G5178" s="77"/>
      <c r="H5178" s="77"/>
    </row>
    <row r="5179">
      <c r="C5179" s="72"/>
      <c r="G5179" s="77"/>
      <c r="H5179" s="77"/>
    </row>
    <row r="5180">
      <c r="C5180" s="72"/>
      <c r="G5180" s="77"/>
      <c r="H5180" s="77"/>
    </row>
    <row r="5181">
      <c r="C5181" s="72"/>
      <c r="G5181" s="77"/>
      <c r="H5181" s="77"/>
    </row>
    <row r="5182">
      <c r="C5182" s="72"/>
      <c r="G5182" s="77"/>
      <c r="H5182" s="77"/>
    </row>
    <row r="5183">
      <c r="C5183" s="72"/>
      <c r="G5183" s="77"/>
      <c r="H5183" s="77"/>
    </row>
    <row r="5184">
      <c r="C5184" s="72"/>
      <c r="G5184" s="77"/>
      <c r="H5184" s="77"/>
    </row>
    <row r="5185">
      <c r="C5185" s="72"/>
      <c r="G5185" s="77"/>
      <c r="H5185" s="77"/>
    </row>
    <row r="5186">
      <c r="C5186" s="72"/>
      <c r="G5186" s="77"/>
      <c r="H5186" s="77"/>
    </row>
    <row r="5187">
      <c r="C5187" s="72"/>
      <c r="G5187" s="77"/>
      <c r="H5187" s="77"/>
    </row>
    <row r="5188">
      <c r="C5188" s="72"/>
      <c r="G5188" s="77"/>
      <c r="H5188" s="77"/>
    </row>
    <row r="5189">
      <c r="C5189" s="72"/>
      <c r="G5189" s="77"/>
      <c r="H5189" s="77"/>
    </row>
    <row r="5190">
      <c r="C5190" s="72"/>
      <c r="G5190" s="77"/>
      <c r="H5190" s="77"/>
    </row>
    <row r="5191">
      <c r="C5191" s="72"/>
      <c r="G5191" s="77"/>
      <c r="H5191" s="77"/>
    </row>
    <row r="5192">
      <c r="C5192" s="72"/>
      <c r="G5192" s="77"/>
      <c r="H5192" s="77"/>
    </row>
    <row r="5193">
      <c r="C5193" s="72"/>
      <c r="G5193" s="77"/>
      <c r="H5193" s="77"/>
    </row>
    <row r="5194">
      <c r="C5194" s="72"/>
      <c r="G5194" s="77"/>
      <c r="H5194" s="77"/>
    </row>
    <row r="5195">
      <c r="C5195" s="72"/>
      <c r="G5195" s="77"/>
      <c r="H5195" s="77"/>
    </row>
    <row r="5196">
      <c r="C5196" s="72"/>
      <c r="G5196" s="77"/>
      <c r="H5196" s="77"/>
    </row>
    <row r="5197">
      <c r="C5197" s="72"/>
      <c r="G5197" s="77"/>
      <c r="H5197" s="77"/>
    </row>
    <row r="5198">
      <c r="C5198" s="72"/>
      <c r="G5198" s="77"/>
      <c r="H5198" s="77"/>
    </row>
    <row r="5199">
      <c r="C5199" s="72"/>
      <c r="G5199" s="77"/>
      <c r="H5199" s="77"/>
    </row>
    <row r="5200">
      <c r="C5200" s="72"/>
      <c r="G5200" s="77"/>
      <c r="H5200" s="77"/>
    </row>
    <row r="5201">
      <c r="C5201" s="72"/>
      <c r="G5201" s="77"/>
      <c r="H5201" s="77"/>
    </row>
    <row r="5202">
      <c r="C5202" s="72"/>
      <c r="G5202" s="77"/>
      <c r="H5202" s="77"/>
    </row>
    <row r="5203">
      <c r="C5203" s="72"/>
      <c r="G5203" s="77"/>
      <c r="H5203" s="77"/>
    </row>
    <row r="5204">
      <c r="C5204" s="72"/>
      <c r="G5204" s="77"/>
      <c r="H5204" s="77"/>
    </row>
    <row r="5205">
      <c r="C5205" s="72"/>
      <c r="G5205" s="77"/>
      <c r="H5205" s="77"/>
    </row>
    <row r="5206">
      <c r="C5206" s="72"/>
      <c r="G5206" s="77"/>
      <c r="H5206" s="77"/>
    </row>
    <row r="5207">
      <c r="C5207" s="72"/>
      <c r="G5207" s="77"/>
      <c r="H5207" s="77"/>
    </row>
    <row r="5208">
      <c r="C5208" s="72"/>
      <c r="G5208" s="77"/>
      <c r="H5208" s="77"/>
    </row>
    <row r="5209">
      <c r="C5209" s="72"/>
      <c r="G5209" s="77"/>
      <c r="H5209" s="77"/>
    </row>
    <row r="5210">
      <c r="C5210" s="72"/>
      <c r="G5210" s="77"/>
      <c r="H5210" s="77"/>
    </row>
    <row r="5211">
      <c r="C5211" s="72"/>
      <c r="G5211" s="77"/>
      <c r="H5211" s="77"/>
    </row>
    <row r="5212">
      <c r="C5212" s="72"/>
      <c r="G5212" s="77"/>
      <c r="H5212" s="77"/>
    </row>
    <row r="5213">
      <c r="C5213" s="72"/>
      <c r="G5213" s="77"/>
      <c r="H5213" s="77"/>
    </row>
    <row r="5214">
      <c r="C5214" s="72"/>
      <c r="G5214" s="77"/>
      <c r="H5214" s="77"/>
    </row>
    <row r="5215">
      <c r="C5215" s="72"/>
      <c r="G5215" s="77"/>
      <c r="H5215" s="77"/>
    </row>
    <row r="5216">
      <c r="C5216" s="72"/>
      <c r="G5216" s="77"/>
      <c r="H5216" s="77"/>
    </row>
    <row r="5217">
      <c r="C5217" s="72"/>
      <c r="G5217" s="77"/>
      <c r="H5217" s="77"/>
    </row>
    <row r="5218">
      <c r="C5218" s="72"/>
      <c r="G5218" s="77"/>
      <c r="H5218" s="77"/>
    </row>
    <row r="5219">
      <c r="C5219" s="72"/>
      <c r="G5219" s="77"/>
      <c r="H5219" s="77"/>
    </row>
    <row r="5220">
      <c r="C5220" s="72"/>
      <c r="G5220" s="77"/>
      <c r="H5220" s="77"/>
    </row>
    <row r="5221">
      <c r="C5221" s="72"/>
      <c r="G5221" s="77"/>
      <c r="H5221" s="77"/>
    </row>
    <row r="5222">
      <c r="C5222" s="72"/>
      <c r="G5222" s="77"/>
      <c r="H5222" s="77"/>
    </row>
    <row r="5223">
      <c r="C5223" s="72"/>
      <c r="G5223" s="77"/>
      <c r="H5223" s="77"/>
    </row>
    <row r="5224">
      <c r="C5224" s="72"/>
      <c r="G5224" s="77"/>
      <c r="H5224" s="77"/>
    </row>
    <row r="5225">
      <c r="C5225" s="72"/>
      <c r="G5225" s="77"/>
      <c r="H5225" s="77"/>
    </row>
    <row r="5226">
      <c r="C5226" s="72"/>
      <c r="G5226" s="77"/>
      <c r="H5226" s="77"/>
    </row>
    <row r="5227">
      <c r="C5227" s="72"/>
      <c r="G5227" s="77"/>
      <c r="H5227" s="77"/>
    </row>
    <row r="5228">
      <c r="C5228" s="72"/>
      <c r="G5228" s="77"/>
      <c r="H5228" s="77"/>
    </row>
    <row r="5229">
      <c r="C5229" s="72"/>
      <c r="G5229" s="77"/>
      <c r="H5229" s="77"/>
    </row>
    <row r="5230">
      <c r="C5230" s="72"/>
      <c r="G5230" s="77"/>
      <c r="H5230" s="77"/>
    </row>
    <row r="5231">
      <c r="C5231" s="72"/>
      <c r="G5231" s="77"/>
      <c r="H5231" s="77"/>
    </row>
    <row r="5232">
      <c r="C5232" s="72"/>
      <c r="G5232" s="77"/>
      <c r="H5232" s="77"/>
    </row>
    <row r="5233">
      <c r="C5233" s="72"/>
      <c r="G5233" s="77"/>
      <c r="H5233" s="77"/>
    </row>
    <row r="5234">
      <c r="C5234" s="72"/>
      <c r="G5234" s="77"/>
      <c r="H5234" s="77"/>
    </row>
    <row r="5235">
      <c r="C5235" s="72"/>
      <c r="G5235" s="77"/>
      <c r="H5235" s="77"/>
    </row>
    <row r="5236">
      <c r="C5236" s="72"/>
      <c r="G5236" s="77"/>
      <c r="H5236" s="77"/>
    </row>
    <row r="5237">
      <c r="C5237" s="72"/>
      <c r="G5237" s="77"/>
      <c r="H5237" s="77"/>
    </row>
    <row r="5238">
      <c r="C5238" s="72"/>
      <c r="G5238" s="77"/>
      <c r="H5238" s="77"/>
    </row>
    <row r="5239">
      <c r="C5239" s="72"/>
      <c r="G5239" s="77"/>
      <c r="H5239" s="77"/>
    </row>
    <row r="5240">
      <c r="C5240" s="72"/>
      <c r="G5240" s="77"/>
      <c r="H5240" s="77"/>
    </row>
    <row r="5241">
      <c r="C5241" s="72"/>
      <c r="G5241" s="77"/>
      <c r="H5241" s="77"/>
    </row>
    <row r="5242">
      <c r="C5242" s="72"/>
      <c r="G5242" s="77"/>
      <c r="H5242" s="77"/>
    </row>
    <row r="5243">
      <c r="C5243" s="72"/>
      <c r="G5243" s="77"/>
      <c r="H5243" s="77"/>
    </row>
    <row r="5244">
      <c r="C5244" s="72"/>
      <c r="G5244" s="77"/>
      <c r="H5244" s="77"/>
    </row>
    <row r="5245">
      <c r="C5245" s="72"/>
      <c r="G5245" s="77"/>
      <c r="H5245" s="77"/>
    </row>
    <row r="5246">
      <c r="C5246" s="72"/>
      <c r="G5246" s="77"/>
      <c r="H5246" s="77"/>
    </row>
    <row r="5247">
      <c r="C5247" s="72"/>
      <c r="G5247" s="77"/>
      <c r="H5247" s="77"/>
    </row>
    <row r="5248">
      <c r="C5248" s="72"/>
      <c r="G5248" s="77"/>
      <c r="H5248" s="77"/>
    </row>
    <row r="5249">
      <c r="C5249" s="72"/>
      <c r="G5249" s="77"/>
      <c r="H5249" s="77"/>
    </row>
    <row r="5250">
      <c r="C5250" s="72"/>
      <c r="G5250" s="77"/>
      <c r="H5250" s="77"/>
    </row>
    <row r="5251">
      <c r="C5251" s="72"/>
      <c r="G5251" s="77"/>
      <c r="H5251" s="77"/>
    </row>
    <row r="5252">
      <c r="C5252" s="72"/>
      <c r="G5252" s="77"/>
      <c r="H5252" s="77"/>
    </row>
    <row r="5253">
      <c r="C5253" s="72"/>
      <c r="G5253" s="77"/>
      <c r="H5253" s="77"/>
    </row>
    <row r="5254">
      <c r="C5254" s="72"/>
      <c r="G5254" s="77"/>
      <c r="H5254" s="77"/>
    </row>
    <row r="5255">
      <c r="C5255" s="72"/>
      <c r="G5255" s="77"/>
      <c r="H5255" s="77"/>
    </row>
    <row r="5256">
      <c r="C5256" s="72"/>
      <c r="G5256" s="77"/>
      <c r="H5256" s="77"/>
    </row>
    <row r="5257">
      <c r="C5257" s="72"/>
      <c r="G5257" s="77"/>
      <c r="H5257" s="77"/>
    </row>
    <row r="5258">
      <c r="C5258" s="72"/>
      <c r="G5258" s="77"/>
      <c r="H5258" s="77"/>
    </row>
    <row r="5259">
      <c r="C5259" s="72"/>
      <c r="G5259" s="77"/>
      <c r="H5259" s="77"/>
    </row>
    <row r="5260">
      <c r="C5260" s="72"/>
      <c r="G5260" s="77"/>
      <c r="H5260" s="77"/>
    </row>
    <row r="5261">
      <c r="C5261" s="72"/>
      <c r="G5261" s="77"/>
      <c r="H5261" s="77"/>
    </row>
    <row r="5262">
      <c r="C5262" s="72"/>
      <c r="G5262" s="77"/>
      <c r="H5262" s="77"/>
    </row>
    <row r="5263">
      <c r="C5263" s="72"/>
      <c r="G5263" s="77"/>
      <c r="H5263" s="77"/>
    </row>
    <row r="5264">
      <c r="C5264" s="72"/>
      <c r="G5264" s="77"/>
      <c r="H5264" s="77"/>
    </row>
    <row r="5265">
      <c r="C5265" s="72"/>
      <c r="G5265" s="77"/>
      <c r="H5265" s="77"/>
    </row>
    <row r="5266">
      <c r="C5266" s="72"/>
      <c r="G5266" s="77"/>
      <c r="H5266" s="77"/>
    </row>
    <row r="5267">
      <c r="C5267" s="72"/>
      <c r="G5267" s="77"/>
      <c r="H5267" s="77"/>
    </row>
    <row r="5268">
      <c r="C5268" s="72"/>
      <c r="G5268" s="77"/>
      <c r="H5268" s="77"/>
    </row>
    <row r="5269">
      <c r="C5269" s="72"/>
      <c r="G5269" s="77"/>
      <c r="H5269" s="77"/>
    </row>
    <row r="5270">
      <c r="C5270" s="72"/>
      <c r="G5270" s="77"/>
      <c r="H5270" s="77"/>
    </row>
    <row r="5271">
      <c r="C5271" s="72"/>
      <c r="G5271" s="77"/>
      <c r="H5271" s="77"/>
    </row>
    <row r="5272">
      <c r="C5272" s="72"/>
      <c r="G5272" s="77"/>
      <c r="H5272" s="77"/>
    </row>
    <row r="5273">
      <c r="C5273" s="72"/>
      <c r="G5273" s="77"/>
      <c r="H5273" s="77"/>
    </row>
    <row r="5274">
      <c r="C5274" s="72"/>
      <c r="G5274" s="77"/>
      <c r="H5274" s="77"/>
    </row>
    <row r="5275">
      <c r="C5275" s="72"/>
      <c r="G5275" s="77"/>
      <c r="H5275" s="77"/>
    </row>
    <row r="5276">
      <c r="C5276" s="72"/>
      <c r="G5276" s="77"/>
      <c r="H5276" s="77"/>
    </row>
    <row r="5277">
      <c r="C5277" s="72"/>
      <c r="G5277" s="77"/>
      <c r="H5277" s="77"/>
    </row>
    <row r="5278">
      <c r="C5278" s="72"/>
      <c r="G5278" s="77"/>
      <c r="H5278" s="77"/>
    </row>
    <row r="5279">
      <c r="C5279" s="72"/>
      <c r="G5279" s="77"/>
      <c r="H5279" s="77"/>
    </row>
    <row r="5280">
      <c r="C5280" s="72"/>
      <c r="G5280" s="77"/>
      <c r="H5280" s="77"/>
    </row>
    <row r="5281">
      <c r="C5281" s="72"/>
      <c r="G5281" s="77"/>
      <c r="H5281" s="77"/>
    </row>
    <row r="5282">
      <c r="C5282" s="72"/>
      <c r="G5282" s="77"/>
      <c r="H5282" s="77"/>
    </row>
    <row r="5283">
      <c r="C5283" s="72"/>
      <c r="G5283" s="77"/>
      <c r="H5283" s="77"/>
    </row>
    <row r="5284">
      <c r="C5284" s="72"/>
      <c r="G5284" s="77"/>
      <c r="H5284" s="77"/>
    </row>
    <row r="5285">
      <c r="C5285" s="72"/>
      <c r="G5285" s="77"/>
      <c r="H5285" s="77"/>
    </row>
    <row r="5286">
      <c r="C5286" s="72"/>
      <c r="G5286" s="77"/>
      <c r="H5286" s="77"/>
    </row>
    <row r="5287">
      <c r="C5287" s="72"/>
      <c r="G5287" s="77"/>
      <c r="H5287" s="77"/>
    </row>
    <row r="5288">
      <c r="C5288" s="72"/>
      <c r="G5288" s="77"/>
      <c r="H5288" s="77"/>
    </row>
    <row r="5289">
      <c r="C5289" s="72"/>
      <c r="G5289" s="77"/>
      <c r="H5289" s="77"/>
    </row>
    <row r="5290">
      <c r="C5290" s="72"/>
      <c r="G5290" s="77"/>
      <c r="H5290" s="77"/>
    </row>
    <row r="5291">
      <c r="C5291" s="72"/>
      <c r="G5291" s="77"/>
      <c r="H5291" s="77"/>
    </row>
    <row r="5292">
      <c r="C5292" s="72"/>
      <c r="G5292" s="77"/>
      <c r="H5292" s="77"/>
    </row>
    <row r="5293">
      <c r="C5293" s="72"/>
      <c r="G5293" s="77"/>
      <c r="H5293" s="77"/>
    </row>
    <row r="5294">
      <c r="C5294" s="72"/>
      <c r="G5294" s="77"/>
      <c r="H5294" s="77"/>
    </row>
    <row r="5295">
      <c r="C5295" s="72"/>
      <c r="G5295" s="77"/>
      <c r="H5295" s="77"/>
    </row>
    <row r="5296">
      <c r="C5296" s="72"/>
      <c r="G5296" s="77"/>
      <c r="H5296" s="77"/>
    </row>
    <row r="5297">
      <c r="C5297" s="72"/>
      <c r="G5297" s="77"/>
      <c r="H5297" s="77"/>
    </row>
    <row r="5298">
      <c r="C5298" s="72"/>
      <c r="G5298" s="77"/>
      <c r="H5298" s="77"/>
    </row>
    <row r="5299">
      <c r="C5299" s="72"/>
      <c r="G5299" s="77"/>
      <c r="H5299" s="77"/>
    </row>
    <row r="5300">
      <c r="C5300" s="72"/>
      <c r="G5300" s="77"/>
      <c r="H5300" s="77"/>
    </row>
    <row r="5301">
      <c r="C5301" s="72"/>
      <c r="G5301" s="77"/>
      <c r="H5301" s="77"/>
    </row>
    <row r="5302">
      <c r="C5302" s="72"/>
      <c r="G5302" s="77"/>
      <c r="H5302" s="77"/>
    </row>
    <row r="5303">
      <c r="C5303" s="72"/>
      <c r="G5303" s="77"/>
      <c r="H5303" s="77"/>
    </row>
    <row r="5304">
      <c r="C5304" s="72"/>
      <c r="G5304" s="77"/>
      <c r="H5304" s="77"/>
    </row>
    <row r="5305">
      <c r="C5305" s="72"/>
      <c r="G5305" s="77"/>
      <c r="H5305" s="77"/>
    </row>
    <row r="5306">
      <c r="C5306" s="72"/>
      <c r="G5306" s="77"/>
      <c r="H5306" s="77"/>
    </row>
    <row r="5307">
      <c r="C5307" s="72"/>
      <c r="G5307" s="77"/>
      <c r="H5307" s="77"/>
    </row>
    <row r="5308">
      <c r="C5308" s="72"/>
      <c r="G5308" s="77"/>
      <c r="H5308" s="77"/>
    </row>
    <row r="5309">
      <c r="C5309" s="72"/>
      <c r="G5309" s="77"/>
      <c r="H5309" s="77"/>
    </row>
    <row r="5310">
      <c r="C5310" s="72"/>
      <c r="G5310" s="77"/>
      <c r="H5310" s="77"/>
    </row>
    <row r="5311">
      <c r="C5311" s="72"/>
      <c r="G5311" s="77"/>
      <c r="H5311" s="77"/>
    </row>
    <row r="5312">
      <c r="C5312" s="72"/>
      <c r="G5312" s="77"/>
      <c r="H5312" s="77"/>
    </row>
    <row r="5313">
      <c r="C5313" s="72"/>
      <c r="G5313" s="77"/>
      <c r="H5313" s="77"/>
    </row>
    <row r="5314">
      <c r="C5314" s="72"/>
      <c r="G5314" s="77"/>
      <c r="H5314" s="77"/>
    </row>
    <row r="5315">
      <c r="C5315" s="72"/>
      <c r="G5315" s="77"/>
      <c r="H5315" s="77"/>
    </row>
    <row r="5316">
      <c r="C5316" s="72"/>
      <c r="G5316" s="77"/>
      <c r="H5316" s="77"/>
    </row>
    <row r="5317">
      <c r="C5317" s="72"/>
      <c r="G5317" s="77"/>
      <c r="H5317" s="77"/>
    </row>
    <row r="5318">
      <c r="C5318" s="72"/>
      <c r="G5318" s="77"/>
      <c r="H5318" s="77"/>
    </row>
    <row r="5319">
      <c r="C5319" s="72"/>
      <c r="G5319" s="77"/>
      <c r="H5319" s="77"/>
    </row>
    <row r="5320">
      <c r="C5320" s="72"/>
      <c r="G5320" s="77"/>
      <c r="H5320" s="77"/>
    </row>
    <row r="5321">
      <c r="C5321" s="72"/>
      <c r="G5321" s="77"/>
      <c r="H5321" s="77"/>
    </row>
    <row r="5322">
      <c r="C5322" s="72"/>
      <c r="G5322" s="77"/>
      <c r="H5322" s="77"/>
    </row>
    <row r="5323">
      <c r="C5323" s="72"/>
      <c r="G5323" s="77"/>
      <c r="H5323" s="77"/>
    </row>
    <row r="5324">
      <c r="C5324" s="72"/>
      <c r="G5324" s="77"/>
      <c r="H5324" s="77"/>
    </row>
    <row r="5325">
      <c r="C5325" s="72"/>
      <c r="G5325" s="77"/>
      <c r="H5325" s="77"/>
    </row>
    <row r="5326">
      <c r="C5326" s="72"/>
      <c r="G5326" s="77"/>
      <c r="H5326" s="77"/>
    </row>
    <row r="5327">
      <c r="C5327" s="72"/>
      <c r="G5327" s="77"/>
      <c r="H5327" s="77"/>
    </row>
    <row r="5328">
      <c r="C5328" s="72"/>
      <c r="G5328" s="77"/>
      <c r="H5328" s="77"/>
    </row>
    <row r="5329">
      <c r="C5329" s="72"/>
      <c r="G5329" s="77"/>
      <c r="H5329" s="77"/>
    </row>
    <row r="5330">
      <c r="C5330" s="72"/>
      <c r="G5330" s="77"/>
      <c r="H5330" s="77"/>
    </row>
    <row r="5331">
      <c r="C5331" s="72"/>
      <c r="G5331" s="77"/>
      <c r="H5331" s="77"/>
    </row>
    <row r="5332">
      <c r="C5332" s="72"/>
      <c r="G5332" s="77"/>
      <c r="H5332" s="77"/>
    </row>
    <row r="5333">
      <c r="C5333" s="72"/>
      <c r="G5333" s="77"/>
      <c r="H5333" s="77"/>
    </row>
    <row r="5334">
      <c r="C5334" s="72"/>
      <c r="G5334" s="77"/>
      <c r="H5334" s="77"/>
    </row>
    <row r="5335">
      <c r="C5335" s="72"/>
      <c r="G5335" s="77"/>
      <c r="H5335" s="77"/>
    </row>
    <row r="5336">
      <c r="C5336" s="72"/>
      <c r="G5336" s="77"/>
      <c r="H5336" s="77"/>
    </row>
    <row r="5337">
      <c r="C5337" s="72"/>
      <c r="G5337" s="77"/>
      <c r="H5337" s="77"/>
    </row>
    <row r="5338">
      <c r="C5338" s="72"/>
      <c r="G5338" s="77"/>
      <c r="H5338" s="77"/>
    </row>
    <row r="5339">
      <c r="C5339" s="72"/>
      <c r="G5339" s="77"/>
      <c r="H5339" s="77"/>
    </row>
    <row r="5340">
      <c r="C5340" s="72"/>
      <c r="G5340" s="77"/>
      <c r="H5340" s="77"/>
    </row>
    <row r="5341">
      <c r="C5341" s="72"/>
      <c r="G5341" s="77"/>
      <c r="H5341" s="77"/>
    </row>
    <row r="5342">
      <c r="C5342" s="72"/>
      <c r="G5342" s="77"/>
      <c r="H5342" s="77"/>
    </row>
    <row r="5343">
      <c r="C5343" s="72"/>
      <c r="G5343" s="77"/>
      <c r="H5343" s="77"/>
    </row>
    <row r="5344">
      <c r="C5344" s="72"/>
      <c r="G5344" s="77"/>
      <c r="H5344" s="77"/>
    </row>
    <row r="5345">
      <c r="C5345" s="72"/>
      <c r="G5345" s="77"/>
      <c r="H5345" s="77"/>
    </row>
    <row r="5346">
      <c r="C5346" s="72"/>
      <c r="G5346" s="77"/>
      <c r="H5346" s="77"/>
    </row>
    <row r="5347">
      <c r="C5347" s="72"/>
      <c r="G5347" s="77"/>
      <c r="H5347" s="77"/>
    </row>
    <row r="5348">
      <c r="C5348" s="72"/>
      <c r="G5348" s="77"/>
      <c r="H5348" s="77"/>
    </row>
    <row r="5349">
      <c r="C5349" s="72"/>
      <c r="G5349" s="77"/>
      <c r="H5349" s="77"/>
    </row>
    <row r="5350">
      <c r="C5350" s="72"/>
      <c r="G5350" s="77"/>
      <c r="H5350" s="77"/>
    </row>
    <row r="5351">
      <c r="C5351" s="72"/>
      <c r="G5351" s="77"/>
      <c r="H5351" s="77"/>
    </row>
    <row r="5352">
      <c r="C5352" s="72"/>
      <c r="G5352" s="77"/>
      <c r="H5352" s="77"/>
    </row>
    <row r="5353">
      <c r="C5353" s="72"/>
      <c r="G5353" s="77"/>
      <c r="H5353" s="77"/>
    </row>
    <row r="5354">
      <c r="C5354" s="72"/>
      <c r="G5354" s="77"/>
      <c r="H5354" s="77"/>
    </row>
    <row r="5355">
      <c r="C5355" s="72"/>
      <c r="G5355" s="77"/>
      <c r="H5355" s="77"/>
    </row>
    <row r="5356">
      <c r="C5356" s="72"/>
      <c r="G5356" s="77"/>
      <c r="H5356" s="77"/>
    </row>
    <row r="5357">
      <c r="C5357" s="72"/>
      <c r="G5357" s="77"/>
      <c r="H5357" s="77"/>
    </row>
    <row r="5358">
      <c r="C5358" s="72"/>
      <c r="G5358" s="77"/>
      <c r="H5358" s="77"/>
    </row>
    <row r="5359">
      <c r="C5359" s="72"/>
      <c r="G5359" s="77"/>
      <c r="H5359" s="77"/>
    </row>
    <row r="5360">
      <c r="C5360" s="72"/>
      <c r="G5360" s="77"/>
      <c r="H5360" s="77"/>
    </row>
    <row r="5361">
      <c r="C5361" s="72"/>
      <c r="G5361" s="77"/>
      <c r="H5361" s="77"/>
    </row>
    <row r="5362">
      <c r="C5362" s="72"/>
      <c r="G5362" s="77"/>
      <c r="H5362" s="77"/>
    </row>
    <row r="5363">
      <c r="C5363" s="72"/>
      <c r="G5363" s="77"/>
      <c r="H5363" s="77"/>
    </row>
    <row r="5364">
      <c r="C5364" s="72"/>
      <c r="G5364" s="77"/>
      <c r="H5364" s="77"/>
    </row>
    <row r="5365">
      <c r="C5365" s="72"/>
      <c r="G5365" s="77"/>
      <c r="H5365" s="77"/>
    </row>
    <row r="5366">
      <c r="C5366" s="72"/>
      <c r="G5366" s="77"/>
      <c r="H5366" s="77"/>
    </row>
    <row r="5367">
      <c r="C5367" s="72"/>
      <c r="G5367" s="77"/>
      <c r="H5367" s="77"/>
    </row>
    <row r="5368">
      <c r="C5368" s="72"/>
      <c r="G5368" s="77"/>
      <c r="H5368" s="77"/>
    </row>
    <row r="5369">
      <c r="C5369" s="72"/>
      <c r="G5369" s="77"/>
      <c r="H5369" s="77"/>
    </row>
    <row r="5370">
      <c r="C5370" s="72"/>
      <c r="G5370" s="77"/>
      <c r="H5370" s="77"/>
    </row>
    <row r="5371">
      <c r="C5371" s="72"/>
      <c r="G5371" s="77"/>
      <c r="H5371" s="77"/>
    </row>
    <row r="5372">
      <c r="C5372" s="72"/>
      <c r="G5372" s="77"/>
      <c r="H5372" s="77"/>
    </row>
    <row r="5373">
      <c r="C5373" s="72"/>
      <c r="G5373" s="77"/>
      <c r="H5373" s="77"/>
    </row>
    <row r="5374">
      <c r="C5374" s="72"/>
      <c r="G5374" s="77"/>
      <c r="H5374" s="77"/>
    </row>
    <row r="5375">
      <c r="C5375" s="72"/>
      <c r="G5375" s="77"/>
      <c r="H5375" s="77"/>
    </row>
    <row r="5376">
      <c r="C5376" s="72"/>
      <c r="G5376" s="77"/>
      <c r="H5376" s="77"/>
    </row>
    <row r="5377">
      <c r="C5377" s="72"/>
      <c r="G5377" s="77"/>
      <c r="H5377" s="77"/>
    </row>
    <row r="5378">
      <c r="C5378" s="72"/>
      <c r="G5378" s="77"/>
      <c r="H5378" s="77"/>
    </row>
    <row r="5379">
      <c r="C5379" s="72"/>
      <c r="G5379" s="77"/>
      <c r="H5379" s="77"/>
    </row>
    <row r="5380">
      <c r="C5380" s="72"/>
      <c r="G5380" s="77"/>
      <c r="H5380" s="77"/>
    </row>
    <row r="5381">
      <c r="C5381" s="72"/>
      <c r="G5381" s="77"/>
      <c r="H5381" s="77"/>
    </row>
    <row r="5382">
      <c r="C5382" s="72"/>
      <c r="G5382" s="77"/>
      <c r="H5382" s="77"/>
    </row>
    <row r="5383">
      <c r="C5383" s="72"/>
      <c r="G5383" s="77"/>
      <c r="H5383" s="77"/>
    </row>
    <row r="5384">
      <c r="C5384" s="72"/>
      <c r="G5384" s="77"/>
      <c r="H5384" s="77"/>
    </row>
    <row r="5385">
      <c r="C5385" s="72"/>
      <c r="G5385" s="77"/>
      <c r="H5385" s="77"/>
    </row>
    <row r="5386">
      <c r="C5386" s="72"/>
      <c r="G5386" s="77"/>
      <c r="H5386" s="77"/>
    </row>
    <row r="5387">
      <c r="C5387" s="72"/>
      <c r="G5387" s="77"/>
      <c r="H5387" s="77"/>
    </row>
    <row r="5388">
      <c r="C5388" s="72"/>
      <c r="G5388" s="77"/>
      <c r="H5388" s="77"/>
    </row>
    <row r="5389">
      <c r="C5389" s="72"/>
      <c r="G5389" s="77"/>
      <c r="H5389" s="77"/>
    </row>
    <row r="5390">
      <c r="C5390" s="72"/>
      <c r="G5390" s="77"/>
      <c r="H5390" s="77"/>
    </row>
    <row r="5391">
      <c r="C5391" s="72"/>
      <c r="G5391" s="77"/>
      <c r="H5391" s="77"/>
    </row>
    <row r="5392">
      <c r="C5392" s="72"/>
      <c r="G5392" s="77"/>
      <c r="H5392" s="77"/>
    </row>
    <row r="5393">
      <c r="C5393" s="72"/>
      <c r="G5393" s="77"/>
      <c r="H5393" s="77"/>
    </row>
    <row r="5394">
      <c r="C5394" s="72"/>
      <c r="G5394" s="77"/>
      <c r="H5394" s="77"/>
    </row>
    <row r="5395">
      <c r="C5395" s="72"/>
      <c r="G5395" s="77"/>
      <c r="H5395" s="77"/>
    </row>
    <row r="5396">
      <c r="C5396" s="72"/>
      <c r="G5396" s="77"/>
      <c r="H5396" s="77"/>
    </row>
    <row r="5397">
      <c r="C5397" s="72"/>
      <c r="G5397" s="77"/>
      <c r="H5397" s="77"/>
    </row>
    <row r="5398">
      <c r="C5398" s="72"/>
      <c r="G5398" s="77"/>
      <c r="H5398" s="77"/>
    </row>
    <row r="5399">
      <c r="C5399" s="72"/>
      <c r="G5399" s="77"/>
      <c r="H5399" s="77"/>
    </row>
    <row r="5400">
      <c r="C5400" s="72"/>
      <c r="G5400" s="77"/>
      <c r="H5400" s="77"/>
    </row>
    <row r="5401">
      <c r="C5401" s="72"/>
      <c r="G5401" s="77"/>
      <c r="H5401" s="77"/>
    </row>
    <row r="5402">
      <c r="C5402" s="72"/>
      <c r="G5402" s="77"/>
      <c r="H5402" s="77"/>
    </row>
    <row r="5403">
      <c r="C5403" s="72"/>
      <c r="G5403" s="77"/>
      <c r="H5403" s="77"/>
    </row>
    <row r="5404">
      <c r="C5404" s="72"/>
      <c r="G5404" s="77"/>
      <c r="H5404" s="77"/>
    </row>
    <row r="5405">
      <c r="C5405" s="72"/>
      <c r="G5405" s="77"/>
      <c r="H5405" s="77"/>
    </row>
    <row r="5406">
      <c r="C5406" s="72"/>
      <c r="G5406" s="77"/>
      <c r="H5406" s="77"/>
    </row>
    <row r="5407">
      <c r="C5407" s="72"/>
      <c r="G5407" s="77"/>
      <c r="H5407" s="77"/>
    </row>
    <row r="5408">
      <c r="C5408" s="72"/>
      <c r="G5408" s="77"/>
      <c r="H5408" s="77"/>
    </row>
    <row r="5409">
      <c r="C5409" s="72"/>
      <c r="G5409" s="77"/>
      <c r="H5409" s="77"/>
    </row>
    <row r="5410">
      <c r="C5410" s="72"/>
      <c r="G5410" s="77"/>
      <c r="H5410" s="77"/>
    </row>
    <row r="5411">
      <c r="C5411" s="72"/>
      <c r="G5411" s="77"/>
      <c r="H5411" s="77"/>
    </row>
    <row r="5412">
      <c r="C5412" s="72"/>
      <c r="G5412" s="77"/>
      <c r="H5412" s="77"/>
    </row>
    <row r="5413">
      <c r="C5413" s="72"/>
      <c r="G5413" s="77"/>
      <c r="H5413" s="77"/>
    </row>
    <row r="5414">
      <c r="C5414" s="72"/>
      <c r="G5414" s="77"/>
      <c r="H5414" s="77"/>
    </row>
    <row r="5415">
      <c r="C5415" s="72"/>
      <c r="G5415" s="77"/>
      <c r="H5415" s="77"/>
    </row>
    <row r="5416">
      <c r="C5416" s="72"/>
      <c r="G5416" s="77"/>
      <c r="H5416" s="77"/>
    </row>
    <row r="5417">
      <c r="C5417" s="72"/>
      <c r="G5417" s="77"/>
      <c r="H5417" s="77"/>
    </row>
    <row r="5418">
      <c r="C5418" s="72"/>
      <c r="G5418" s="77"/>
      <c r="H5418" s="77"/>
    </row>
    <row r="5419">
      <c r="C5419" s="72"/>
      <c r="G5419" s="77"/>
      <c r="H5419" s="77"/>
    </row>
    <row r="5420">
      <c r="C5420" s="72"/>
      <c r="G5420" s="77"/>
      <c r="H5420" s="77"/>
    </row>
    <row r="5421">
      <c r="C5421" s="72"/>
      <c r="G5421" s="77"/>
      <c r="H5421" s="77"/>
    </row>
    <row r="5422">
      <c r="C5422" s="72"/>
      <c r="G5422" s="77"/>
      <c r="H5422" s="77"/>
    </row>
    <row r="5423">
      <c r="C5423" s="72"/>
      <c r="G5423" s="77"/>
      <c r="H5423" s="77"/>
    </row>
    <row r="5424">
      <c r="C5424" s="72"/>
      <c r="G5424" s="77"/>
      <c r="H5424" s="77"/>
    </row>
    <row r="5425">
      <c r="C5425" s="72"/>
      <c r="G5425" s="77"/>
      <c r="H5425" s="77"/>
    </row>
    <row r="5426">
      <c r="C5426" s="72"/>
      <c r="G5426" s="77"/>
      <c r="H5426" s="77"/>
    </row>
    <row r="5427">
      <c r="C5427" s="72"/>
      <c r="G5427" s="77"/>
      <c r="H5427" s="77"/>
    </row>
    <row r="5428">
      <c r="C5428" s="72"/>
      <c r="G5428" s="77"/>
      <c r="H5428" s="77"/>
    </row>
    <row r="5429">
      <c r="C5429" s="72"/>
      <c r="G5429" s="77"/>
      <c r="H5429" s="77"/>
    </row>
    <row r="5430">
      <c r="C5430" s="72"/>
      <c r="G5430" s="77"/>
      <c r="H5430" s="77"/>
    </row>
    <row r="5431">
      <c r="C5431" s="72"/>
      <c r="G5431" s="77"/>
      <c r="H5431" s="77"/>
    </row>
    <row r="5432">
      <c r="C5432" s="72"/>
      <c r="G5432" s="77"/>
      <c r="H5432" s="77"/>
    </row>
    <row r="5433">
      <c r="C5433" s="72"/>
      <c r="G5433" s="77"/>
      <c r="H5433" s="77"/>
    </row>
    <row r="5434">
      <c r="C5434" s="72"/>
      <c r="G5434" s="77"/>
      <c r="H5434" s="77"/>
    </row>
    <row r="5435">
      <c r="C5435" s="72"/>
      <c r="G5435" s="77"/>
      <c r="H5435" s="77"/>
    </row>
    <row r="5436">
      <c r="C5436" s="72"/>
      <c r="G5436" s="77"/>
      <c r="H5436" s="77"/>
    </row>
    <row r="5437">
      <c r="C5437" s="72"/>
      <c r="G5437" s="77"/>
      <c r="H5437" s="77"/>
    </row>
    <row r="5438">
      <c r="C5438" s="72"/>
      <c r="G5438" s="77"/>
      <c r="H5438" s="77"/>
    </row>
    <row r="5439">
      <c r="C5439" s="72"/>
      <c r="G5439" s="77"/>
      <c r="H5439" s="77"/>
    </row>
    <row r="5440">
      <c r="C5440" s="72"/>
      <c r="G5440" s="77"/>
      <c r="H5440" s="77"/>
    </row>
    <row r="5441">
      <c r="C5441" s="72"/>
      <c r="G5441" s="77"/>
      <c r="H5441" s="77"/>
    </row>
    <row r="5442">
      <c r="C5442" s="72"/>
      <c r="G5442" s="77"/>
      <c r="H5442" s="77"/>
    </row>
    <row r="5443">
      <c r="C5443" s="72"/>
      <c r="G5443" s="77"/>
      <c r="H5443" s="77"/>
    </row>
    <row r="5444">
      <c r="C5444" s="72"/>
      <c r="G5444" s="77"/>
      <c r="H5444" s="77"/>
    </row>
    <row r="5445">
      <c r="C5445" s="72"/>
      <c r="G5445" s="77"/>
      <c r="H5445" s="77"/>
    </row>
    <row r="5446">
      <c r="C5446" s="72"/>
      <c r="G5446" s="77"/>
      <c r="H5446" s="77"/>
    </row>
    <row r="5447">
      <c r="C5447" s="72"/>
      <c r="G5447" s="77"/>
      <c r="H5447" s="77"/>
    </row>
    <row r="5448">
      <c r="C5448" s="72"/>
      <c r="G5448" s="77"/>
      <c r="H5448" s="77"/>
    </row>
    <row r="5449">
      <c r="C5449" s="72"/>
      <c r="G5449" s="77"/>
      <c r="H5449" s="77"/>
    </row>
    <row r="5450">
      <c r="C5450" s="72"/>
      <c r="G5450" s="77"/>
      <c r="H5450" s="77"/>
    </row>
    <row r="5451">
      <c r="C5451" s="72"/>
      <c r="G5451" s="77"/>
      <c r="H5451" s="77"/>
    </row>
    <row r="5452">
      <c r="C5452" s="72"/>
      <c r="G5452" s="77"/>
      <c r="H5452" s="77"/>
    </row>
    <row r="5453">
      <c r="C5453" s="72"/>
      <c r="G5453" s="77"/>
      <c r="H5453" s="77"/>
    </row>
    <row r="5454">
      <c r="C5454" s="72"/>
      <c r="G5454" s="77"/>
      <c r="H5454" s="77"/>
    </row>
    <row r="5455">
      <c r="C5455" s="72"/>
      <c r="G5455" s="77"/>
      <c r="H5455" s="77"/>
    </row>
    <row r="5456">
      <c r="C5456" s="72"/>
      <c r="G5456" s="77"/>
      <c r="H5456" s="77"/>
    </row>
    <row r="5457">
      <c r="C5457" s="72"/>
      <c r="G5457" s="77"/>
      <c r="H5457" s="77"/>
    </row>
    <row r="5458">
      <c r="C5458" s="72"/>
      <c r="G5458" s="77"/>
      <c r="H5458" s="77"/>
    </row>
    <row r="5459">
      <c r="C5459" s="72"/>
      <c r="G5459" s="77"/>
      <c r="H5459" s="77"/>
    </row>
    <row r="5460">
      <c r="C5460" s="72"/>
      <c r="G5460" s="77"/>
      <c r="H5460" s="77"/>
    </row>
    <row r="5461">
      <c r="C5461" s="72"/>
      <c r="G5461" s="77"/>
      <c r="H5461" s="77"/>
    </row>
    <row r="5462">
      <c r="C5462" s="72"/>
      <c r="G5462" s="77"/>
      <c r="H5462" s="77"/>
    </row>
    <row r="5463">
      <c r="C5463" s="72"/>
      <c r="G5463" s="77"/>
      <c r="H5463" s="77"/>
    </row>
    <row r="5464">
      <c r="C5464" s="72"/>
      <c r="G5464" s="77"/>
      <c r="H5464" s="77"/>
    </row>
    <row r="5465">
      <c r="C5465" s="72"/>
      <c r="G5465" s="77"/>
      <c r="H5465" s="77"/>
    </row>
    <row r="5466">
      <c r="C5466" s="72"/>
      <c r="G5466" s="77"/>
      <c r="H5466" s="77"/>
    </row>
    <row r="5467">
      <c r="C5467" s="72"/>
      <c r="G5467" s="77"/>
      <c r="H5467" s="77"/>
    </row>
    <row r="5468">
      <c r="C5468" s="72"/>
      <c r="G5468" s="77"/>
      <c r="H5468" s="77"/>
    </row>
    <row r="5469">
      <c r="C5469" s="72"/>
      <c r="G5469" s="77"/>
      <c r="H5469" s="77"/>
    </row>
    <row r="5470">
      <c r="C5470" s="72"/>
      <c r="G5470" s="77"/>
      <c r="H5470" s="77"/>
    </row>
    <row r="5471">
      <c r="C5471" s="72"/>
      <c r="G5471" s="77"/>
      <c r="H5471" s="77"/>
    </row>
    <row r="5472">
      <c r="C5472" s="72"/>
      <c r="G5472" s="77"/>
      <c r="H5472" s="77"/>
    </row>
    <row r="5473">
      <c r="C5473" s="72"/>
      <c r="G5473" s="77"/>
      <c r="H5473" s="77"/>
    </row>
    <row r="5474">
      <c r="C5474" s="72"/>
      <c r="G5474" s="77"/>
      <c r="H5474" s="77"/>
    </row>
    <row r="5475">
      <c r="C5475" s="72"/>
      <c r="G5475" s="77"/>
      <c r="H5475" s="77"/>
    </row>
    <row r="5476">
      <c r="C5476" s="72"/>
      <c r="G5476" s="77"/>
      <c r="H5476" s="77"/>
    </row>
    <row r="5477">
      <c r="C5477" s="72"/>
      <c r="G5477" s="77"/>
      <c r="H5477" s="77"/>
    </row>
    <row r="5478">
      <c r="C5478" s="72"/>
      <c r="G5478" s="77"/>
      <c r="H5478" s="77"/>
    </row>
    <row r="5479">
      <c r="C5479" s="72"/>
      <c r="G5479" s="77"/>
      <c r="H5479" s="77"/>
    </row>
    <row r="5480">
      <c r="C5480" s="72"/>
      <c r="G5480" s="77"/>
      <c r="H5480" s="77"/>
    </row>
    <row r="5481">
      <c r="C5481" s="72"/>
      <c r="G5481" s="77"/>
      <c r="H5481" s="77"/>
    </row>
    <row r="5482">
      <c r="C5482" s="72"/>
      <c r="G5482" s="77"/>
      <c r="H5482" s="77"/>
    </row>
    <row r="5483">
      <c r="C5483" s="72"/>
      <c r="G5483" s="77"/>
      <c r="H5483" s="77"/>
    </row>
    <row r="5484">
      <c r="C5484" s="72"/>
      <c r="G5484" s="77"/>
      <c r="H5484" s="77"/>
    </row>
    <row r="5485">
      <c r="C5485" s="72"/>
      <c r="G5485" s="77"/>
      <c r="H5485" s="77"/>
    </row>
    <row r="5486">
      <c r="C5486" s="72"/>
      <c r="G5486" s="77"/>
      <c r="H5486" s="77"/>
    </row>
    <row r="5487">
      <c r="C5487" s="72"/>
      <c r="G5487" s="77"/>
      <c r="H5487" s="77"/>
    </row>
    <row r="5488">
      <c r="C5488" s="72"/>
      <c r="G5488" s="77"/>
      <c r="H5488" s="77"/>
    </row>
    <row r="5489">
      <c r="C5489" s="72"/>
      <c r="G5489" s="77"/>
      <c r="H5489" s="77"/>
    </row>
    <row r="5490">
      <c r="C5490" s="72"/>
      <c r="G5490" s="77"/>
      <c r="H5490" s="77"/>
    </row>
    <row r="5491">
      <c r="C5491" s="72"/>
      <c r="G5491" s="77"/>
      <c r="H5491" s="77"/>
    </row>
    <row r="5492">
      <c r="C5492" s="72"/>
      <c r="G5492" s="77"/>
      <c r="H5492" s="77"/>
    </row>
    <row r="5493">
      <c r="C5493" s="72"/>
      <c r="G5493" s="77"/>
      <c r="H5493" s="77"/>
    </row>
    <row r="5494">
      <c r="C5494" s="72"/>
      <c r="G5494" s="77"/>
      <c r="H5494" s="77"/>
    </row>
    <row r="5495">
      <c r="C5495" s="72"/>
      <c r="G5495" s="77"/>
      <c r="H5495" s="77"/>
    </row>
    <row r="5496">
      <c r="C5496" s="72"/>
      <c r="G5496" s="77"/>
      <c r="H5496" s="77"/>
    </row>
    <row r="5497">
      <c r="C5497" s="72"/>
      <c r="G5497" s="77"/>
      <c r="H5497" s="77"/>
    </row>
    <row r="5498">
      <c r="C5498" s="72"/>
      <c r="G5498" s="77"/>
      <c r="H5498" s="77"/>
    </row>
    <row r="5499">
      <c r="C5499" s="72"/>
      <c r="G5499" s="77"/>
      <c r="H5499" s="77"/>
    </row>
    <row r="5500">
      <c r="C5500" s="72"/>
      <c r="G5500" s="77"/>
      <c r="H5500" s="77"/>
    </row>
    <row r="5501">
      <c r="C5501" s="72"/>
      <c r="G5501" s="77"/>
      <c r="H5501" s="77"/>
    </row>
    <row r="5502">
      <c r="C5502" s="72"/>
      <c r="G5502" s="77"/>
      <c r="H5502" s="77"/>
    </row>
    <row r="5503">
      <c r="C5503" s="72"/>
      <c r="G5503" s="77"/>
      <c r="H5503" s="77"/>
    </row>
    <row r="5504">
      <c r="C5504" s="72"/>
      <c r="G5504" s="77"/>
      <c r="H5504" s="77"/>
    </row>
    <row r="5505">
      <c r="C5505" s="72"/>
      <c r="G5505" s="77"/>
      <c r="H5505" s="77"/>
    </row>
    <row r="5506">
      <c r="C5506" s="72"/>
      <c r="G5506" s="77"/>
      <c r="H5506" s="77"/>
    </row>
    <row r="5507">
      <c r="C5507" s="72"/>
      <c r="G5507" s="77"/>
      <c r="H5507" s="77"/>
    </row>
    <row r="5508">
      <c r="C5508" s="72"/>
      <c r="G5508" s="77"/>
      <c r="H5508" s="77"/>
    </row>
    <row r="5509">
      <c r="C5509" s="72"/>
      <c r="G5509" s="77"/>
      <c r="H5509" s="77"/>
    </row>
    <row r="5510">
      <c r="C5510" s="72"/>
      <c r="G5510" s="77"/>
      <c r="H5510" s="77"/>
    </row>
    <row r="5511">
      <c r="C5511" s="72"/>
      <c r="G5511" s="77"/>
      <c r="H5511" s="77"/>
    </row>
    <row r="5512">
      <c r="C5512" s="72"/>
      <c r="G5512" s="77"/>
      <c r="H5512" s="77"/>
    </row>
    <row r="5513">
      <c r="C5513" s="72"/>
      <c r="G5513" s="77"/>
      <c r="H5513" s="77"/>
    </row>
    <row r="5514">
      <c r="C5514" s="72"/>
      <c r="G5514" s="77"/>
      <c r="H5514" s="77"/>
    </row>
    <row r="5515">
      <c r="C5515" s="72"/>
      <c r="G5515" s="77"/>
      <c r="H5515" s="77"/>
    </row>
    <row r="5516">
      <c r="C5516" s="72"/>
      <c r="G5516" s="77"/>
      <c r="H5516" s="77"/>
    </row>
    <row r="5517">
      <c r="C5517" s="72"/>
      <c r="G5517" s="77"/>
      <c r="H5517" s="77"/>
    </row>
    <row r="5518">
      <c r="C5518" s="72"/>
      <c r="G5518" s="77"/>
      <c r="H5518" s="77"/>
    </row>
    <row r="5519">
      <c r="C5519" s="72"/>
      <c r="G5519" s="77"/>
      <c r="H5519" s="77"/>
    </row>
    <row r="5520">
      <c r="C5520" s="72"/>
      <c r="G5520" s="77"/>
      <c r="H5520" s="77"/>
    </row>
    <row r="5521">
      <c r="C5521" s="72"/>
      <c r="G5521" s="77"/>
      <c r="H5521" s="77"/>
    </row>
    <row r="5522">
      <c r="C5522" s="72"/>
      <c r="G5522" s="77"/>
      <c r="H5522" s="77"/>
    </row>
    <row r="5523">
      <c r="C5523" s="72"/>
      <c r="G5523" s="77"/>
      <c r="H5523" s="77"/>
    </row>
    <row r="5524">
      <c r="C5524" s="72"/>
      <c r="G5524" s="77"/>
      <c r="H5524" s="77"/>
    </row>
    <row r="5525">
      <c r="C5525" s="72"/>
      <c r="G5525" s="77"/>
      <c r="H5525" s="77"/>
    </row>
    <row r="5526">
      <c r="C5526" s="72"/>
      <c r="G5526" s="77"/>
      <c r="H5526" s="77"/>
    </row>
    <row r="5527">
      <c r="C5527" s="72"/>
      <c r="G5527" s="77"/>
      <c r="H5527" s="77"/>
    </row>
    <row r="5528">
      <c r="C5528" s="72"/>
      <c r="G5528" s="77"/>
      <c r="H5528" s="77"/>
    </row>
    <row r="5529">
      <c r="C5529" s="72"/>
      <c r="G5529" s="77"/>
      <c r="H5529" s="77"/>
    </row>
    <row r="5530">
      <c r="C5530" s="72"/>
      <c r="G5530" s="77"/>
      <c r="H5530" s="77"/>
    </row>
    <row r="5531">
      <c r="C5531" s="72"/>
      <c r="G5531" s="77"/>
      <c r="H5531" s="77"/>
    </row>
    <row r="5532">
      <c r="C5532" s="72"/>
      <c r="G5532" s="77"/>
      <c r="H5532" s="77"/>
    </row>
    <row r="5533">
      <c r="C5533" s="72"/>
      <c r="G5533" s="77"/>
      <c r="H5533" s="77"/>
    </row>
    <row r="5534">
      <c r="C5534" s="72"/>
      <c r="G5534" s="77"/>
      <c r="H5534" s="77"/>
    </row>
    <row r="5535">
      <c r="C5535" s="72"/>
      <c r="G5535" s="77"/>
      <c r="H5535" s="77"/>
    </row>
    <row r="5536">
      <c r="C5536" s="72"/>
      <c r="G5536" s="77"/>
      <c r="H5536" s="77"/>
    </row>
    <row r="5537">
      <c r="C5537" s="72"/>
      <c r="G5537" s="77"/>
      <c r="H5537" s="77"/>
    </row>
    <row r="5538">
      <c r="C5538" s="72"/>
      <c r="G5538" s="77"/>
      <c r="H5538" s="77"/>
    </row>
    <row r="5539">
      <c r="C5539" s="72"/>
      <c r="G5539" s="77"/>
      <c r="H5539" s="77"/>
    </row>
    <row r="5540">
      <c r="C5540" s="72"/>
      <c r="G5540" s="77"/>
      <c r="H5540" s="77"/>
    </row>
    <row r="5541">
      <c r="C5541" s="72"/>
      <c r="G5541" s="77"/>
      <c r="H5541" s="77"/>
    </row>
    <row r="5542">
      <c r="C5542" s="72"/>
      <c r="G5542" s="77"/>
      <c r="H5542" s="77"/>
    </row>
    <row r="5543">
      <c r="C5543" s="72"/>
      <c r="G5543" s="77"/>
      <c r="H5543" s="77"/>
    </row>
    <row r="5544">
      <c r="C5544" s="72"/>
      <c r="G5544" s="77"/>
      <c r="H5544" s="77"/>
    </row>
    <row r="5545">
      <c r="C5545" s="72"/>
      <c r="G5545" s="77"/>
      <c r="H5545" s="77"/>
    </row>
    <row r="5546">
      <c r="C5546" s="72"/>
      <c r="G5546" s="77"/>
      <c r="H5546" s="77"/>
    </row>
    <row r="5547">
      <c r="C5547" s="72"/>
      <c r="G5547" s="77"/>
      <c r="H5547" s="77"/>
    </row>
    <row r="5548">
      <c r="C5548" s="72"/>
      <c r="G5548" s="77"/>
      <c r="H5548" s="77"/>
    </row>
    <row r="5549">
      <c r="C5549" s="72"/>
      <c r="G5549" s="77"/>
      <c r="H5549" s="77"/>
    </row>
    <row r="5550">
      <c r="C5550" s="72"/>
      <c r="G5550" s="77"/>
      <c r="H5550" s="77"/>
    </row>
    <row r="5551">
      <c r="C5551" s="72"/>
      <c r="G5551" s="77"/>
      <c r="H5551" s="77"/>
    </row>
    <row r="5552">
      <c r="C5552" s="72"/>
      <c r="G5552" s="77"/>
      <c r="H5552" s="77"/>
    </row>
    <row r="5553">
      <c r="C5553" s="72"/>
      <c r="G5553" s="77"/>
      <c r="H5553" s="77"/>
    </row>
    <row r="5554">
      <c r="C5554" s="72"/>
      <c r="G5554" s="77"/>
      <c r="H5554" s="77"/>
    </row>
    <row r="5555">
      <c r="C5555" s="72"/>
      <c r="G5555" s="77"/>
      <c r="H5555" s="77"/>
    </row>
    <row r="5556">
      <c r="C5556" s="72"/>
      <c r="G5556" s="77"/>
      <c r="H5556" s="77"/>
    </row>
    <row r="5557">
      <c r="C5557" s="72"/>
      <c r="G5557" s="77"/>
      <c r="H5557" s="77"/>
    </row>
    <row r="5558">
      <c r="C5558" s="72"/>
      <c r="G5558" s="77"/>
      <c r="H5558" s="77"/>
    </row>
    <row r="5559">
      <c r="C5559" s="72"/>
      <c r="G5559" s="77"/>
      <c r="H5559" s="77"/>
    </row>
    <row r="5560">
      <c r="C5560" s="72"/>
      <c r="G5560" s="77"/>
      <c r="H5560" s="77"/>
    </row>
    <row r="5561">
      <c r="C5561" s="72"/>
      <c r="G5561" s="77"/>
      <c r="H5561" s="77"/>
    </row>
    <row r="5562">
      <c r="C5562" s="72"/>
      <c r="G5562" s="77"/>
      <c r="H5562" s="77"/>
    </row>
    <row r="5563">
      <c r="C5563" s="72"/>
      <c r="G5563" s="77"/>
      <c r="H5563" s="77"/>
    </row>
    <row r="5564">
      <c r="C5564" s="72"/>
      <c r="G5564" s="77"/>
      <c r="H5564" s="77"/>
    </row>
    <row r="5565">
      <c r="C5565" s="72"/>
      <c r="G5565" s="77"/>
      <c r="H5565" s="77"/>
    </row>
    <row r="5566">
      <c r="C5566" s="72"/>
      <c r="G5566" s="77"/>
      <c r="H5566" s="77"/>
    </row>
    <row r="5567">
      <c r="C5567" s="72"/>
      <c r="G5567" s="77"/>
      <c r="H5567" s="77"/>
    </row>
    <row r="5568">
      <c r="C5568" s="72"/>
      <c r="G5568" s="77"/>
      <c r="H5568" s="77"/>
    </row>
    <row r="5569">
      <c r="C5569" s="72"/>
      <c r="G5569" s="77"/>
      <c r="H5569" s="77"/>
    </row>
    <row r="5570">
      <c r="C5570" s="72"/>
      <c r="G5570" s="77"/>
      <c r="H5570" s="77"/>
    </row>
    <row r="5571">
      <c r="C5571" s="72"/>
      <c r="G5571" s="77"/>
      <c r="H5571" s="77"/>
    </row>
    <row r="5572">
      <c r="C5572" s="72"/>
      <c r="G5572" s="77"/>
      <c r="H5572" s="77"/>
    </row>
    <row r="5573">
      <c r="C5573" s="72"/>
      <c r="G5573" s="77"/>
      <c r="H5573" s="77"/>
    </row>
    <row r="5574">
      <c r="C5574" s="72"/>
      <c r="G5574" s="77"/>
      <c r="H5574" s="77"/>
    </row>
    <row r="5575">
      <c r="C5575" s="72"/>
      <c r="G5575" s="77"/>
      <c r="H5575" s="77"/>
    </row>
    <row r="5576">
      <c r="C5576" s="72"/>
      <c r="G5576" s="77"/>
      <c r="H5576" s="77"/>
    </row>
    <row r="5577">
      <c r="C5577" s="72"/>
      <c r="G5577" s="77"/>
      <c r="H5577" s="77"/>
    </row>
    <row r="5578">
      <c r="C5578" s="72"/>
      <c r="G5578" s="77"/>
      <c r="H5578" s="77"/>
    </row>
    <row r="5579">
      <c r="C5579" s="72"/>
      <c r="G5579" s="77"/>
      <c r="H5579" s="77"/>
    </row>
    <row r="5580">
      <c r="C5580" s="72"/>
      <c r="G5580" s="77"/>
      <c r="H5580" s="77"/>
    </row>
    <row r="5581">
      <c r="C5581" s="72"/>
      <c r="G5581" s="77"/>
      <c r="H5581" s="77"/>
    </row>
    <row r="5582">
      <c r="C5582" s="72"/>
      <c r="G5582" s="77"/>
      <c r="H5582" s="77"/>
    </row>
    <row r="5583">
      <c r="C5583" s="72"/>
      <c r="G5583" s="77"/>
      <c r="H5583" s="77"/>
    </row>
    <row r="5584">
      <c r="C5584" s="72"/>
      <c r="G5584" s="77"/>
      <c r="H5584" s="77"/>
    </row>
    <row r="5585">
      <c r="C5585" s="72"/>
      <c r="G5585" s="77"/>
      <c r="H5585" s="77"/>
    </row>
    <row r="5586">
      <c r="C5586" s="72"/>
      <c r="G5586" s="77"/>
      <c r="H5586" s="77"/>
    </row>
    <row r="5587">
      <c r="C5587" s="72"/>
      <c r="G5587" s="77"/>
      <c r="H5587" s="77"/>
    </row>
    <row r="5588">
      <c r="C5588" s="72"/>
      <c r="G5588" s="77"/>
      <c r="H5588" s="77"/>
    </row>
    <row r="5589">
      <c r="C5589" s="72"/>
      <c r="G5589" s="77"/>
      <c r="H5589" s="77"/>
    </row>
    <row r="5590">
      <c r="C5590" s="72"/>
      <c r="G5590" s="77"/>
      <c r="H5590" s="77"/>
    </row>
    <row r="5591">
      <c r="C5591" s="72"/>
      <c r="G5591" s="77"/>
      <c r="H5591" s="77"/>
    </row>
    <row r="5592">
      <c r="C5592" s="72"/>
      <c r="G5592" s="77"/>
      <c r="H5592" s="77"/>
    </row>
    <row r="5593">
      <c r="C5593" s="72"/>
      <c r="G5593" s="77"/>
      <c r="H5593" s="77"/>
    </row>
    <row r="5594">
      <c r="C5594" s="72"/>
      <c r="G5594" s="77"/>
      <c r="H5594" s="77"/>
    </row>
    <row r="5595">
      <c r="C5595" s="72"/>
      <c r="G5595" s="77"/>
      <c r="H5595" s="77"/>
    </row>
    <row r="5596">
      <c r="C5596" s="72"/>
      <c r="G5596" s="77"/>
      <c r="H5596" s="77"/>
    </row>
    <row r="5597">
      <c r="C5597" s="72"/>
      <c r="G5597" s="77"/>
      <c r="H5597" s="77"/>
    </row>
    <row r="5598">
      <c r="C5598" s="72"/>
      <c r="G5598" s="77"/>
      <c r="H5598" s="77"/>
    </row>
    <row r="5599">
      <c r="C5599" s="72"/>
      <c r="G5599" s="77"/>
      <c r="H5599" s="77"/>
    </row>
    <row r="5600">
      <c r="C5600" s="72"/>
      <c r="G5600" s="77"/>
      <c r="H5600" s="77"/>
    </row>
    <row r="5601">
      <c r="C5601" s="72"/>
      <c r="G5601" s="77"/>
      <c r="H5601" s="77"/>
    </row>
    <row r="5602">
      <c r="C5602" s="72"/>
      <c r="G5602" s="77"/>
      <c r="H5602" s="77"/>
    </row>
    <row r="5603">
      <c r="C5603" s="72"/>
      <c r="G5603" s="77"/>
      <c r="H5603" s="77"/>
    </row>
    <row r="5604">
      <c r="C5604" s="72"/>
      <c r="G5604" s="77"/>
      <c r="H5604" s="77"/>
    </row>
    <row r="5605">
      <c r="C5605" s="72"/>
      <c r="G5605" s="77"/>
      <c r="H5605" s="77"/>
    </row>
    <row r="5606">
      <c r="C5606" s="72"/>
      <c r="G5606" s="77"/>
      <c r="H5606" s="77"/>
    </row>
    <row r="5607">
      <c r="C5607" s="72"/>
      <c r="G5607" s="77"/>
      <c r="H5607" s="77"/>
    </row>
    <row r="5608">
      <c r="C5608" s="72"/>
      <c r="G5608" s="77"/>
      <c r="H5608" s="77"/>
    </row>
    <row r="5609">
      <c r="C5609" s="72"/>
      <c r="G5609" s="77"/>
      <c r="H5609" s="77"/>
    </row>
    <row r="5610">
      <c r="C5610" s="72"/>
      <c r="G5610" s="77"/>
      <c r="H5610" s="77"/>
    </row>
    <row r="5611">
      <c r="C5611" s="72"/>
      <c r="G5611" s="77"/>
      <c r="H5611" s="77"/>
    </row>
    <row r="5612">
      <c r="C5612" s="72"/>
      <c r="G5612" s="77"/>
      <c r="H5612" s="77"/>
    </row>
    <row r="5613">
      <c r="C5613" s="72"/>
      <c r="G5613" s="77"/>
      <c r="H5613" s="77"/>
    </row>
    <row r="5614">
      <c r="C5614" s="72"/>
      <c r="G5614" s="77"/>
      <c r="H5614" s="77"/>
    </row>
    <row r="5615">
      <c r="C5615" s="72"/>
      <c r="G5615" s="77"/>
      <c r="H5615" s="77"/>
    </row>
    <row r="5616">
      <c r="C5616" s="72"/>
      <c r="G5616" s="77"/>
      <c r="H5616" s="77"/>
    </row>
    <row r="5617">
      <c r="C5617" s="72"/>
      <c r="G5617" s="77"/>
      <c r="H5617" s="77"/>
    </row>
    <row r="5618">
      <c r="C5618" s="72"/>
      <c r="G5618" s="77"/>
      <c r="H5618" s="77"/>
    </row>
    <row r="5619">
      <c r="C5619" s="72"/>
      <c r="G5619" s="77"/>
      <c r="H5619" s="77"/>
    </row>
    <row r="5620">
      <c r="C5620" s="72"/>
      <c r="G5620" s="77"/>
      <c r="H5620" s="77"/>
    </row>
    <row r="5621">
      <c r="C5621" s="72"/>
      <c r="G5621" s="77"/>
      <c r="H5621" s="77"/>
    </row>
    <row r="5622">
      <c r="C5622" s="72"/>
      <c r="G5622" s="77"/>
      <c r="H5622" s="77"/>
    </row>
    <row r="5623">
      <c r="C5623" s="72"/>
      <c r="G5623" s="77"/>
      <c r="H5623" s="77"/>
    </row>
    <row r="5624">
      <c r="C5624" s="72"/>
      <c r="G5624" s="77"/>
      <c r="H5624" s="77"/>
    </row>
    <row r="5625">
      <c r="C5625" s="72"/>
      <c r="G5625" s="77"/>
      <c r="H5625" s="77"/>
    </row>
    <row r="5626">
      <c r="C5626" s="72"/>
      <c r="G5626" s="77"/>
      <c r="H5626" s="77"/>
    </row>
    <row r="5627">
      <c r="C5627" s="72"/>
      <c r="G5627" s="77"/>
      <c r="H5627" s="77"/>
    </row>
    <row r="5628">
      <c r="C5628" s="72"/>
      <c r="G5628" s="77"/>
      <c r="H5628" s="77"/>
    </row>
    <row r="5629">
      <c r="C5629" s="72"/>
      <c r="G5629" s="77"/>
      <c r="H5629" s="77"/>
    </row>
    <row r="5630">
      <c r="C5630" s="72"/>
      <c r="G5630" s="77"/>
      <c r="H5630" s="77"/>
    </row>
    <row r="5631">
      <c r="C5631" s="72"/>
      <c r="G5631" s="77"/>
      <c r="H5631" s="77"/>
    </row>
    <row r="5632">
      <c r="C5632" s="72"/>
      <c r="G5632" s="77"/>
      <c r="H5632" s="77"/>
    </row>
    <row r="5633">
      <c r="C5633" s="72"/>
      <c r="G5633" s="77"/>
      <c r="H5633" s="77"/>
    </row>
    <row r="5634">
      <c r="C5634" s="72"/>
      <c r="G5634" s="77"/>
      <c r="H5634" s="77"/>
    </row>
    <row r="5635">
      <c r="C5635" s="72"/>
      <c r="G5635" s="77"/>
      <c r="H5635" s="77"/>
    </row>
    <row r="5636">
      <c r="C5636" s="72"/>
      <c r="G5636" s="77"/>
      <c r="H5636" s="77"/>
    </row>
    <row r="5637">
      <c r="C5637" s="72"/>
      <c r="G5637" s="77"/>
      <c r="H5637" s="77"/>
    </row>
    <row r="5638">
      <c r="C5638" s="72"/>
      <c r="G5638" s="77"/>
      <c r="H5638" s="77"/>
    </row>
    <row r="5639">
      <c r="C5639" s="72"/>
      <c r="G5639" s="77"/>
      <c r="H5639" s="77"/>
    </row>
    <row r="5640">
      <c r="C5640" s="72"/>
      <c r="G5640" s="77"/>
      <c r="H5640" s="77"/>
    </row>
    <row r="5641">
      <c r="C5641" s="72"/>
      <c r="G5641" s="77"/>
      <c r="H5641" s="77"/>
    </row>
    <row r="5642">
      <c r="C5642" s="72"/>
      <c r="G5642" s="77"/>
      <c r="H5642" s="77"/>
    </row>
    <row r="5643">
      <c r="C5643" s="72"/>
      <c r="G5643" s="77"/>
      <c r="H5643" s="77"/>
    </row>
    <row r="5644">
      <c r="C5644" s="72"/>
      <c r="G5644" s="77"/>
      <c r="H5644" s="77"/>
    </row>
    <row r="5645">
      <c r="C5645" s="72"/>
      <c r="G5645" s="77"/>
      <c r="H5645" s="77"/>
    </row>
    <row r="5646">
      <c r="C5646" s="72"/>
      <c r="G5646" s="77"/>
      <c r="H5646" s="77"/>
    </row>
    <row r="5647">
      <c r="C5647" s="72"/>
      <c r="G5647" s="77"/>
      <c r="H5647" s="77"/>
    </row>
    <row r="5648">
      <c r="C5648" s="72"/>
      <c r="G5648" s="77"/>
      <c r="H5648" s="77"/>
    </row>
    <row r="5649">
      <c r="C5649" s="72"/>
      <c r="G5649" s="77"/>
      <c r="H5649" s="77"/>
    </row>
    <row r="5650">
      <c r="C5650" s="72"/>
      <c r="G5650" s="77"/>
      <c r="H5650" s="77"/>
    </row>
    <row r="5651">
      <c r="C5651" s="72"/>
      <c r="G5651" s="77"/>
      <c r="H5651" s="77"/>
    </row>
    <row r="5652">
      <c r="C5652" s="72"/>
      <c r="G5652" s="77"/>
      <c r="H5652" s="77"/>
    </row>
    <row r="5653">
      <c r="C5653" s="72"/>
      <c r="G5653" s="77"/>
      <c r="H5653" s="77"/>
    </row>
    <row r="5654">
      <c r="C5654" s="72"/>
      <c r="G5654" s="77"/>
      <c r="H5654" s="77"/>
    </row>
    <row r="5655">
      <c r="C5655" s="72"/>
      <c r="G5655" s="77"/>
      <c r="H5655" s="77"/>
    </row>
    <row r="5656">
      <c r="C5656" s="72"/>
      <c r="G5656" s="77"/>
      <c r="H5656" s="77"/>
    </row>
    <row r="5657">
      <c r="C5657" s="72"/>
      <c r="G5657" s="77"/>
      <c r="H5657" s="77"/>
    </row>
    <row r="5658">
      <c r="C5658" s="72"/>
      <c r="G5658" s="77"/>
      <c r="H5658" s="77"/>
    </row>
    <row r="5659">
      <c r="C5659" s="72"/>
      <c r="G5659" s="77"/>
      <c r="H5659" s="77"/>
    </row>
    <row r="5660">
      <c r="C5660" s="72"/>
      <c r="G5660" s="77"/>
      <c r="H5660" s="77"/>
    </row>
    <row r="5661">
      <c r="C5661" s="72"/>
      <c r="G5661" s="77"/>
      <c r="H5661" s="77"/>
    </row>
    <row r="5662">
      <c r="C5662" s="72"/>
      <c r="G5662" s="77"/>
      <c r="H5662" s="77"/>
    </row>
    <row r="5663">
      <c r="C5663" s="72"/>
      <c r="G5663" s="77"/>
      <c r="H5663" s="77"/>
    </row>
    <row r="5664">
      <c r="C5664" s="72"/>
      <c r="G5664" s="77"/>
      <c r="H5664" s="77"/>
    </row>
    <row r="5665">
      <c r="C5665" s="72"/>
      <c r="G5665" s="77"/>
      <c r="H5665" s="77"/>
    </row>
    <row r="5666">
      <c r="C5666" s="72"/>
      <c r="G5666" s="77"/>
      <c r="H5666" s="77"/>
    </row>
    <row r="5667">
      <c r="C5667" s="72"/>
      <c r="G5667" s="77"/>
      <c r="H5667" s="77"/>
    </row>
    <row r="5668">
      <c r="C5668" s="72"/>
      <c r="G5668" s="77"/>
      <c r="H5668" s="77"/>
    </row>
    <row r="5669">
      <c r="C5669" s="72"/>
      <c r="G5669" s="77"/>
      <c r="H5669" s="77"/>
    </row>
    <row r="5670">
      <c r="C5670" s="72"/>
      <c r="G5670" s="77"/>
      <c r="H5670" s="77"/>
    </row>
    <row r="5671">
      <c r="C5671" s="72"/>
      <c r="G5671" s="77"/>
      <c r="H5671" s="77"/>
    </row>
    <row r="5672">
      <c r="C5672" s="72"/>
      <c r="G5672" s="77"/>
      <c r="H5672" s="77"/>
    </row>
    <row r="5673">
      <c r="C5673" s="72"/>
      <c r="G5673" s="77"/>
      <c r="H5673" s="77"/>
    </row>
    <row r="5674">
      <c r="C5674" s="72"/>
      <c r="G5674" s="77"/>
      <c r="H5674" s="77"/>
    </row>
    <row r="5675">
      <c r="C5675" s="72"/>
      <c r="G5675" s="77"/>
      <c r="H5675" s="77"/>
    </row>
    <row r="5676">
      <c r="C5676" s="72"/>
      <c r="G5676" s="77"/>
      <c r="H5676" s="77"/>
    </row>
    <row r="5677">
      <c r="C5677" s="72"/>
      <c r="G5677" s="77"/>
      <c r="H5677" s="77"/>
    </row>
    <row r="5678">
      <c r="C5678" s="72"/>
      <c r="G5678" s="77"/>
      <c r="H5678" s="77"/>
    </row>
    <row r="5679">
      <c r="C5679" s="72"/>
      <c r="G5679" s="77"/>
      <c r="H5679" s="77"/>
    </row>
    <row r="5680">
      <c r="C5680" s="72"/>
      <c r="G5680" s="77"/>
      <c r="H5680" s="77"/>
    </row>
    <row r="5681">
      <c r="C5681" s="72"/>
      <c r="G5681" s="77"/>
      <c r="H5681" s="77"/>
    </row>
    <row r="5682">
      <c r="C5682" s="72"/>
      <c r="G5682" s="77"/>
      <c r="H5682" s="77"/>
    </row>
    <row r="5683">
      <c r="C5683" s="72"/>
      <c r="G5683" s="77"/>
      <c r="H5683" s="77"/>
    </row>
    <row r="5684">
      <c r="C5684" s="72"/>
      <c r="G5684" s="77"/>
      <c r="H5684" s="77"/>
    </row>
    <row r="5685">
      <c r="C5685" s="72"/>
      <c r="G5685" s="77"/>
      <c r="H5685" s="77"/>
    </row>
    <row r="5686">
      <c r="C5686" s="72"/>
      <c r="G5686" s="77"/>
      <c r="H5686" s="77"/>
    </row>
    <row r="5687">
      <c r="C5687" s="72"/>
      <c r="G5687" s="77"/>
      <c r="H5687" s="77"/>
    </row>
    <row r="5688">
      <c r="C5688" s="72"/>
      <c r="G5688" s="77"/>
      <c r="H5688" s="77"/>
    </row>
    <row r="5689">
      <c r="C5689" s="72"/>
      <c r="G5689" s="77"/>
      <c r="H5689" s="77"/>
    </row>
    <row r="5690">
      <c r="C5690" s="72"/>
      <c r="G5690" s="77"/>
      <c r="H5690" s="77"/>
    </row>
    <row r="5691">
      <c r="C5691" s="72"/>
      <c r="G5691" s="77"/>
      <c r="H5691" s="77"/>
    </row>
    <row r="5692">
      <c r="C5692" s="72"/>
      <c r="G5692" s="77"/>
      <c r="H5692" s="77"/>
    </row>
    <row r="5693">
      <c r="C5693" s="72"/>
      <c r="G5693" s="77"/>
      <c r="H5693" s="77"/>
    </row>
    <row r="5694">
      <c r="C5694" s="72"/>
      <c r="G5694" s="77"/>
      <c r="H5694" s="77"/>
    </row>
    <row r="5695">
      <c r="C5695" s="72"/>
      <c r="G5695" s="77"/>
      <c r="H5695" s="77"/>
    </row>
    <row r="5696">
      <c r="C5696" s="72"/>
      <c r="G5696" s="77"/>
      <c r="H5696" s="77"/>
    </row>
    <row r="5697">
      <c r="C5697" s="72"/>
      <c r="G5697" s="77"/>
      <c r="H5697" s="77"/>
    </row>
    <row r="5698">
      <c r="C5698" s="72"/>
      <c r="G5698" s="77"/>
      <c r="H5698" s="77"/>
    </row>
    <row r="5699">
      <c r="C5699" s="72"/>
      <c r="G5699" s="77"/>
      <c r="H5699" s="77"/>
    </row>
    <row r="5700">
      <c r="C5700" s="72"/>
      <c r="G5700" s="77"/>
      <c r="H5700" s="77"/>
    </row>
    <row r="5701">
      <c r="C5701" s="72"/>
      <c r="G5701" s="77"/>
      <c r="H5701" s="77"/>
    </row>
    <row r="5702">
      <c r="C5702" s="72"/>
      <c r="G5702" s="77"/>
      <c r="H5702" s="77"/>
    </row>
    <row r="5703">
      <c r="C5703" s="72"/>
      <c r="G5703" s="77"/>
      <c r="H5703" s="77"/>
    </row>
    <row r="5704">
      <c r="C5704" s="72"/>
      <c r="G5704" s="77"/>
      <c r="H5704" s="77"/>
    </row>
    <row r="5705">
      <c r="C5705" s="72"/>
      <c r="G5705" s="77"/>
      <c r="H5705" s="77"/>
    </row>
    <row r="5706">
      <c r="C5706" s="72"/>
      <c r="G5706" s="77"/>
      <c r="H5706" s="77"/>
    </row>
    <row r="5707">
      <c r="C5707" s="72"/>
      <c r="G5707" s="77"/>
      <c r="H5707" s="77"/>
    </row>
    <row r="5708">
      <c r="C5708" s="72"/>
      <c r="G5708" s="77"/>
      <c r="H5708" s="77"/>
    </row>
    <row r="5709">
      <c r="C5709" s="72"/>
      <c r="G5709" s="77"/>
      <c r="H5709" s="77"/>
    </row>
    <row r="5710">
      <c r="C5710" s="72"/>
      <c r="G5710" s="77"/>
      <c r="H5710" s="77"/>
    </row>
    <row r="5711">
      <c r="C5711" s="72"/>
      <c r="G5711" s="77"/>
      <c r="H5711" s="77"/>
    </row>
    <row r="5712">
      <c r="C5712" s="72"/>
      <c r="G5712" s="77"/>
      <c r="H5712" s="77"/>
    </row>
    <row r="5713">
      <c r="C5713" s="72"/>
      <c r="G5713" s="77"/>
      <c r="H5713" s="77"/>
    </row>
    <row r="5714">
      <c r="C5714" s="72"/>
      <c r="G5714" s="77"/>
      <c r="H5714" s="77"/>
    </row>
    <row r="5715">
      <c r="C5715" s="72"/>
      <c r="G5715" s="77"/>
      <c r="H5715" s="77"/>
    </row>
    <row r="5716">
      <c r="C5716" s="72"/>
      <c r="G5716" s="77"/>
      <c r="H5716" s="77"/>
    </row>
    <row r="5717">
      <c r="C5717" s="72"/>
      <c r="G5717" s="77"/>
      <c r="H5717" s="77"/>
    </row>
    <row r="5718">
      <c r="C5718" s="72"/>
      <c r="G5718" s="77"/>
      <c r="H5718" s="77"/>
    </row>
    <row r="5719">
      <c r="C5719" s="72"/>
      <c r="G5719" s="77"/>
      <c r="H5719" s="77"/>
    </row>
    <row r="5720">
      <c r="C5720" s="72"/>
      <c r="G5720" s="77"/>
      <c r="H5720" s="77"/>
    </row>
    <row r="5721">
      <c r="C5721" s="72"/>
      <c r="G5721" s="77"/>
      <c r="H5721" s="77"/>
    </row>
    <row r="5722">
      <c r="C5722" s="72"/>
      <c r="G5722" s="77"/>
      <c r="H5722" s="77"/>
    </row>
    <row r="5723">
      <c r="C5723" s="72"/>
      <c r="G5723" s="77"/>
      <c r="H5723" s="77"/>
    </row>
    <row r="5724">
      <c r="C5724" s="72"/>
      <c r="G5724" s="77"/>
      <c r="H5724" s="77"/>
    </row>
    <row r="5725">
      <c r="C5725" s="72"/>
      <c r="G5725" s="77"/>
      <c r="H5725" s="77"/>
    </row>
    <row r="5726">
      <c r="C5726" s="72"/>
      <c r="G5726" s="77"/>
      <c r="H5726" s="77"/>
    </row>
    <row r="5727">
      <c r="C5727" s="72"/>
      <c r="G5727" s="77"/>
      <c r="H5727" s="77"/>
    </row>
    <row r="5728">
      <c r="C5728" s="72"/>
      <c r="G5728" s="77"/>
      <c r="H5728" s="77"/>
    </row>
    <row r="5729">
      <c r="C5729" s="72"/>
      <c r="G5729" s="77"/>
      <c r="H5729" s="77"/>
    </row>
    <row r="5730">
      <c r="C5730" s="72"/>
      <c r="G5730" s="77"/>
      <c r="H5730" s="77"/>
    </row>
    <row r="5731">
      <c r="C5731" s="72"/>
      <c r="G5731" s="77"/>
      <c r="H5731" s="77"/>
    </row>
    <row r="5732">
      <c r="C5732" s="72"/>
      <c r="G5732" s="77"/>
      <c r="H5732" s="77"/>
    </row>
    <row r="5733">
      <c r="C5733" s="72"/>
      <c r="G5733" s="77"/>
      <c r="H5733" s="77"/>
    </row>
    <row r="5734">
      <c r="C5734" s="72"/>
      <c r="G5734" s="77"/>
      <c r="H5734" s="77"/>
    </row>
    <row r="5735">
      <c r="C5735" s="72"/>
      <c r="G5735" s="77"/>
      <c r="H5735" s="77"/>
    </row>
    <row r="5736">
      <c r="C5736" s="72"/>
      <c r="G5736" s="77"/>
      <c r="H5736" s="77"/>
    </row>
    <row r="5737">
      <c r="C5737" s="72"/>
      <c r="G5737" s="77"/>
      <c r="H5737" s="77"/>
    </row>
    <row r="5738">
      <c r="C5738" s="72"/>
      <c r="G5738" s="77"/>
      <c r="H5738" s="77"/>
    </row>
    <row r="5739">
      <c r="C5739" s="72"/>
      <c r="G5739" s="77"/>
      <c r="H5739" s="77"/>
    </row>
    <row r="5740">
      <c r="C5740" s="72"/>
      <c r="G5740" s="77"/>
      <c r="H5740" s="77"/>
    </row>
    <row r="5741">
      <c r="C5741" s="72"/>
      <c r="G5741" s="77"/>
      <c r="H5741" s="77"/>
    </row>
    <row r="5742">
      <c r="C5742" s="72"/>
      <c r="G5742" s="77"/>
      <c r="H5742" s="77"/>
    </row>
    <row r="5743">
      <c r="C5743" s="72"/>
      <c r="G5743" s="77"/>
      <c r="H5743" s="77"/>
    </row>
    <row r="5744">
      <c r="C5744" s="72"/>
      <c r="G5744" s="77"/>
      <c r="H5744" s="77"/>
    </row>
    <row r="5745">
      <c r="C5745" s="72"/>
      <c r="G5745" s="77"/>
      <c r="H5745" s="77"/>
    </row>
    <row r="5746">
      <c r="C5746" s="72"/>
      <c r="G5746" s="77"/>
      <c r="H5746" s="77"/>
    </row>
    <row r="5747">
      <c r="C5747" s="72"/>
      <c r="G5747" s="77"/>
      <c r="H5747" s="77"/>
    </row>
    <row r="5748">
      <c r="C5748" s="72"/>
      <c r="G5748" s="77"/>
      <c r="H5748" s="77"/>
    </row>
    <row r="5749">
      <c r="C5749" s="72"/>
      <c r="G5749" s="77"/>
      <c r="H5749" s="77"/>
    </row>
    <row r="5750">
      <c r="C5750" s="72"/>
      <c r="G5750" s="77"/>
      <c r="H5750" s="77"/>
    </row>
    <row r="5751">
      <c r="C5751" s="72"/>
      <c r="G5751" s="77"/>
      <c r="H5751" s="77"/>
    </row>
    <row r="5752">
      <c r="C5752" s="72"/>
      <c r="G5752" s="77"/>
      <c r="H5752" s="77"/>
    </row>
    <row r="5753">
      <c r="C5753" s="72"/>
      <c r="G5753" s="77"/>
      <c r="H5753" s="77"/>
    </row>
    <row r="5754">
      <c r="C5754" s="72"/>
      <c r="G5754" s="77"/>
      <c r="H5754" s="77"/>
    </row>
    <row r="5755">
      <c r="C5755" s="72"/>
      <c r="G5755" s="77"/>
      <c r="H5755" s="77"/>
    </row>
    <row r="5756">
      <c r="C5756" s="72"/>
      <c r="G5756" s="77"/>
      <c r="H5756" s="77"/>
    </row>
    <row r="5757">
      <c r="C5757" s="72"/>
      <c r="G5757" s="77"/>
      <c r="H5757" s="77"/>
    </row>
    <row r="5758">
      <c r="C5758" s="72"/>
      <c r="G5758" s="77"/>
      <c r="H5758" s="77"/>
    </row>
    <row r="5759">
      <c r="C5759" s="72"/>
      <c r="G5759" s="77"/>
      <c r="H5759" s="77"/>
    </row>
    <row r="5760">
      <c r="C5760" s="72"/>
      <c r="G5760" s="77"/>
      <c r="H5760" s="77"/>
    </row>
    <row r="5761">
      <c r="C5761" s="72"/>
      <c r="G5761" s="77"/>
      <c r="H5761" s="77"/>
    </row>
    <row r="5762">
      <c r="C5762" s="72"/>
      <c r="G5762" s="77"/>
      <c r="H5762" s="77"/>
    </row>
    <row r="5763">
      <c r="C5763" s="72"/>
      <c r="G5763" s="77"/>
      <c r="H5763" s="77"/>
    </row>
    <row r="5764">
      <c r="C5764" s="72"/>
      <c r="G5764" s="77"/>
      <c r="H5764" s="77"/>
    </row>
    <row r="5765">
      <c r="C5765" s="72"/>
      <c r="G5765" s="77"/>
      <c r="H5765" s="77"/>
    </row>
    <row r="5766">
      <c r="C5766" s="72"/>
      <c r="G5766" s="77"/>
      <c r="H5766" s="77"/>
    </row>
    <row r="5767">
      <c r="C5767" s="72"/>
      <c r="G5767" s="77"/>
      <c r="H5767" s="77"/>
    </row>
    <row r="5768">
      <c r="C5768" s="72"/>
      <c r="G5768" s="77"/>
      <c r="H5768" s="77"/>
    </row>
    <row r="5769">
      <c r="C5769" s="72"/>
      <c r="G5769" s="77"/>
      <c r="H5769" s="77"/>
    </row>
    <row r="5770">
      <c r="C5770" s="72"/>
      <c r="G5770" s="77"/>
      <c r="H5770" s="77"/>
    </row>
    <row r="5771">
      <c r="C5771" s="72"/>
      <c r="G5771" s="77"/>
      <c r="H5771" s="77"/>
    </row>
    <row r="5772">
      <c r="C5772" s="72"/>
      <c r="G5772" s="77"/>
      <c r="H5772" s="77"/>
    </row>
    <row r="5773">
      <c r="C5773" s="72"/>
      <c r="G5773" s="77"/>
      <c r="H5773" s="77"/>
    </row>
    <row r="5774">
      <c r="C5774" s="72"/>
      <c r="G5774" s="77"/>
      <c r="H5774" s="77"/>
    </row>
    <row r="5775">
      <c r="C5775" s="72"/>
      <c r="G5775" s="77"/>
      <c r="H5775" s="77"/>
    </row>
    <row r="5776">
      <c r="C5776" s="72"/>
      <c r="G5776" s="77"/>
      <c r="H5776" s="77"/>
    </row>
    <row r="5777">
      <c r="C5777" s="72"/>
      <c r="G5777" s="77"/>
      <c r="H5777" s="77"/>
    </row>
    <row r="5778">
      <c r="C5778" s="72"/>
      <c r="G5778" s="77"/>
      <c r="H5778" s="77"/>
    </row>
    <row r="5779">
      <c r="C5779" s="72"/>
      <c r="G5779" s="77"/>
      <c r="H5779" s="77"/>
    </row>
    <row r="5780">
      <c r="C5780" s="72"/>
      <c r="G5780" s="77"/>
      <c r="H5780" s="77"/>
    </row>
    <row r="5781">
      <c r="C5781" s="72"/>
      <c r="G5781" s="77"/>
      <c r="H5781" s="77"/>
    </row>
    <row r="5782">
      <c r="C5782" s="72"/>
      <c r="G5782" s="77"/>
      <c r="H5782" s="77"/>
    </row>
    <row r="5783">
      <c r="C5783" s="72"/>
      <c r="G5783" s="77"/>
      <c r="H5783" s="77"/>
    </row>
    <row r="5784">
      <c r="C5784" s="72"/>
      <c r="G5784" s="77"/>
      <c r="H5784" s="77"/>
    </row>
    <row r="5785">
      <c r="C5785" s="72"/>
      <c r="G5785" s="77"/>
      <c r="H5785" s="77"/>
    </row>
    <row r="5786">
      <c r="C5786" s="72"/>
      <c r="G5786" s="77"/>
      <c r="H5786" s="77"/>
    </row>
    <row r="5787">
      <c r="C5787" s="72"/>
      <c r="G5787" s="77"/>
      <c r="H5787" s="77"/>
    </row>
    <row r="5788">
      <c r="C5788" s="72"/>
      <c r="G5788" s="77"/>
      <c r="H5788" s="77"/>
    </row>
    <row r="5789">
      <c r="C5789" s="72"/>
      <c r="G5789" s="77"/>
      <c r="H5789" s="77"/>
    </row>
    <row r="5790">
      <c r="C5790" s="72"/>
      <c r="G5790" s="77"/>
      <c r="H5790" s="77"/>
    </row>
    <row r="5791">
      <c r="C5791" s="72"/>
      <c r="G5791" s="77"/>
      <c r="H5791" s="77"/>
    </row>
    <row r="5792">
      <c r="C5792" s="72"/>
      <c r="G5792" s="77"/>
      <c r="H5792" s="77"/>
    </row>
    <row r="5793">
      <c r="C5793" s="72"/>
      <c r="G5793" s="77"/>
      <c r="H5793" s="77"/>
    </row>
    <row r="5794">
      <c r="C5794" s="72"/>
      <c r="G5794" s="77"/>
      <c r="H5794" s="77"/>
    </row>
    <row r="5795">
      <c r="C5795" s="72"/>
      <c r="G5795" s="77"/>
      <c r="H5795" s="77"/>
    </row>
    <row r="5796">
      <c r="C5796" s="72"/>
      <c r="G5796" s="77"/>
      <c r="H5796" s="77"/>
    </row>
    <row r="5797">
      <c r="C5797" s="72"/>
      <c r="G5797" s="77"/>
      <c r="H5797" s="77"/>
    </row>
    <row r="5798">
      <c r="C5798" s="72"/>
      <c r="G5798" s="77"/>
      <c r="H5798" s="77"/>
    </row>
    <row r="5799">
      <c r="C5799" s="72"/>
      <c r="G5799" s="77"/>
      <c r="H5799" s="77"/>
    </row>
    <row r="5800">
      <c r="C5800" s="72"/>
      <c r="G5800" s="77"/>
      <c r="H5800" s="77"/>
    </row>
    <row r="5801">
      <c r="C5801" s="72"/>
      <c r="G5801" s="77"/>
      <c r="H5801" s="77"/>
    </row>
    <row r="5802">
      <c r="C5802" s="72"/>
      <c r="G5802" s="77"/>
      <c r="H5802" s="77"/>
    </row>
    <row r="5803">
      <c r="C5803" s="72"/>
      <c r="G5803" s="77"/>
      <c r="H5803" s="77"/>
    </row>
    <row r="5804">
      <c r="C5804" s="72"/>
      <c r="G5804" s="77"/>
      <c r="H5804" s="77"/>
    </row>
    <row r="5805">
      <c r="C5805" s="72"/>
      <c r="G5805" s="77"/>
      <c r="H5805" s="77"/>
    </row>
    <row r="5806">
      <c r="C5806" s="72"/>
      <c r="G5806" s="77"/>
      <c r="H5806" s="77"/>
    </row>
    <row r="5807">
      <c r="C5807" s="72"/>
      <c r="G5807" s="77"/>
      <c r="H5807" s="77"/>
    </row>
    <row r="5808">
      <c r="C5808" s="72"/>
      <c r="G5808" s="77"/>
      <c r="H5808" s="77"/>
    </row>
    <row r="5809">
      <c r="C5809" s="72"/>
      <c r="G5809" s="77"/>
      <c r="H5809" s="77"/>
    </row>
    <row r="5810">
      <c r="C5810" s="72"/>
      <c r="G5810" s="77"/>
      <c r="H5810" s="77"/>
    </row>
    <row r="5811">
      <c r="C5811" s="72"/>
      <c r="G5811" s="77"/>
      <c r="H5811" s="77"/>
    </row>
    <row r="5812">
      <c r="C5812" s="72"/>
      <c r="G5812" s="77"/>
      <c r="H5812" s="77"/>
    </row>
    <row r="5813">
      <c r="C5813" s="72"/>
      <c r="G5813" s="77"/>
      <c r="H5813" s="77"/>
    </row>
    <row r="5814">
      <c r="C5814" s="72"/>
      <c r="G5814" s="77"/>
      <c r="H5814" s="77"/>
    </row>
    <row r="5815">
      <c r="C5815" s="72"/>
      <c r="G5815" s="77"/>
      <c r="H5815" s="77"/>
    </row>
    <row r="5816">
      <c r="C5816" s="72"/>
      <c r="G5816" s="77"/>
      <c r="H5816" s="77"/>
    </row>
    <row r="5817">
      <c r="C5817" s="72"/>
      <c r="G5817" s="77"/>
      <c r="H5817" s="77"/>
    </row>
    <row r="5818">
      <c r="C5818" s="72"/>
      <c r="G5818" s="77"/>
      <c r="H5818" s="77"/>
    </row>
    <row r="5819">
      <c r="C5819" s="72"/>
      <c r="G5819" s="77"/>
      <c r="H5819" s="77"/>
    </row>
    <row r="5820">
      <c r="C5820" s="72"/>
      <c r="G5820" s="77"/>
      <c r="H5820" s="77"/>
    </row>
    <row r="5821">
      <c r="C5821" s="72"/>
      <c r="G5821" s="77"/>
      <c r="H5821" s="77"/>
    </row>
    <row r="5822">
      <c r="C5822" s="72"/>
      <c r="G5822" s="77"/>
      <c r="H5822" s="77"/>
    </row>
    <row r="5823">
      <c r="C5823" s="72"/>
      <c r="G5823" s="77"/>
      <c r="H5823" s="77"/>
    </row>
    <row r="5824">
      <c r="C5824" s="72"/>
      <c r="G5824" s="77"/>
      <c r="H5824" s="77"/>
    </row>
    <row r="5825">
      <c r="C5825" s="72"/>
      <c r="G5825" s="77"/>
      <c r="H5825" s="77"/>
    </row>
    <row r="5826">
      <c r="C5826" s="72"/>
      <c r="G5826" s="77"/>
      <c r="H5826" s="77"/>
    </row>
    <row r="5827">
      <c r="C5827" s="72"/>
      <c r="G5827" s="77"/>
      <c r="H5827" s="77"/>
    </row>
    <row r="5828">
      <c r="C5828" s="72"/>
      <c r="G5828" s="77"/>
      <c r="H5828" s="77"/>
    </row>
    <row r="5829">
      <c r="C5829" s="72"/>
      <c r="G5829" s="77"/>
      <c r="H5829" s="77"/>
    </row>
    <row r="5830">
      <c r="C5830" s="72"/>
      <c r="G5830" s="77"/>
      <c r="H5830" s="77"/>
    </row>
    <row r="5831">
      <c r="C5831" s="72"/>
      <c r="G5831" s="77"/>
      <c r="H5831" s="77"/>
    </row>
    <row r="5832">
      <c r="C5832" s="72"/>
      <c r="G5832" s="77"/>
      <c r="H5832" s="77"/>
    </row>
    <row r="5833">
      <c r="C5833" s="72"/>
      <c r="G5833" s="77"/>
      <c r="H5833" s="77"/>
    </row>
    <row r="5834">
      <c r="C5834" s="72"/>
      <c r="G5834" s="77"/>
      <c r="H5834" s="77"/>
    </row>
    <row r="5835">
      <c r="C5835" s="72"/>
      <c r="G5835" s="77"/>
      <c r="H5835" s="77"/>
    </row>
    <row r="5836">
      <c r="C5836" s="72"/>
      <c r="G5836" s="77"/>
      <c r="H5836" s="77"/>
    </row>
    <row r="5837">
      <c r="C5837" s="72"/>
      <c r="G5837" s="77"/>
      <c r="H5837" s="77"/>
    </row>
    <row r="5838">
      <c r="C5838" s="72"/>
      <c r="G5838" s="77"/>
      <c r="H5838" s="77"/>
    </row>
    <row r="5839">
      <c r="C5839" s="72"/>
      <c r="G5839" s="77"/>
      <c r="H5839" s="77"/>
    </row>
    <row r="5840">
      <c r="C5840" s="72"/>
      <c r="G5840" s="77"/>
      <c r="H5840" s="77"/>
    </row>
    <row r="5841">
      <c r="C5841" s="72"/>
      <c r="G5841" s="77"/>
      <c r="H5841" s="77"/>
    </row>
    <row r="5842">
      <c r="C5842" s="72"/>
      <c r="G5842" s="77"/>
      <c r="H5842" s="77"/>
    </row>
    <row r="5843">
      <c r="C5843" s="72"/>
      <c r="G5843" s="77"/>
      <c r="H5843" s="77"/>
    </row>
    <row r="5844">
      <c r="C5844" s="72"/>
      <c r="G5844" s="77"/>
      <c r="H5844" s="77"/>
    </row>
    <row r="5845">
      <c r="C5845" s="72"/>
      <c r="G5845" s="77"/>
      <c r="H5845" s="77"/>
    </row>
    <row r="5846">
      <c r="C5846" s="72"/>
      <c r="G5846" s="77"/>
      <c r="H5846" s="77"/>
    </row>
    <row r="5847">
      <c r="C5847" s="72"/>
      <c r="G5847" s="77"/>
      <c r="H5847" s="77"/>
    </row>
    <row r="5848">
      <c r="C5848" s="72"/>
      <c r="G5848" s="77"/>
      <c r="H5848" s="77"/>
    </row>
    <row r="5849">
      <c r="C5849" s="72"/>
      <c r="G5849" s="77"/>
      <c r="H5849" s="77"/>
    </row>
    <row r="5850">
      <c r="C5850" s="72"/>
      <c r="G5850" s="77"/>
      <c r="H5850" s="77"/>
    </row>
    <row r="5851">
      <c r="C5851" s="72"/>
      <c r="G5851" s="77"/>
      <c r="H5851" s="77"/>
    </row>
    <row r="5852">
      <c r="C5852" s="72"/>
      <c r="G5852" s="77"/>
      <c r="H5852" s="77"/>
    </row>
    <row r="5853">
      <c r="C5853" s="72"/>
      <c r="G5853" s="77"/>
      <c r="H5853" s="77"/>
    </row>
    <row r="5854">
      <c r="C5854" s="72"/>
      <c r="G5854" s="77"/>
      <c r="H5854" s="77"/>
    </row>
    <row r="5855">
      <c r="C5855" s="72"/>
      <c r="G5855" s="77"/>
      <c r="H5855" s="77"/>
    </row>
    <row r="5856">
      <c r="C5856" s="72"/>
      <c r="G5856" s="77"/>
      <c r="H5856" s="77"/>
    </row>
    <row r="5857">
      <c r="C5857" s="72"/>
      <c r="G5857" s="77"/>
      <c r="H5857" s="77"/>
    </row>
    <row r="5858">
      <c r="C5858" s="72"/>
      <c r="G5858" s="77"/>
      <c r="H5858" s="77"/>
    </row>
    <row r="5859">
      <c r="C5859" s="72"/>
      <c r="G5859" s="77"/>
      <c r="H5859" s="77"/>
    </row>
    <row r="5860">
      <c r="C5860" s="72"/>
      <c r="G5860" s="77"/>
      <c r="H5860" s="77"/>
    </row>
    <row r="5861">
      <c r="C5861" s="72"/>
      <c r="G5861" s="77"/>
      <c r="H5861" s="77"/>
    </row>
    <row r="5862">
      <c r="C5862" s="72"/>
      <c r="G5862" s="77"/>
      <c r="H5862" s="77"/>
    </row>
    <row r="5863">
      <c r="C5863" s="72"/>
      <c r="G5863" s="77"/>
      <c r="H5863" s="77"/>
    </row>
    <row r="5864">
      <c r="C5864" s="72"/>
      <c r="G5864" s="77"/>
      <c r="H5864" s="77"/>
    </row>
    <row r="5865">
      <c r="C5865" s="72"/>
      <c r="G5865" s="77"/>
      <c r="H5865" s="77"/>
    </row>
    <row r="5866">
      <c r="C5866" s="72"/>
      <c r="G5866" s="77"/>
      <c r="H5866" s="77"/>
    </row>
    <row r="5867">
      <c r="C5867" s="72"/>
      <c r="G5867" s="77"/>
      <c r="H5867" s="77"/>
    </row>
    <row r="5868">
      <c r="C5868" s="72"/>
      <c r="G5868" s="77"/>
      <c r="H5868" s="77"/>
    </row>
    <row r="5869">
      <c r="C5869" s="72"/>
      <c r="G5869" s="77"/>
      <c r="H5869" s="77"/>
    </row>
    <row r="5870">
      <c r="C5870" s="72"/>
      <c r="G5870" s="77"/>
      <c r="H5870" s="77"/>
    </row>
    <row r="5871">
      <c r="C5871" s="72"/>
      <c r="G5871" s="77"/>
      <c r="H5871" s="77"/>
    </row>
    <row r="5872">
      <c r="C5872" s="72"/>
      <c r="G5872" s="77"/>
      <c r="H5872" s="77"/>
    </row>
    <row r="5873">
      <c r="C5873" s="72"/>
      <c r="G5873" s="77"/>
      <c r="H5873" s="77"/>
    </row>
    <row r="5874">
      <c r="C5874" s="72"/>
      <c r="G5874" s="77"/>
      <c r="H5874" s="77"/>
    </row>
    <row r="5875">
      <c r="C5875" s="72"/>
      <c r="G5875" s="77"/>
      <c r="H5875" s="77"/>
    </row>
    <row r="5876">
      <c r="C5876" s="72"/>
      <c r="G5876" s="77"/>
      <c r="H5876" s="77"/>
    </row>
    <row r="5877">
      <c r="C5877" s="72"/>
      <c r="G5877" s="77"/>
      <c r="H5877" s="77"/>
    </row>
    <row r="5878">
      <c r="C5878" s="72"/>
      <c r="G5878" s="77"/>
      <c r="H5878" s="77"/>
    </row>
    <row r="5879">
      <c r="C5879" s="72"/>
      <c r="G5879" s="77"/>
      <c r="H5879" s="77"/>
    </row>
    <row r="5880">
      <c r="C5880" s="72"/>
      <c r="G5880" s="77"/>
      <c r="H5880" s="77"/>
    </row>
    <row r="5881">
      <c r="C5881" s="72"/>
      <c r="G5881" s="77"/>
      <c r="H5881" s="77"/>
    </row>
    <row r="5882">
      <c r="C5882" s="72"/>
      <c r="G5882" s="77"/>
      <c r="H5882" s="77"/>
    </row>
    <row r="5883">
      <c r="C5883" s="72"/>
      <c r="G5883" s="77"/>
      <c r="H5883" s="77"/>
    </row>
    <row r="5884">
      <c r="C5884" s="72"/>
      <c r="G5884" s="77"/>
      <c r="H5884" s="77"/>
    </row>
    <row r="5885">
      <c r="C5885" s="72"/>
      <c r="G5885" s="77"/>
      <c r="H5885" s="77"/>
    </row>
    <row r="5886">
      <c r="C5886" s="72"/>
      <c r="G5886" s="77"/>
      <c r="H5886" s="77"/>
    </row>
    <row r="5887">
      <c r="C5887" s="72"/>
      <c r="G5887" s="77"/>
      <c r="H5887" s="77"/>
    </row>
    <row r="5888">
      <c r="C5888" s="72"/>
      <c r="G5888" s="77"/>
      <c r="H5888" s="77"/>
    </row>
    <row r="5889">
      <c r="C5889" s="72"/>
      <c r="G5889" s="77"/>
      <c r="H5889" s="77"/>
    </row>
    <row r="5890">
      <c r="C5890" s="72"/>
      <c r="G5890" s="77"/>
      <c r="H5890" s="77"/>
    </row>
    <row r="5891">
      <c r="C5891" s="72"/>
      <c r="G5891" s="77"/>
      <c r="H5891" s="77"/>
    </row>
    <row r="5892">
      <c r="C5892" s="72"/>
      <c r="G5892" s="77"/>
      <c r="H5892" s="77"/>
    </row>
    <row r="5893">
      <c r="C5893" s="72"/>
      <c r="G5893" s="77"/>
      <c r="H5893" s="77"/>
    </row>
    <row r="5894">
      <c r="C5894" s="72"/>
      <c r="G5894" s="77"/>
      <c r="H5894" s="77"/>
    </row>
    <row r="5895">
      <c r="C5895" s="72"/>
      <c r="G5895" s="77"/>
      <c r="H5895" s="77"/>
    </row>
    <row r="5896">
      <c r="C5896" s="72"/>
      <c r="G5896" s="77"/>
      <c r="H5896" s="77"/>
    </row>
    <row r="5897">
      <c r="C5897" s="72"/>
      <c r="G5897" s="77"/>
      <c r="H5897" s="77"/>
    </row>
    <row r="5898">
      <c r="C5898" s="72"/>
      <c r="G5898" s="77"/>
      <c r="H5898" s="77"/>
    </row>
    <row r="5899">
      <c r="C5899" s="72"/>
      <c r="G5899" s="77"/>
      <c r="H5899" s="77"/>
    </row>
    <row r="5900">
      <c r="C5900" s="72"/>
      <c r="G5900" s="77"/>
      <c r="H5900" s="77"/>
    </row>
    <row r="5901">
      <c r="C5901" s="72"/>
      <c r="G5901" s="77"/>
      <c r="H5901" s="77"/>
    </row>
    <row r="5902">
      <c r="C5902" s="72"/>
      <c r="G5902" s="77"/>
      <c r="H5902" s="77"/>
    </row>
    <row r="5903">
      <c r="C5903" s="72"/>
      <c r="G5903" s="77"/>
      <c r="H5903" s="77"/>
    </row>
    <row r="5904">
      <c r="C5904" s="72"/>
      <c r="G5904" s="77"/>
      <c r="H5904" s="77"/>
    </row>
    <row r="5905">
      <c r="C5905" s="72"/>
      <c r="G5905" s="77"/>
      <c r="H5905" s="77"/>
    </row>
    <row r="5906">
      <c r="C5906" s="72"/>
      <c r="G5906" s="77"/>
      <c r="H5906" s="77"/>
    </row>
    <row r="5907">
      <c r="C5907" s="72"/>
      <c r="G5907" s="77"/>
      <c r="H5907" s="77"/>
    </row>
    <row r="5908">
      <c r="C5908" s="72"/>
      <c r="G5908" s="77"/>
      <c r="H5908" s="77"/>
    </row>
    <row r="5909">
      <c r="C5909" s="72"/>
      <c r="G5909" s="77"/>
      <c r="H5909" s="77"/>
    </row>
    <row r="5910">
      <c r="C5910" s="72"/>
      <c r="G5910" s="77"/>
      <c r="H5910" s="77"/>
    </row>
    <row r="5911">
      <c r="C5911" s="72"/>
      <c r="G5911" s="77"/>
      <c r="H5911" s="77"/>
    </row>
    <row r="5912">
      <c r="C5912" s="72"/>
      <c r="G5912" s="77"/>
      <c r="H5912" s="77"/>
    </row>
    <row r="5913">
      <c r="C5913" s="72"/>
      <c r="G5913" s="77"/>
      <c r="H5913" s="77"/>
    </row>
    <row r="5914">
      <c r="C5914" s="72"/>
      <c r="G5914" s="77"/>
      <c r="H5914" s="77"/>
    </row>
    <row r="5915">
      <c r="C5915" s="72"/>
      <c r="G5915" s="77"/>
      <c r="H5915" s="77"/>
    </row>
    <row r="5916">
      <c r="C5916" s="72"/>
      <c r="G5916" s="77"/>
      <c r="H5916" s="77"/>
    </row>
    <row r="5917">
      <c r="C5917" s="72"/>
      <c r="G5917" s="77"/>
      <c r="H5917" s="77"/>
    </row>
    <row r="5918">
      <c r="C5918" s="72"/>
      <c r="G5918" s="77"/>
      <c r="H5918" s="77"/>
    </row>
    <row r="5919">
      <c r="C5919" s="72"/>
      <c r="G5919" s="77"/>
      <c r="H5919" s="77"/>
    </row>
    <row r="5920">
      <c r="C5920" s="72"/>
      <c r="G5920" s="77"/>
      <c r="H5920" s="77"/>
    </row>
    <row r="5921">
      <c r="C5921" s="72"/>
      <c r="G5921" s="77"/>
      <c r="H5921" s="77"/>
    </row>
    <row r="5922">
      <c r="C5922" s="72"/>
      <c r="G5922" s="77"/>
      <c r="H5922" s="77"/>
    </row>
    <row r="5923">
      <c r="C5923" s="72"/>
      <c r="G5923" s="77"/>
      <c r="H5923" s="77"/>
    </row>
    <row r="5924">
      <c r="C5924" s="72"/>
      <c r="G5924" s="77"/>
      <c r="H5924" s="77"/>
    </row>
    <row r="5925">
      <c r="C5925" s="72"/>
      <c r="G5925" s="77"/>
      <c r="H5925" s="77"/>
    </row>
    <row r="5926">
      <c r="C5926" s="72"/>
      <c r="G5926" s="77"/>
      <c r="H5926" s="77"/>
    </row>
    <row r="5927">
      <c r="C5927" s="72"/>
      <c r="G5927" s="77"/>
      <c r="H5927" s="77"/>
    </row>
    <row r="5928">
      <c r="C5928" s="72"/>
      <c r="G5928" s="77"/>
      <c r="H5928" s="77"/>
    </row>
    <row r="5929">
      <c r="C5929" s="72"/>
      <c r="G5929" s="77"/>
      <c r="H5929" s="77"/>
    </row>
    <row r="5930">
      <c r="C5930" s="72"/>
      <c r="G5930" s="77"/>
      <c r="H5930" s="77"/>
    </row>
    <row r="5931">
      <c r="C5931" s="72"/>
      <c r="G5931" s="77"/>
      <c r="H5931" s="77"/>
    </row>
    <row r="5932">
      <c r="C5932" s="72"/>
      <c r="G5932" s="77"/>
      <c r="H5932" s="77"/>
    </row>
    <row r="5933">
      <c r="C5933" s="72"/>
      <c r="G5933" s="77"/>
      <c r="H5933" s="77"/>
    </row>
    <row r="5934">
      <c r="C5934" s="72"/>
      <c r="G5934" s="77"/>
      <c r="H5934" s="77"/>
    </row>
    <row r="5935">
      <c r="C5935" s="72"/>
      <c r="G5935" s="77"/>
      <c r="H5935" s="77"/>
    </row>
    <row r="5936">
      <c r="C5936" s="72"/>
      <c r="G5936" s="77"/>
      <c r="H5936" s="77"/>
    </row>
    <row r="5937">
      <c r="C5937" s="72"/>
      <c r="G5937" s="77"/>
      <c r="H5937" s="77"/>
    </row>
    <row r="5938">
      <c r="C5938" s="72"/>
      <c r="G5938" s="77"/>
      <c r="H5938" s="77"/>
    </row>
    <row r="5939">
      <c r="C5939" s="72"/>
      <c r="G5939" s="77"/>
      <c r="H5939" s="77"/>
    </row>
    <row r="5940">
      <c r="C5940" s="72"/>
      <c r="G5940" s="77"/>
      <c r="H5940" s="77"/>
    </row>
    <row r="5941">
      <c r="C5941" s="72"/>
      <c r="G5941" s="77"/>
      <c r="H5941" s="77"/>
    </row>
    <row r="5942">
      <c r="C5942" s="72"/>
      <c r="G5942" s="77"/>
      <c r="H5942" s="77"/>
    </row>
    <row r="5943">
      <c r="C5943" s="72"/>
      <c r="G5943" s="77"/>
      <c r="H5943" s="77"/>
    </row>
    <row r="5944">
      <c r="C5944" s="72"/>
      <c r="G5944" s="77"/>
      <c r="H5944" s="77"/>
    </row>
    <row r="5945">
      <c r="C5945" s="72"/>
      <c r="G5945" s="77"/>
      <c r="H5945" s="77"/>
    </row>
    <row r="5946">
      <c r="C5946" s="72"/>
      <c r="G5946" s="77"/>
      <c r="H5946" s="77"/>
    </row>
    <row r="5947">
      <c r="C5947" s="72"/>
      <c r="G5947" s="77"/>
      <c r="H5947" s="77"/>
    </row>
    <row r="5948">
      <c r="C5948" s="72"/>
      <c r="G5948" s="77"/>
      <c r="H5948" s="77"/>
    </row>
    <row r="5949">
      <c r="C5949" s="72"/>
      <c r="G5949" s="77"/>
      <c r="H5949" s="77"/>
    </row>
    <row r="5950">
      <c r="C5950" s="72"/>
      <c r="G5950" s="77"/>
      <c r="H5950" s="77"/>
    </row>
    <row r="5951">
      <c r="C5951" s="72"/>
      <c r="G5951" s="77"/>
      <c r="H5951" s="77"/>
    </row>
    <row r="5952">
      <c r="C5952" s="72"/>
      <c r="G5952" s="77"/>
      <c r="H5952" s="77"/>
    </row>
    <row r="5953">
      <c r="C5953" s="72"/>
      <c r="G5953" s="77"/>
      <c r="H5953" s="77"/>
    </row>
    <row r="5954">
      <c r="C5954" s="72"/>
      <c r="G5954" s="77"/>
      <c r="H5954" s="77"/>
    </row>
    <row r="5955">
      <c r="C5955" s="72"/>
      <c r="G5955" s="77"/>
      <c r="H5955" s="77"/>
    </row>
    <row r="5956">
      <c r="C5956" s="72"/>
      <c r="G5956" s="77"/>
      <c r="H5956" s="77"/>
    </row>
    <row r="5957">
      <c r="C5957" s="72"/>
      <c r="G5957" s="77"/>
      <c r="H5957" s="77"/>
    </row>
    <row r="5958">
      <c r="C5958" s="72"/>
      <c r="G5958" s="77"/>
      <c r="H5958" s="77"/>
    </row>
    <row r="5959">
      <c r="C5959" s="72"/>
      <c r="G5959" s="77"/>
      <c r="H5959" s="77"/>
    </row>
    <row r="5960">
      <c r="C5960" s="72"/>
      <c r="G5960" s="77"/>
      <c r="H5960" s="77"/>
    </row>
    <row r="5961">
      <c r="C5961" s="72"/>
      <c r="G5961" s="77"/>
      <c r="H5961" s="77"/>
    </row>
    <row r="5962">
      <c r="C5962" s="72"/>
      <c r="G5962" s="77"/>
      <c r="H5962" s="77"/>
    </row>
    <row r="5963">
      <c r="C5963" s="72"/>
      <c r="G5963" s="77"/>
      <c r="H5963" s="77"/>
    </row>
    <row r="5964">
      <c r="C5964" s="72"/>
      <c r="G5964" s="77"/>
      <c r="H5964" s="77"/>
    </row>
    <row r="5965">
      <c r="C5965" s="72"/>
      <c r="G5965" s="77"/>
      <c r="H5965" s="77"/>
    </row>
    <row r="5966">
      <c r="C5966" s="72"/>
      <c r="G5966" s="77"/>
      <c r="H5966" s="77"/>
    </row>
    <row r="5967">
      <c r="C5967" s="72"/>
      <c r="G5967" s="77"/>
      <c r="H5967" s="77"/>
    </row>
    <row r="5968">
      <c r="C5968" s="72"/>
      <c r="G5968" s="77"/>
      <c r="H5968" s="77"/>
    </row>
    <row r="5969">
      <c r="C5969" s="72"/>
      <c r="G5969" s="77"/>
      <c r="H5969" s="77"/>
    </row>
    <row r="5970">
      <c r="C5970" s="72"/>
      <c r="G5970" s="77"/>
      <c r="H5970" s="77"/>
    </row>
    <row r="5971">
      <c r="C5971" s="72"/>
      <c r="G5971" s="77"/>
      <c r="H5971" s="77"/>
    </row>
    <row r="5972">
      <c r="C5972" s="72"/>
      <c r="G5972" s="77"/>
      <c r="H5972" s="77"/>
    </row>
    <row r="5973">
      <c r="C5973" s="72"/>
      <c r="G5973" s="77"/>
      <c r="H5973" s="77"/>
    </row>
    <row r="5974">
      <c r="C5974" s="72"/>
      <c r="G5974" s="77"/>
      <c r="H5974" s="77"/>
    </row>
    <row r="5975">
      <c r="C5975" s="72"/>
      <c r="G5975" s="77"/>
      <c r="H5975" s="77"/>
    </row>
    <row r="5976">
      <c r="C5976" s="72"/>
      <c r="G5976" s="77"/>
      <c r="H5976" s="77"/>
    </row>
    <row r="5977">
      <c r="C5977" s="72"/>
      <c r="G5977" s="77"/>
      <c r="H5977" s="77"/>
    </row>
    <row r="5978">
      <c r="C5978" s="72"/>
      <c r="G5978" s="77"/>
      <c r="H5978" s="77"/>
    </row>
    <row r="5979">
      <c r="C5979" s="72"/>
      <c r="G5979" s="77"/>
      <c r="H5979" s="77"/>
    </row>
    <row r="5980">
      <c r="C5980" s="72"/>
      <c r="G5980" s="77"/>
      <c r="H5980" s="77"/>
    </row>
    <row r="5981">
      <c r="C5981" s="72"/>
      <c r="G5981" s="77"/>
      <c r="H5981" s="77"/>
    </row>
    <row r="5982">
      <c r="C5982" s="72"/>
      <c r="G5982" s="77"/>
      <c r="H5982" s="77"/>
    </row>
    <row r="5983">
      <c r="C5983" s="72"/>
      <c r="G5983" s="77"/>
      <c r="H5983" s="77"/>
    </row>
    <row r="5984">
      <c r="C5984" s="72"/>
      <c r="G5984" s="77"/>
      <c r="H5984" s="77"/>
    </row>
    <row r="5985">
      <c r="C5985" s="72"/>
      <c r="G5985" s="77"/>
      <c r="H5985" s="77"/>
    </row>
    <row r="5986">
      <c r="C5986" s="72"/>
      <c r="G5986" s="77"/>
      <c r="H5986" s="77"/>
    </row>
    <row r="5987">
      <c r="C5987" s="72"/>
      <c r="G5987" s="77"/>
      <c r="H5987" s="77"/>
    </row>
    <row r="5988">
      <c r="C5988" s="72"/>
      <c r="G5988" s="77"/>
      <c r="H5988" s="77"/>
    </row>
    <row r="5989">
      <c r="C5989" s="72"/>
      <c r="G5989" s="77"/>
      <c r="H5989" s="77"/>
    </row>
    <row r="5990">
      <c r="C5990" s="72"/>
      <c r="G5990" s="77"/>
      <c r="H5990" s="77"/>
    </row>
    <row r="5991">
      <c r="C5991" s="72"/>
      <c r="G5991" s="77"/>
      <c r="H5991" s="77"/>
    </row>
    <row r="5992">
      <c r="C5992" s="72"/>
      <c r="G5992" s="77"/>
      <c r="H5992" s="77"/>
    </row>
    <row r="5993">
      <c r="C5993" s="72"/>
      <c r="G5993" s="77"/>
      <c r="H5993" s="77"/>
    </row>
    <row r="5994">
      <c r="C5994" s="72"/>
      <c r="G5994" s="77"/>
      <c r="H5994" s="77"/>
    </row>
    <row r="5995">
      <c r="C5995" s="72"/>
      <c r="G5995" s="77"/>
      <c r="H5995" s="77"/>
    </row>
    <row r="5996">
      <c r="C5996" s="72"/>
      <c r="G5996" s="77"/>
      <c r="H5996" s="77"/>
    </row>
    <row r="5997">
      <c r="C5997" s="72"/>
      <c r="G5997" s="77"/>
      <c r="H5997" s="77"/>
    </row>
    <row r="5998">
      <c r="C5998" s="72"/>
      <c r="G5998" s="77"/>
      <c r="H5998" s="77"/>
    </row>
    <row r="5999">
      <c r="C5999" s="72"/>
      <c r="G5999" s="77"/>
      <c r="H5999" s="77"/>
    </row>
    <row r="6000">
      <c r="C6000" s="72"/>
      <c r="G6000" s="77"/>
      <c r="H6000" s="77"/>
    </row>
    <row r="6001">
      <c r="C6001" s="72"/>
      <c r="G6001" s="77"/>
      <c r="H6001" s="77"/>
    </row>
    <row r="6002">
      <c r="C6002" s="72"/>
      <c r="G6002" s="77"/>
      <c r="H6002" s="77"/>
    </row>
    <row r="6003">
      <c r="C6003" s="72"/>
      <c r="G6003" s="77"/>
      <c r="H6003" s="77"/>
    </row>
    <row r="6004">
      <c r="C6004" s="72"/>
      <c r="G6004" s="77"/>
      <c r="H6004" s="77"/>
    </row>
    <row r="6005">
      <c r="C6005" s="72"/>
      <c r="G6005" s="77"/>
      <c r="H6005" s="77"/>
    </row>
    <row r="6006">
      <c r="C6006" s="72"/>
      <c r="G6006" s="77"/>
      <c r="H6006" s="77"/>
    </row>
    <row r="6007">
      <c r="C6007" s="72"/>
      <c r="G6007" s="77"/>
      <c r="H6007" s="77"/>
    </row>
    <row r="6008">
      <c r="C6008" s="72"/>
      <c r="G6008" s="77"/>
      <c r="H6008" s="77"/>
    </row>
    <row r="6009">
      <c r="C6009" s="72"/>
      <c r="G6009" s="77"/>
      <c r="H6009" s="77"/>
    </row>
    <row r="6010">
      <c r="C6010" s="72"/>
      <c r="G6010" s="77"/>
      <c r="H6010" s="77"/>
    </row>
    <row r="6011">
      <c r="C6011" s="72"/>
      <c r="G6011" s="77"/>
      <c r="H6011" s="77"/>
    </row>
    <row r="6012">
      <c r="C6012" s="72"/>
      <c r="G6012" s="77"/>
      <c r="H6012" s="77"/>
    </row>
    <row r="6013">
      <c r="C6013" s="72"/>
      <c r="G6013" s="77"/>
      <c r="H6013" s="77"/>
    </row>
    <row r="6014">
      <c r="C6014" s="72"/>
      <c r="G6014" s="77"/>
      <c r="H6014" s="77"/>
    </row>
    <row r="6015">
      <c r="C6015" s="72"/>
      <c r="G6015" s="77"/>
      <c r="H6015" s="77"/>
    </row>
    <row r="6016">
      <c r="C6016" s="72"/>
      <c r="G6016" s="77"/>
      <c r="H6016" s="77"/>
    </row>
    <row r="6017">
      <c r="C6017" s="72"/>
      <c r="G6017" s="77"/>
      <c r="H6017" s="77"/>
    </row>
    <row r="6018">
      <c r="C6018" s="72"/>
      <c r="G6018" s="77"/>
      <c r="H6018" s="77"/>
    </row>
    <row r="6019">
      <c r="C6019" s="72"/>
      <c r="G6019" s="77"/>
      <c r="H6019" s="77"/>
    </row>
    <row r="6020">
      <c r="C6020" s="72"/>
      <c r="G6020" s="77"/>
      <c r="H6020" s="77"/>
    </row>
    <row r="6021">
      <c r="C6021" s="72"/>
      <c r="G6021" s="77"/>
      <c r="H6021" s="77"/>
    </row>
    <row r="6022">
      <c r="C6022" s="72"/>
      <c r="G6022" s="77"/>
      <c r="H6022" s="77"/>
    </row>
    <row r="6023">
      <c r="C6023" s="72"/>
      <c r="G6023" s="77"/>
      <c r="H6023" s="77"/>
    </row>
    <row r="6024">
      <c r="C6024" s="72"/>
      <c r="G6024" s="77"/>
      <c r="H6024" s="77"/>
    </row>
    <row r="6025">
      <c r="C6025" s="72"/>
      <c r="G6025" s="77"/>
      <c r="H6025" s="77"/>
    </row>
    <row r="6026">
      <c r="C6026" s="72"/>
      <c r="G6026" s="77"/>
      <c r="H6026" s="77"/>
    </row>
    <row r="6027">
      <c r="C6027" s="72"/>
      <c r="G6027" s="77"/>
      <c r="H6027" s="77"/>
    </row>
    <row r="6028">
      <c r="C6028" s="72"/>
      <c r="G6028" s="77"/>
      <c r="H6028" s="77"/>
    </row>
    <row r="6029">
      <c r="C6029" s="72"/>
      <c r="G6029" s="77"/>
      <c r="H6029" s="77"/>
    </row>
    <row r="6030">
      <c r="C6030" s="72"/>
      <c r="G6030" s="77"/>
      <c r="H6030" s="77"/>
    </row>
    <row r="6031">
      <c r="C6031" s="72"/>
      <c r="G6031" s="77"/>
      <c r="H6031" s="77"/>
    </row>
    <row r="6032">
      <c r="C6032" s="72"/>
      <c r="G6032" s="77"/>
      <c r="H6032" s="77"/>
    </row>
    <row r="6033">
      <c r="C6033" s="72"/>
      <c r="G6033" s="77"/>
      <c r="H6033" s="77"/>
    </row>
    <row r="6034">
      <c r="C6034" s="72"/>
      <c r="G6034" s="77"/>
      <c r="H6034" s="77"/>
    </row>
    <row r="6035">
      <c r="C6035" s="72"/>
      <c r="G6035" s="77"/>
      <c r="H6035" s="77"/>
    </row>
    <row r="6036">
      <c r="C6036" s="72"/>
      <c r="G6036" s="77"/>
      <c r="H6036" s="77"/>
    </row>
    <row r="6037">
      <c r="C6037" s="72"/>
      <c r="G6037" s="77"/>
      <c r="H6037" s="77"/>
    </row>
    <row r="6038">
      <c r="C6038" s="72"/>
      <c r="G6038" s="77"/>
      <c r="H6038" s="77"/>
    </row>
    <row r="6039">
      <c r="C6039" s="72"/>
      <c r="G6039" s="77"/>
      <c r="H6039" s="77"/>
    </row>
    <row r="6040">
      <c r="C6040" s="72"/>
      <c r="G6040" s="77"/>
      <c r="H6040" s="77"/>
    </row>
    <row r="6041">
      <c r="C6041" s="72"/>
      <c r="G6041" s="77"/>
      <c r="H6041" s="77"/>
    </row>
    <row r="6042">
      <c r="C6042" s="72"/>
      <c r="G6042" s="77"/>
      <c r="H6042" s="77"/>
    </row>
    <row r="6043">
      <c r="C6043" s="72"/>
      <c r="G6043" s="77"/>
      <c r="H6043" s="77"/>
    </row>
    <row r="6044">
      <c r="C6044" s="72"/>
      <c r="G6044" s="77"/>
      <c r="H6044" s="77"/>
    </row>
    <row r="6045">
      <c r="C6045" s="72"/>
      <c r="G6045" s="77"/>
      <c r="H6045" s="77"/>
    </row>
    <row r="6046">
      <c r="C6046" s="72"/>
      <c r="G6046" s="77"/>
      <c r="H6046" s="77"/>
    </row>
    <row r="6047">
      <c r="C6047" s="72"/>
      <c r="G6047" s="77"/>
      <c r="H6047" s="77"/>
    </row>
    <row r="6048">
      <c r="C6048" s="72"/>
      <c r="G6048" s="77"/>
      <c r="H6048" s="77"/>
    </row>
    <row r="6049">
      <c r="C6049" s="72"/>
      <c r="G6049" s="77"/>
      <c r="H6049" s="77"/>
    </row>
    <row r="6050">
      <c r="C6050" s="72"/>
      <c r="G6050" s="77"/>
      <c r="H6050" s="77"/>
    </row>
    <row r="6051">
      <c r="C6051" s="72"/>
      <c r="G6051" s="77"/>
      <c r="H6051" s="77"/>
    </row>
    <row r="6052">
      <c r="C6052" s="72"/>
      <c r="G6052" s="77"/>
      <c r="H6052" s="77"/>
    </row>
    <row r="6053">
      <c r="C6053" s="72"/>
      <c r="G6053" s="77"/>
      <c r="H6053" s="77"/>
    </row>
    <row r="6054">
      <c r="C6054" s="72"/>
      <c r="G6054" s="77"/>
      <c r="H6054" s="77"/>
    </row>
    <row r="6055">
      <c r="C6055" s="72"/>
      <c r="G6055" s="77"/>
      <c r="H6055" s="77"/>
    </row>
    <row r="6056">
      <c r="C6056" s="72"/>
      <c r="G6056" s="77"/>
      <c r="H6056" s="77"/>
    </row>
    <row r="6057">
      <c r="C6057" s="72"/>
      <c r="G6057" s="77"/>
      <c r="H6057" s="77"/>
    </row>
    <row r="6058">
      <c r="C6058" s="72"/>
      <c r="G6058" s="77"/>
      <c r="H6058" s="77"/>
    </row>
    <row r="6059">
      <c r="C6059" s="72"/>
      <c r="G6059" s="77"/>
      <c r="H6059" s="77"/>
    </row>
    <row r="6060">
      <c r="C6060" s="72"/>
      <c r="G6060" s="77"/>
      <c r="H6060" s="77"/>
    </row>
    <row r="6061">
      <c r="C6061" s="72"/>
      <c r="G6061" s="77"/>
      <c r="H6061" s="77"/>
    </row>
    <row r="6062">
      <c r="C6062" s="72"/>
      <c r="G6062" s="77"/>
      <c r="H6062" s="77"/>
    </row>
    <row r="6063">
      <c r="C6063" s="72"/>
      <c r="G6063" s="77"/>
      <c r="H6063" s="77"/>
    </row>
    <row r="6064">
      <c r="C6064" s="72"/>
      <c r="G6064" s="77"/>
      <c r="H6064" s="77"/>
    </row>
    <row r="6065">
      <c r="C6065" s="72"/>
      <c r="G6065" s="77"/>
      <c r="H6065" s="77"/>
    </row>
    <row r="6066">
      <c r="C6066" s="72"/>
      <c r="G6066" s="77"/>
      <c r="H6066" s="77"/>
    </row>
    <row r="6067">
      <c r="C6067" s="72"/>
      <c r="G6067" s="77"/>
      <c r="H6067" s="77"/>
    </row>
    <row r="6068">
      <c r="C6068" s="72"/>
      <c r="G6068" s="77"/>
      <c r="H6068" s="77"/>
    </row>
    <row r="6069">
      <c r="C6069" s="72"/>
      <c r="G6069" s="77"/>
      <c r="H6069" s="77"/>
    </row>
    <row r="6070">
      <c r="C6070" s="72"/>
      <c r="G6070" s="77"/>
      <c r="H6070" s="77"/>
    </row>
    <row r="6071">
      <c r="C6071" s="72"/>
      <c r="G6071" s="77"/>
      <c r="H6071" s="77"/>
    </row>
    <row r="6072">
      <c r="C6072" s="72"/>
      <c r="G6072" s="77"/>
      <c r="H6072" s="77"/>
    </row>
    <row r="6073">
      <c r="C6073" s="72"/>
      <c r="G6073" s="77"/>
      <c r="H6073" s="77"/>
    </row>
    <row r="6074">
      <c r="C6074" s="72"/>
      <c r="G6074" s="77"/>
      <c r="H6074" s="77"/>
    </row>
    <row r="6075">
      <c r="C6075" s="72"/>
      <c r="G6075" s="77"/>
      <c r="H6075" s="77"/>
    </row>
    <row r="6076">
      <c r="C6076" s="72"/>
      <c r="G6076" s="77"/>
      <c r="H6076" s="77"/>
    </row>
    <row r="6077">
      <c r="C6077" s="72"/>
      <c r="G6077" s="77"/>
      <c r="H6077" s="77"/>
    </row>
    <row r="6078">
      <c r="C6078" s="72"/>
      <c r="G6078" s="77"/>
      <c r="H6078" s="77"/>
    </row>
    <row r="6079">
      <c r="C6079" s="72"/>
      <c r="G6079" s="77"/>
      <c r="H6079" s="77"/>
    </row>
    <row r="6080">
      <c r="C6080" s="72"/>
      <c r="G6080" s="77"/>
      <c r="H6080" s="77"/>
    </row>
    <row r="6081">
      <c r="C6081" s="72"/>
      <c r="G6081" s="77"/>
      <c r="H6081" s="77"/>
    </row>
    <row r="6082">
      <c r="C6082" s="72"/>
      <c r="G6082" s="77"/>
      <c r="H6082" s="77"/>
    </row>
    <row r="6083">
      <c r="C6083" s="72"/>
      <c r="G6083" s="77"/>
      <c r="H6083" s="77"/>
    </row>
    <row r="6084">
      <c r="C6084" s="72"/>
      <c r="G6084" s="77"/>
      <c r="H6084" s="77"/>
    </row>
    <row r="6085">
      <c r="C6085" s="72"/>
      <c r="G6085" s="77"/>
      <c r="H6085" s="77"/>
    </row>
    <row r="6086">
      <c r="C6086" s="72"/>
      <c r="G6086" s="77"/>
      <c r="H6086" s="77"/>
    </row>
    <row r="6087">
      <c r="C6087" s="72"/>
      <c r="G6087" s="77"/>
      <c r="H6087" s="77"/>
    </row>
    <row r="6088">
      <c r="C6088" s="72"/>
      <c r="G6088" s="77"/>
      <c r="H6088" s="77"/>
    </row>
    <row r="6089">
      <c r="C6089" s="72"/>
      <c r="G6089" s="77"/>
      <c r="H6089" s="77"/>
    </row>
    <row r="6090">
      <c r="C6090" s="72"/>
      <c r="G6090" s="77"/>
      <c r="H6090" s="77"/>
    </row>
    <row r="6091">
      <c r="C6091" s="72"/>
      <c r="G6091" s="77"/>
      <c r="H6091" s="77"/>
    </row>
    <row r="6092">
      <c r="C6092" s="72"/>
      <c r="G6092" s="77"/>
      <c r="H6092" s="77"/>
    </row>
    <row r="6093">
      <c r="C6093" s="72"/>
      <c r="G6093" s="77"/>
      <c r="H6093" s="77"/>
    </row>
    <row r="6094">
      <c r="C6094" s="72"/>
      <c r="G6094" s="77"/>
      <c r="H6094" s="77"/>
    </row>
    <row r="6095">
      <c r="C6095" s="72"/>
      <c r="G6095" s="77"/>
      <c r="H6095" s="77"/>
    </row>
    <row r="6096">
      <c r="C6096" s="72"/>
      <c r="G6096" s="77"/>
      <c r="H6096" s="77"/>
    </row>
    <row r="6097">
      <c r="C6097" s="72"/>
      <c r="G6097" s="77"/>
      <c r="H6097" s="77"/>
    </row>
    <row r="6098">
      <c r="C6098" s="72"/>
      <c r="G6098" s="77"/>
      <c r="H6098" s="77"/>
    </row>
    <row r="6099">
      <c r="C6099" s="72"/>
      <c r="G6099" s="77"/>
      <c r="H6099" s="77"/>
    </row>
    <row r="6100">
      <c r="C6100" s="72"/>
      <c r="G6100" s="77"/>
      <c r="H6100" s="77"/>
    </row>
    <row r="6101">
      <c r="C6101" s="72"/>
      <c r="G6101" s="77"/>
      <c r="H6101" s="77"/>
    </row>
    <row r="6102">
      <c r="C6102" s="72"/>
      <c r="G6102" s="77"/>
      <c r="H6102" s="77"/>
    </row>
    <row r="6103">
      <c r="C6103" s="72"/>
      <c r="G6103" s="77"/>
      <c r="H6103" s="77"/>
    </row>
    <row r="6104">
      <c r="C6104" s="72"/>
      <c r="G6104" s="77"/>
      <c r="H6104" s="77"/>
    </row>
    <row r="6105">
      <c r="C6105" s="72"/>
      <c r="G6105" s="77"/>
      <c r="H6105" s="77"/>
    </row>
    <row r="6106">
      <c r="C6106" s="72"/>
      <c r="G6106" s="77"/>
      <c r="H6106" s="77"/>
    </row>
    <row r="6107">
      <c r="C6107" s="72"/>
      <c r="G6107" s="77"/>
      <c r="H6107" s="77"/>
    </row>
    <row r="6108">
      <c r="C6108" s="72"/>
      <c r="G6108" s="77"/>
      <c r="H6108" s="77"/>
    </row>
    <row r="6109">
      <c r="C6109" s="72"/>
      <c r="G6109" s="77"/>
      <c r="H6109" s="77"/>
    </row>
    <row r="6110">
      <c r="C6110" s="72"/>
      <c r="G6110" s="77"/>
      <c r="H6110" s="77"/>
    </row>
    <row r="6111">
      <c r="C6111" s="72"/>
      <c r="G6111" s="77"/>
      <c r="H6111" s="77"/>
    </row>
    <row r="6112">
      <c r="C6112" s="72"/>
      <c r="G6112" s="77"/>
      <c r="H6112" s="77"/>
    </row>
    <row r="6113">
      <c r="C6113" s="72"/>
      <c r="G6113" s="77"/>
      <c r="H6113" s="77"/>
    </row>
    <row r="6114">
      <c r="C6114" s="72"/>
      <c r="G6114" s="77"/>
      <c r="H6114" s="77"/>
    </row>
    <row r="6115">
      <c r="C6115" s="72"/>
      <c r="G6115" s="77"/>
      <c r="H6115" s="77"/>
    </row>
    <row r="6116">
      <c r="C6116" s="72"/>
      <c r="G6116" s="77"/>
      <c r="H6116" s="77"/>
    </row>
    <row r="6117">
      <c r="C6117" s="72"/>
      <c r="G6117" s="77"/>
      <c r="H6117" s="77"/>
    </row>
    <row r="6118">
      <c r="C6118" s="72"/>
      <c r="G6118" s="77"/>
      <c r="H6118" s="77"/>
    </row>
    <row r="6119">
      <c r="C6119" s="72"/>
      <c r="G6119" s="77"/>
      <c r="H6119" s="77"/>
    </row>
    <row r="6120">
      <c r="C6120" s="72"/>
      <c r="G6120" s="77"/>
      <c r="H6120" s="77"/>
    </row>
    <row r="6121">
      <c r="C6121" s="72"/>
      <c r="G6121" s="77"/>
      <c r="H6121" s="77"/>
    </row>
    <row r="6122">
      <c r="C6122" s="72"/>
      <c r="G6122" s="77"/>
      <c r="H6122" s="77"/>
    </row>
    <row r="6123">
      <c r="C6123" s="72"/>
      <c r="G6123" s="77"/>
      <c r="H6123" s="77"/>
    </row>
    <row r="6124">
      <c r="C6124" s="72"/>
      <c r="G6124" s="77"/>
      <c r="H6124" s="77"/>
    </row>
    <row r="6125">
      <c r="C6125" s="72"/>
      <c r="G6125" s="77"/>
      <c r="H6125" s="77"/>
    </row>
    <row r="6126">
      <c r="C6126" s="72"/>
      <c r="G6126" s="77"/>
      <c r="H6126" s="77"/>
    </row>
    <row r="6127">
      <c r="C6127" s="72"/>
      <c r="G6127" s="77"/>
      <c r="H6127" s="77"/>
    </row>
    <row r="6128">
      <c r="C6128" s="72"/>
      <c r="G6128" s="77"/>
      <c r="H6128" s="77"/>
    </row>
    <row r="6129">
      <c r="C6129" s="72"/>
      <c r="G6129" s="77"/>
      <c r="H6129" s="77"/>
    </row>
    <row r="6130">
      <c r="C6130" s="72"/>
      <c r="G6130" s="77"/>
      <c r="H6130" s="77"/>
    </row>
    <row r="6131">
      <c r="C6131" s="72"/>
      <c r="G6131" s="77"/>
      <c r="H6131" s="77"/>
    </row>
    <row r="6132">
      <c r="C6132" s="72"/>
      <c r="G6132" s="77"/>
      <c r="H6132" s="77"/>
    </row>
    <row r="6133">
      <c r="C6133" s="72"/>
      <c r="G6133" s="77"/>
      <c r="H6133" s="77"/>
    </row>
    <row r="6134">
      <c r="C6134" s="72"/>
      <c r="G6134" s="77"/>
      <c r="H6134" s="77"/>
    </row>
    <row r="6135">
      <c r="C6135" s="72"/>
      <c r="G6135" s="77"/>
      <c r="H6135" s="77"/>
    </row>
    <row r="6136">
      <c r="C6136" s="72"/>
      <c r="G6136" s="77"/>
      <c r="H6136" s="77"/>
    </row>
    <row r="6137">
      <c r="C6137" s="72"/>
      <c r="G6137" s="77"/>
      <c r="H6137" s="77"/>
    </row>
    <row r="6138">
      <c r="C6138" s="72"/>
      <c r="G6138" s="77"/>
      <c r="H6138" s="77"/>
    </row>
    <row r="6139">
      <c r="C6139" s="72"/>
      <c r="G6139" s="77"/>
      <c r="H6139" s="77"/>
    </row>
    <row r="6140">
      <c r="C6140" s="72"/>
      <c r="G6140" s="77"/>
      <c r="H6140" s="77"/>
    </row>
    <row r="6141">
      <c r="C6141" s="72"/>
      <c r="G6141" s="77"/>
      <c r="H6141" s="77"/>
    </row>
    <row r="6142">
      <c r="C6142" s="72"/>
      <c r="G6142" s="77"/>
      <c r="H6142" s="77"/>
    </row>
    <row r="6143">
      <c r="C6143" s="72"/>
      <c r="G6143" s="77"/>
      <c r="H6143" s="77"/>
    </row>
    <row r="6144">
      <c r="C6144" s="72"/>
      <c r="G6144" s="77"/>
      <c r="H6144" s="77"/>
    </row>
    <row r="6145">
      <c r="C6145" s="72"/>
      <c r="G6145" s="77"/>
      <c r="H6145" s="77"/>
    </row>
    <row r="6146">
      <c r="C6146" s="72"/>
      <c r="G6146" s="77"/>
      <c r="H6146" s="77"/>
    </row>
    <row r="6147">
      <c r="C6147" s="72"/>
      <c r="G6147" s="77"/>
      <c r="H6147" s="77"/>
    </row>
    <row r="6148">
      <c r="C6148" s="72"/>
      <c r="G6148" s="77"/>
      <c r="H6148" s="77"/>
    </row>
    <row r="6149">
      <c r="C6149" s="72"/>
      <c r="G6149" s="77"/>
      <c r="H6149" s="77"/>
    </row>
    <row r="6150">
      <c r="C6150" s="72"/>
      <c r="G6150" s="77"/>
      <c r="H6150" s="77"/>
    </row>
    <row r="6151">
      <c r="C6151" s="72"/>
      <c r="G6151" s="77"/>
      <c r="H6151" s="77"/>
    </row>
    <row r="6152">
      <c r="C6152" s="72"/>
      <c r="G6152" s="77"/>
      <c r="H6152" s="77"/>
    </row>
    <row r="6153">
      <c r="C6153" s="72"/>
      <c r="G6153" s="77"/>
      <c r="H6153" s="77"/>
    </row>
    <row r="6154">
      <c r="C6154" s="72"/>
      <c r="G6154" s="77"/>
      <c r="H6154" s="77"/>
    </row>
    <row r="6155">
      <c r="C6155" s="72"/>
      <c r="G6155" s="77"/>
      <c r="H6155" s="77"/>
    </row>
    <row r="6156">
      <c r="C6156" s="72"/>
      <c r="G6156" s="77"/>
      <c r="H6156" s="77"/>
    </row>
    <row r="6157">
      <c r="C6157" s="72"/>
      <c r="G6157" s="77"/>
      <c r="H6157" s="77"/>
    </row>
    <row r="6158">
      <c r="C6158" s="72"/>
      <c r="G6158" s="77"/>
      <c r="H6158" s="77"/>
    </row>
    <row r="6159">
      <c r="C6159" s="72"/>
      <c r="G6159" s="77"/>
      <c r="H6159" s="77"/>
    </row>
    <row r="6160">
      <c r="C6160" s="72"/>
      <c r="G6160" s="77"/>
      <c r="H6160" s="77"/>
    </row>
    <row r="6161">
      <c r="C6161" s="72"/>
      <c r="G6161" s="77"/>
      <c r="H6161" s="77"/>
    </row>
    <row r="6162">
      <c r="C6162" s="72"/>
      <c r="G6162" s="77"/>
      <c r="H6162" s="77"/>
    </row>
    <row r="6163">
      <c r="C6163" s="72"/>
      <c r="G6163" s="77"/>
      <c r="H6163" s="77"/>
    </row>
    <row r="6164">
      <c r="C6164" s="72"/>
      <c r="G6164" s="77"/>
      <c r="H6164" s="77"/>
    </row>
    <row r="6165">
      <c r="C6165" s="72"/>
      <c r="G6165" s="77"/>
      <c r="H6165" s="77"/>
    </row>
    <row r="6166">
      <c r="C6166" s="72"/>
      <c r="G6166" s="77"/>
      <c r="H6166" s="77"/>
    </row>
    <row r="6167">
      <c r="C6167" s="72"/>
      <c r="G6167" s="77"/>
      <c r="H6167" s="77"/>
    </row>
    <row r="6168">
      <c r="C6168" s="72"/>
      <c r="G6168" s="77"/>
      <c r="H6168" s="77"/>
    </row>
    <row r="6169">
      <c r="C6169" s="72"/>
      <c r="G6169" s="77"/>
      <c r="H6169" s="77"/>
    </row>
    <row r="6170">
      <c r="C6170" s="72"/>
      <c r="G6170" s="77"/>
      <c r="H6170" s="77"/>
    </row>
    <row r="6171">
      <c r="C6171" s="72"/>
      <c r="G6171" s="77"/>
      <c r="H6171" s="77"/>
    </row>
    <row r="6172">
      <c r="C6172" s="72"/>
      <c r="G6172" s="77"/>
      <c r="H6172" s="77"/>
    </row>
    <row r="6173">
      <c r="C6173" s="72"/>
      <c r="G6173" s="77"/>
      <c r="H6173" s="77"/>
    </row>
    <row r="6174">
      <c r="C6174" s="72"/>
      <c r="G6174" s="77"/>
      <c r="H6174" s="77"/>
    </row>
    <row r="6175">
      <c r="C6175" s="72"/>
      <c r="G6175" s="77"/>
      <c r="H6175" s="77"/>
    </row>
    <row r="6176">
      <c r="C6176" s="72"/>
      <c r="G6176" s="77"/>
      <c r="H6176" s="77"/>
    </row>
    <row r="6177">
      <c r="C6177" s="72"/>
      <c r="G6177" s="77"/>
      <c r="H6177" s="77"/>
    </row>
    <row r="6178">
      <c r="C6178" s="72"/>
      <c r="G6178" s="77"/>
      <c r="H6178" s="77"/>
    </row>
    <row r="6179">
      <c r="C6179" s="72"/>
      <c r="G6179" s="77"/>
      <c r="H6179" s="77"/>
    </row>
    <row r="6180">
      <c r="C6180" s="72"/>
      <c r="G6180" s="77"/>
      <c r="H6180" s="77"/>
    </row>
    <row r="6181">
      <c r="C6181" s="72"/>
      <c r="G6181" s="77"/>
      <c r="H6181" s="77"/>
    </row>
    <row r="6182">
      <c r="C6182" s="72"/>
      <c r="G6182" s="77"/>
      <c r="H6182" s="77"/>
    </row>
    <row r="6183">
      <c r="C6183" s="72"/>
      <c r="G6183" s="77"/>
      <c r="H6183" s="77"/>
    </row>
    <row r="6184">
      <c r="C6184" s="72"/>
      <c r="G6184" s="77"/>
      <c r="H6184" s="77"/>
    </row>
    <row r="6185">
      <c r="C6185" s="72"/>
      <c r="G6185" s="77"/>
      <c r="H6185" s="77"/>
    </row>
    <row r="6186">
      <c r="C6186" s="72"/>
      <c r="G6186" s="77"/>
      <c r="H6186" s="77"/>
    </row>
    <row r="6187">
      <c r="C6187" s="72"/>
      <c r="G6187" s="77"/>
      <c r="H6187" s="77"/>
    </row>
    <row r="6188">
      <c r="C6188" s="72"/>
      <c r="G6188" s="77"/>
      <c r="H6188" s="77"/>
    </row>
    <row r="6189">
      <c r="C6189" s="72"/>
      <c r="G6189" s="77"/>
      <c r="H6189" s="77"/>
    </row>
    <row r="6190">
      <c r="C6190" s="72"/>
      <c r="G6190" s="77"/>
      <c r="H6190" s="77"/>
    </row>
    <row r="6191">
      <c r="C6191" s="72"/>
      <c r="G6191" s="77"/>
      <c r="H6191" s="77"/>
    </row>
    <row r="6192">
      <c r="C6192" s="72"/>
      <c r="G6192" s="77"/>
      <c r="H6192" s="77"/>
    </row>
    <row r="6193">
      <c r="C6193" s="72"/>
      <c r="G6193" s="77"/>
      <c r="H6193" s="77"/>
    </row>
    <row r="6194">
      <c r="C6194" s="72"/>
      <c r="G6194" s="77"/>
      <c r="H6194" s="77"/>
    </row>
    <row r="6195">
      <c r="C6195" s="72"/>
      <c r="G6195" s="77"/>
      <c r="H6195" s="77"/>
    </row>
    <row r="6196">
      <c r="C6196" s="72"/>
      <c r="G6196" s="77"/>
      <c r="H6196" s="77"/>
    </row>
    <row r="6197">
      <c r="C6197" s="72"/>
      <c r="G6197" s="77"/>
      <c r="H6197" s="77"/>
    </row>
    <row r="6198">
      <c r="C6198" s="72"/>
      <c r="G6198" s="77"/>
      <c r="H6198" s="77"/>
    </row>
    <row r="6199">
      <c r="C6199" s="72"/>
      <c r="G6199" s="77"/>
      <c r="H6199" s="77"/>
    </row>
    <row r="6200">
      <c r="C6200" s="72"/>
      <c r="G6200" s="77"/>
      <c r="H6200" s="77"/>
    </row>
    <row r="6201">
      <c r="C6201" s="72"/>
      <c r="G6201" s="77"/>
      <c r="H6201" s="77"/>
    </row>
    <row r="6202">
      <c r="C6202" s="72"/>
      <c r="G6202" s="77"/>
      <c r="H6202" s="77"/>
    </row>
    <row r="6203">
      <c r="C6203" s="72"/>
      <c r="G6203" s="77"/>
      <c r="H6203" s="77"/>
    </row>
    <row r="6204">
      <c r="C6204" s="72"/>
      <c r="G6204" s="77"/>
      <c r="H6204" s="77"/>
    </row>
    <row r="6205">
      <c r="C6205" s="72"/>
      <c r="G6205" s="77"/>
      <c r="H6205" s="77"/>
    </row>
    <row r="6206">
      <c r="C6206" s="72"/>
      <c r="G6206" s="77"/>
      <c r="H6206" s="77"/>
    </row>
    <row r="6207">
      <c r="C6207" s="72"/>
      <c r="G6207" s="77"/>
      <c r="H6207" s="77"/>
    </row>
    <row r="6208">
      <c r="C6208" s="72"/>
      <c r="G6208" s="77"/>
      <c r="H6208" s="77"/>
    </row>
    <row r="6209">
      <c r="C6209" s="72"/>
      <c r="G6209" s="77"/>
      <c r="H6209" s="77"/>
    </row>
    <row r="6210">
      <c r="C6210" s="72"/>
      <c r="G6210" s="77"/>
      <c r="H6210" s="77"/>
    </row>
    <row r="6211">
      <c r="C6211" s="72"/>
      <c r="G6211" s="77"/>
      <c r="H6211" s="77"/>
    </row>
    <row r="6212">
      <c r="C6212" s="72"/>
      <c r="G6212" s="77"/>
      <c r="H6212" s="77"/>
    </row>
    <row r="6213">
      <c r="C6213" s="72"/>
      <c r="G6213" s="77"/>
      <c r="H6213" s="77"/>
    </row>
    <row r="6214">
      <c r="C6214" s="72"/>
      <c r="G6214" s="77"/>
      <c r="H6214" s="77"/>
    </row>
    <row r="6215">
      <c r="C6215" s="72"/>
      <c r="G6215" s="77"/>
      <c r="H6215" s="77"/>
    </row>
    <row r="6216">
      <c r="C6216" s="72"/>
      <c r="G6216" s="77"/>
      <c r="H6216" s="77"/>
    </row>
    <row r="6217">
      <c r="C6217" s="72"/>
      <c r="G6217" s="77"/>
      <c r="H6217" s="77"/>
    </row>
    <row r="6218">
      <c r="C6218" s="72"/>
      <c r="G6218" s="77"/>
      <c r="H6218" s="77"/>
    </row>
    <row r="6219">
      <c r="C6219" s="72"/>
      <c r="G6219" s="77"/>
      <c r="H6219" s="77"/>
    </row>
    <row r="6220">
      <c r="C6220" s="72"/>
      <c r="G6220" s="77"/>
      <c r="H6220" s="77"/>
    </row>
    <row r="6221">
      <c r="C6221" s="72"/>
      <c r="G6221" s="77"/>
      <c r="H6221" s="77"/>
    </row>
    <row r="6222">
      <c r="C6222" s="72"/>
      <c r="G6222" s="77"/>
      <c r="H6222" s="77"/>
    </row>
    <row r="6223">
      <c r="C6223" s="72"/>
      <c r="G6223" s="77"/>
      <c r="H6223" s="77"/>
    </row>
    <row r="6224">
      <c r="C6224" s="72"/>
      <c r="G6224" s="77"/>
      <c r="H6224" s="77"/>
    </row>
    <row r="6225">
      <c r="C6225" s="72"/>
      <c r="G6225" s="77"/>
      <c r="H6225" s="77"/>
    </row>
    <row r="6226">
      <c r="C6226" s="72"/>
      <c r="G6226" s="77"/>
      <c r="H6226" s="77"/>
    </row>
    <row r="6227">
      <c r="C6227" s="72"/>
      <c r="G6227" s="77"/>
      <c r="H6227" s="77"/>
    </row>
    <row r="6228">
      <c r="C6228" s="72"/>
      <c r="G6228" s="77"/>
      <c r="H6228" s="77"/>
    </row>
    <row r="6229">
      <c r="C6229" s="72"/>
      <c r="G6229" s="77"/>
      <c r="H6229" s="77"/>
    </row>
    <row r="6230">
      <c r="C6230" s="72"/>
      <c r="G6230" s="77"/>
      <c r="H6230" s="77"/>
    </row>
    <row r="6231">
      <c r="C6231" s="72"/>
      <c r="G6231" s="77"/>
      <c r="H6231" s="77"/>
    </row>
    <row r="6232">
      <c r="C6232" s="72"/>
      <c r="G6232" s="77"/>
      <c r="H6232" s="77"/>
    </row>
    <row r="6233">
      <c r="C6233" s="72"/>
      <c r="G6233" s="77"/>
      <c r="H6233" s="77"/>
    </row>
    <row r="6234">
      <c r="C6234" s="72"/>
      <c r="G6234" s="77"/>
      <c r="H6234" s="77"/>
    </row>
    <row r="6235">
      <c r="C6235" s="72"/>
      <c r="G6235" s="77"/>
      <c r="H6235" s="77"/>
    </row>
    <row r="6236">
      <c r="C6236" s="72"/>
      <c r="G6236" s="77"/>
      <c r="H6236" s="77"/>
    </row>
    <row r="6237">
      <c r="C6237" s="72"/>
      <c r="G6237" s="77"/>
      <c r="H6237" s="77"/>
    </row>
    <row r="6238">
      <c r="C6238" s="72"/>
      <c r="G6238" s="77"/>
      <c r="H6238" s="77"/>
    </row>
    <row r="6239">
      <c r="C6239" s="72"/>
      <c r="G6239" s="77"/>
      <c r="H6239" s="77"/>
    </row>
    <row r="6240">
      <c r="C6240" s="72"/>
      <c r="G6240" s="77"/>
      <c r="H6240" s="77"/>
    </row>
    <row r="6241">
      <c r="C6241" s="72"/>
      <c r="G6241" s="77"/>
      <c r="H6241" s="77"/>
    </row>
    <row r="6242">
      <c r="C6242" s="72"/>
      <c r="G6242" s="77"/>
      <c r="H6242" s="77"/>
    </row>
    <row r="6243">
      <c r="C6243" s="72"/>
      <c r="G6243" s="77"/>
      <c r="H6243" s="77"/>
    </row>
    <row r="6244">
      <c r="C6244" s="72"/>
      <c r="G6244" s="77"/>
      <c r="H6244" s="77"/>
    </row>
    <row r="6245">
      <c r="C6245" s="72"/>
      <c r="G6245" s="77"/>
      <c r="H6245" s="77"/>
    </row>
    <row r="6246">
      <c r="C6246" s="72"/>
      <c r="G6246" s="77"/>
      <c r="H6246" s="77"/>
    </row>
    <row r="6247">
      <c r="C6247" s="72"/>
      <c r="G6247" s="77"/>
      <c r="H6247" s="77"/>
    </row>
    <row r="6248">
      <c r="C6248" s="72"/>
      <c r="G6248" s="77"/>
      <c r="H6248" s="77"/>
    </row>
    <row r="6249">
      <c r="C6249" s="72"/>
      <c r="G6249" s="77"/>
      <c r="H6249" s="77"/>
    </row>
    <row r="6250">
      <c r="C6250" s="72"/>
      <c r="G6250" s="77"/>
      <c r="H6250" s="77"/>
    </row>
    <row r="6251">
      <c r="C6251" s="72"/>
      <c r="G6251" s="77"/>
      <c r="H6251" s="77"/>
    </row>
    <row r="6252">
      <c r="C6252" s="72"/>
      <c r="G6252" s="77"/>
      <c r="H6252" s="77"/>
    </row>
    <row r="6253">
      <c r="C6253" s="72"/>
      <c r="G6253" s="77"/>
      <c r="H6253" s="77"/>
    </row>
    <row r="6254">
      <c r="C6254" s="72"/>
      <c r="G6254" s="77"/>
      <c r="H6254" s="77"/>
    </row>
    <row r="6255">
      <c r="C6255" s="72"/>
      <c r="G6255" s="77"/>
      <c r="H6255" s="77"/>
    </row>
    <row r="6256">
      <c r="C6256" s="72"/>
      <c r="G6256" s="77"/>
      <c r="H6256" s="77"/>
    </row>
    <row r="6257">
      <c r="C6257" s="72"/>
      <c r="G6257" s="77"/>
      <c r="H6257" s="77"/>
    </row>
    <row r="6258">
      <c r="C6258" s="72"/>
      <c r="G6258" s="77"/>
      <c r="H6258" s="77"/>
    </row>
    <row r="6259">
      <c r="C6259" s="72"/>
      <c r="G6259" s="77"/>
      <c r="H6259" s="77"/>
    </row>
    <row r="6260">
      <c r="C6260" s="72"/>
      <c r="G6260" s="77"/>
      <c r="H6260" s="77"/>
    </row>
    <row r="6261">
      <c r="C6261" s="72"/>
      <c r="G6261" s="77"/>
      <c r="H6261" s="77"/>
    </row>
    <row r="6262">
      <c r="C6262" s="72"/>
      <c r="G6262" s="77"/>
      <c r="H6262" s="77"/>
    </row>
    <row r="6263">
      <c r="C6263" s="72"/>
      <c r="G6263" s="77"/>
      <c r="H6263" s="77"/>
    </row>
    <row r="6264">
      <c r="C6264" s="72"/>
      <c r="G6264" s="77"/>
      <c r="H6264" s="77"/>
    </row>
    <row r="6265">
      <c r="C6265" s="72"/>
      <c r="G6265" s="77"/>
      <c r="H6265" s="77"/>
    </row>
    <row r="6266">
      <c r="C6266" s="72"/>
      <c r="G6266" s="77"/>
      <c r="H6266" s="77"/>
    </row>
    <row r="6267">
      <c r="C6267" s="72"/>
      <c r="G6267" s="77"/>
      <c r="H6267" s="77"/>
    </row>
    <row r="6268">
      <c r="C6268" s="72"/>
      <c r="G6268" s="77"/>
      <c r="H6268" s="77"/>
    </row>
    <row r="6269">
      <c r="C6269" s="72"/>
      <c r="G6269" s="77"/>
      <c r="H6269" s="77"/>
    </row>
    <row r="6270">
      <c r="C6270" s="72"/>
      <c r="G6270" s="77"/>
      <c r="H6270" s="77"/>
    </row>
    <row r="6271">
      <c r="C6271" s="72"/>
      <c r="G6271" s="77"/>
      <c r="H6271" s="77"/>
    </row>
    <row r="6272">
      <c r="C6272" s="72"/>
      <c r="G6272" s="77"/>
      <c r="H6272" s="77"/>
    </row>
    <row r="6273">
      <c r="C6273" s="72"/>
      <c r="G6273" s="77"/>
      <c r="H6273" s="77"/>
    </row>
    <row r="6274">
      <c r="C6274" s="72"/>
      <c r="G6274" s="77"/>
      <c r="H6274" s="77"/>
    </row>
    <row r="6275">
      <c r="C6275" s="72"/>
      <c r="G6275" s="77"/>
      <c r="H6275" s="77"/>
    </row>
    <row r="6276">
      <c r="C6276" s="72"/>
      <c r="G6276" s="77"/>
      <c r="H6276" s="77"/>
    </row>
    <row r="6277">
      <c r="C6277" s="72"/>
      <c r="G6277" s="77"/>
      <c r="H6277" s="77"/>
    </row>
    <row r="6278">
      <c r="C6278" s="72"/>
      <c r="G6278" s="77"/>
      <c r="H6278" s="77"/>
    </row>
    <row r="6279">
      <c r="C6279" s="72"/>
      <c r="G6279" s="77"/>
      <c r="H6279" s="77"/>
    </row>
    <row r="6280">
      <c r="C6280" s="72"/>
      <c r="G6280" s="77"/>
      <c r="H6280" s="77"/>
    </row>
    <row r="6281">
      <c r="C6281" s="72"/>
      <c r="G6281" s="77"/>
      <c r="H6281" s="77"/>
    </row>
    <row r="6282">
      <c r="C6282" s="72"/>
      <c r="G6282" s="77"/>
      <c r="H6282" s="77"/>
    </row>
    <row r="6283">
      <c r="C6283" s="72"/>
      <c r="G6283" s="77"/>
      <c r="H6283" s="77"/>
    </row>
    <row r="6284">
      <c r="C6284" s="72"/>
      <c r="G6284" s="77"/>
      <c r="H6284" s="77"/>
    </row>
    <row r="6285">
      <c r="C6285" s="72"/>
      <c r="G6285" s="77"/>
      <c r="H6285" s="77"/>
    </row>
    <row r="6286">
      <c r="C6286" s="72"/>
      <c r="G6286" s="77"/>
      <c r="H6286" s="77"/>
    </row>
    <row r="6287">
      <c r="C6287" s="72"/>
      <c r="G6287" s="77"/>
      <c r="H6287" s="77"/>
    </row>
    <row r="6288">
      <c r="C6288" s="72"/>
      <c r="G6288" s="77"/>
      <c r="H6288" s="77"/>
    </row>
    <row r="6289">
      <c r="C6289" s="72"/>
      <c r="G6289" s="77"/>
      <c r="H6289" s="77"/>
    </row>
    <row r="6290">
      <c r="C6290" s="72"/>
      <c r="G6290" s="77"/>
      <c r="H6290" s="77"/>
    </row>
    <row r="6291">
      <c r="C6291" s="72"/>
      <c r="G6291" s="77"/>
      <c r="H6291" s="77"/>
    </row>
    <row r="6292">
      <c r="C6292" s="72"/>
      <c r="G6292" s="77"/>
      <c r="H6292" s="77"/>
    </row>
    <row r="6293">
      <c r="C6293" s="72"/>
      <c r="G6293" s="77"/>
      <c r="H6293" s="77"/>
    </row>
    <row r="6294">
      <c r="C6294" s="72"/>
      <c r="G6294" s="77"/>
      <c r="H6294" s="77"/>
    </row>
    <row r="6295">
      <c r="C6295" s="72"/>
      <c r="G6295" s="77"/>
      <c r="H6295" s="77"/>
    </row>
    <row r="6296">
      <c r="C6296" s="72"/>
      <c r="G6296" s="77"/>
      <c r="H6296" s="77"/>
    </row>
    <row r="6297">
      <c r="C6297" s="72"/>
      <c r="G6297" s="77"/>
      <c r="H6297" s="77"/>
    </row>
    <row r="6298">
      <c r="C6298" s="72"/>
      <c r="G6298" s="77"/>
      <c r="H6298" s="77"/>
    </row>
    <row r="6299">
      <c r="C6299" s="72"/>
      <c r="G6299" s="77"/>
      <c r="H6299" s="77"/>
    </row>
    <row r="6300">
      <c r="C6300" s="72"/>
      <c r="G6300" s="77"/>
      <c r="H6300" s="77"/>
    </row>
    <row r="6301">
      <c r="C6301" s="72"/>
      <c r="G6301" s="77"/>
      <c r="H6301" s="77"/>
    </row>
    <row r="6302">
      <c r="C6302" s="72"/>
      <c r="G6302" s="77"/>
      <c r="H6302" s="77"/>
    </row>
    <row r="6303">
      <c r="C6303" s="72"/>
      <c r="G6303" s="77"/>
      <c r="H6303" s="77"/>
    </row>
    <row r="6304">
      <c r="C6304" s="72"/>
      <c r="G6304" s="77"/>
      <c r="H6304" s="77"/>
    </row>
    <row r="6305">
      <c r="C6305" s="72"/>
      <c r="G6305" s="77"/>
      <c r="H6305" s="77"/>
    </row>
    <row r="6306">
      <c r="C6306" s="72"/>
      <c r="G6306" s="77"/>
      <c r="H6306" s="77"/>
    </row>
    <row r="6307">
      <c r="C6307" s="72"/>
      <c r="G6307" s="77"/>
      <c r="H6307" s="77"/>
    </row>
    <row r="6308">
      <c r="C6308" s="72"/>
      <c r="G6308" s="77"/>
      <c r="H6308" s="77"/>
    </row>
    <row r="6309">
      <c r="C6309" s="72"/>
      <c r="G6309" s="77"/>
      <c r="H6309" s="77"/>
    </row>
    <row r="6310">
      <c r="C6310" s="72"/>
      <c r="G6310" s="77"/>
      <c r="H6310" s="77"/>
    </row>
    <row r="6311">
      <c r="C6311" s="72"/>
      <c r="G6311" s="77"/>
      <c r="H6311" s="77"/>
    </row>
    <row r="6312">
      <c r="C6312" s="72"/>
      <c r="G6312" s="77"/>
      <c r="H6312" s="77"/>
    </row>
    <row r="6313">
      <c r="C6313" s="72"/>
      <c r="G6313" s="77"/>
      <c r="H6313" s="77"/>
    </row>
    <row r="6314">
      <c r="C6314" s="72"/>
      <c r="G6314" s="77"/>
      <c r="H6314" s="77"/>
    </row>
    <row r="6315">
      <c r="C6315" s="72"/>
      <c r="G6315" s="77"/>
      <c r="H6315" s="77"/>
    </row>
    <row r="6316">
      <c r="C6316" s="72"/>
      <c r="G6316" s="77"/>
      <c r="H6316" s="77"/>
    </row>
    <row r="6317">
      <c r="C6317" s="72"/>
      <c r="G6317" s="77"/>
      <c r="H6317" s="77"/>
    </row>
    <row r="6318">
      <c r="C6318" s="72"/>
      <c r="G6318" s="77"/>
      <c r="H6318" s="77"/>
    </row>
    <row r="6319">
      <c r="C6319" s="72"/>
      <c r="G6319" s="77"/>
      <c r="H6319" s="77"/>
    </row>
    <row r="6320">
      <c r="C6320" s="72"/>
      <c r="G6320" s="77"/>
      <c r="H6320" s="77"/>
    </row>
    <row r="6321">
      <c r="C6321" s="72"/>
      <c r="G6321" s="77"/>
      <c r="H6321" s="77"/>
    </row>
    <row r="6322">
      <c r="C6322" s="72"/>
      <c r="G6322" s="77"/>
      <c r="H6322" s="77"/>
    </row>
    <row r="6323">
      <c r="C6323" s="72"/>
      <c r="G6323" s="77"/>
      <c r="H6323" s="77"/>
    </row>
    <row r="6324">
      <c r="C6324" s="72"/>
      <c r="G6324" s="77"/>
      <c r="H6324" s="77"/>
    </row>
    <row r="6325">
      <c r="C6325" s="72"/>
      <c r="G6325" s="77"/>
      <c r="H6325" s="77"/>
    </row>
    <row r="6326">
      <c r="C6326" s="72"/>
      <c r="G6326" s="77"/>
      <c r="H6326" s="77"/>
    </row>
    <row r="6327">
      <c r="C6327" s="72"/>
      <c r="G6327" s="77"/>
      <c r="H6327" s="77"/>
    </row>
    <row r="6328">
      <c r="C6328" s="72"/>
      <c r="G6328" s="77"/>
      <c r="H6328" s="77"/>
    </row>
    <row r="6329">
      <c r="C6329" s="72"/>
      <c r="G6329" s="77"/>
      <c r="H6329" s="77"/>
    </row>
    <row r="6330">
      <c r="C6330" s="72"/>
      <c r="G6330" s="77"/>
      <c r="H6330" s="77"/>
    </row>
    <row r="6331">
      <c r="C6331" s="72"/>
      <c r="G6331" s="77"/>
      <c r="H6331" s="77"/>
    </row>
    <row r="6332">
      <c r="C6332" s="72"/>
      <c r="G6332" s="77"/>
      <c r="H6332" s="77"/>
    </row>
    <row r="6333">
      <c r="C6333" s="72"/>
      <c r="G6333" s="77"/>
      <c r="H6333" s="77"/>
    </row>
    <row r="6334">
      <c r="C6334" s="72"/>
      <c r="G6334" s="77"/>
      <c r="H6334" s="77"/>
    </row>
    <row r="6335">
      <c r="C6335" s="72"/>
      <c r="G6335" s="77"/>
      <c r="H6335" s="77"/>
    </row>
    <row r="6336">
      <c r="C6336" s="72"/>
      <c r="G6336" s="77"/>
      <c r="H6336" s="77"/>
    </row>
    <row r="6337">
      <c r="C6337" s="72"/>
      <c r="G6337" s="77"/>
      <c r="H6337" s="77"/>
    </row>
    <row r="6338">
      <c r="C6338" s="72"/>
      <c r="G6338" s="77"/>
      <c r="H6338" s="77"/>
    </row>
    <row r="6339">
      <c r="C6339" s="72"/>
      <c r="G6339" s="77"/>
      <c r="H6339" s="77"/>
    </row>
    <row r="6340">
      <c r="C6340" s="72"/>
      <c r="G6340" s="77"/>
      <c r="H6340" s="77"/>
    </row>
    <row r="6341">
      <c r="C6341" s="72"/>
      <c r="G6341" s="77"/>
      <c r="H6341" s="77"/>
    </row>
    <row r="6342">
      <c r="C6342" s="72"/>
      <c r="G6342" s="77"/>
      <c r="H6342" s="77"/>
    </row>
    <row r="6343">
      <c r="C6343" s="72"/>
      <c r="G6343" s="77"/>
      <c r="H6343" s="77"/>
    </row>
    <row r="6344">
      <c r="C6344" s="72"/>
      <c r="G6344" s="77"/>
      <c r="H6344" s="77"/>
    </row>
    <row r="6345">
      <c r="C6345" s="72"/>
      <c r="G6345" s="77"/>
      <c r="H6345" s="77"/>
    </row>
    <row r="6346">
      <c r="C6346" s="72"/>
      <c r="G6346" s="77"/>
      <c r="H6346" s="77"/>
    </row>
    <row r="6347">
      <c r="C6347" s="72"/>
      <c r="G6347" s="77"/>
      <c r="H6347" s="77"/>
    </row>
    <row r="6348">
      <c r="C6348" s="72"/>
      <c r="G6348" s="77"/>
      <c r="H6348" s="77"/>
    </row>
    <row r="6349">
      <c r="C6349" s="72"/>
      <c r="G6349" s="77"/>
      <c r="H6349" s="77"/>
    </row>
    <row r="6350">
      <c r="C6350" s="72"/>
      <c r="G6350" s="77"/>
      <c r="H6350" s="77"/>
    </row>
    <row r="6351">
      <c r="C6351" s="72"/>
      <c r="G6351" s="77"/>
      <c r="H6351" s="77"/>
    </row>
    <row r="6352">
      <c r="C6352" s="72"/>
      <c r="G6352" s="77"/>
      <c r="H6352" s="77"/>
    </row>
    <row r="6353">
      <c r="C6353" s="72"/>
      <c r="G6353" s="77"/>
      <c r="H6353" s="77"/>
    </row>
    <row r="6354">
      <c r="C6354" s="72"/>
      <c r="G6354" s="77"/>
      <c r="H6354" s="77"/>
    </row>
    <row r="6355">
      <c r="C6355" s="72"/>
      <c r="G6355" s="77"/>
      <c r="H6355" s="77"/>
    </row>
    <row r="6356">
      <c r="C6356" s="72"/>
      <c r="G6356" s="77"/>
      <c r="H6356" s="77"/>
    </row>
    <row r="6357">
      <c r="C6357" s="72"/>
      <c r="G6357" s="77"/>
      <c r="H6357" s="77"/>
    </row>
    <row r="6358">
      <c r="C6358" s="72"/>
      <c r="G6358" s="77"/>
      <c r="H6358" s="77"/>
    </row>
    <row r="6359">
      <c r="C6359" s="72"/>
      <c r="G6359" s="77"/>
      <c r="H6359" s="77"/>
    </row>
    <row r="6360">
      <c r="C6360" s="72"/>
      <c r="G6360" s="77"/>
      <c r="H6360" s="77"/>
    </row>
    <row r="6361">
      <c r="C6361" s="72"/>
      <c r="G6361" s="77"/>
      <c r="H6361" s="77"/>
    </row>
    <row r="6362">
      <c r="C6362" s="72"/>
      <c r="G6362" s="77"/>
      <c r="H6362" s="77"/>
    </row>
    <row r="6363">
      <c r="C6363" s="72"/>
      <c r="G6363" s="77"/>
      <c r="H6363" s="77"/>
    </row>
    <row r="6364">
      <c r="C6364" s="72"/>
      <c r="G6364" s="77"/>
      <c r="H6364" s="77"/>
    </row>
    <row r="6365">
      <c r="C6365" s="72"/>
      <c r="G6365" s="77"/>
      <c r="H6365" s="77"/>
    </row>
    <row r="6366">
      <c r="C6366" s="72"/>
      <c r="G6366" s="77"/>
      <c r="H6366" s="77"/>
    </row>
    <row r="6367">
      <c r="C6367" s="72"/>
      <c r="G6367" s="77"/>
      <c r="H6367" s="77"/>
    </row>
    <row r="6368">
      <c r="C6368" s="72"/>
      <c r="G6368" s="77"/>
      <c r="H6368" s="77"/>
    </row>
    <row r="6369">
      <c r="C6369" s="72"/>
      <c r="G6369" s="77"/>
      <c r="H6369" s="77"/>
    </row>
    <row r="6370">
      <c r="C6370" s="72"/>
      <c r="G6370" s="77"/>
      <c r="H6370" s="77"/>
    </row>
    <row r="6371">
      <c r="C6371" s="72"/>
      <c r="G6371" s="77"/>
      <c r="H6371" s="77"/>
    </row>
    <row r="6372">
      <c r="C6372" s="72"/>
      <c r="G6372" s="77"/>
      <c r="H6372" s="77"/>
    </row>
    <row r="6373">
      <c r="C6373" s="72"/>
      <c r="G6373" s="77"/>
      <c r="H6373" s="77"/>
    </row>
    <row r="6374">
      <c r="C6374" s="72"/>
      <c r="G6374" s="77"/>
      <c r="H6374" s="77"/>
    </row>
    <row r="6375">
      <c r="C6375" s="72"/>
      <c r="G6375" s="77"/>
      <c r="H6375" s="77"/>
    </row>
    <row r="6376">
      <c r="C6376" s="72"/>
      <c r="G6376" s="77"/>
      <c r="H6376" s="77"/>
    </row>
    <row r="6377">
      <c r="C6377" s="72"/>
      <c r="G6377" s="77"/>
      <c r="H6377" s="77"/>
    </row>
    <row r="6378">
      <c r="C6378" s="72"/>
      <c r="G6378" s="77"/>
      <c r="H6378" s="77"/>
    </row>
    <row r="6379">
      <c r="C6379" s="72"/>
      <c r="G6379" s="77"/>
      <c r="H6379" s="77"/>
    </row>
    <row r="6380">
      <c r="C6380" s="72"/>
      <c r="G6380" s="77"/>
      <c r="H6380" s="77"/>
    </row>
    <row r="6381">
      <c r="C6381" s="72"/>
      <c r="G6381" s="77"/>
      <c r="H6381" s="77"/>
    </row>
    <row r="6382">
      <c r="C6382" s="72"/>
      <c r="G6382" s="77"/>
      <c r="H6382" s="77"/>
    </row>
    <row r="6383">
      <c r="C6383" s="72"/>
      <c r="G6383" s="77"/>
      <c r="H6383" s="77"/>
    </row>
    <row r="6384">
      <c r="C6384" s="72"/>
      <c r="G6384" s="77"/>
      <c r="H6384" s="77"/>
    </row>
    <row r="6385">
      <c r="C6385" s="72"/>
      <c r="G6385" s="77"/>
      <c r="H6385" s="77"/>
    </row>
    <row r="6386">
      <c r="C6386" s="72"/>
      <c r="G6386" s="77"/>
      <c r="H6386" s="77"/>
    </row>
    <row r="6387">
      <c r="C6387" s="72"/>
      <c r="G6387" s="77"/>
      <c r="H6387" s="77"/>
    </row>
    <row r="6388">
      <c r="C6388" s="72"/>
      <c r="G6388" s="77"/>
      <c r="H6388" s="77"/>
    </row>
    <row r="6389">
      <c r="C6389" s="72"/>
      <c r="G6389" s="77"/>
      <c r="H6389" s="77"/>
    </row>
    <row r="6390">
      <c r="C6390" s="72"/>
      <c r="G6390" s="77"/>
      <c r="H6390" s="77"/>
    </row>
    <row r="6391">
      <c r="C6391" s="72"/>
      <c r="G6391" s="77"/>
      <c r="H6391" s="77"/>
    </row>
    <row r="6392">
      <c r="C6392" s="72"/>
      <c r="G6392" s="77"/>
      <c r="H6392" s="77"/>
    </row>
    <row r="6393">
      <c r="C6393" s="72"/>
      <c r="G6393" s="77"/>
      <c r="H6393" s="77"/>
    </row>
    <row r="6394">
      <c r="C6394" s="72"/>
      <c r="G6394" s="77"/>
      <c r="H6394" s="77"/>
    </row>
    <row r="6395">
      <c r="C6395" s="72"/>
      <c r="G6395" s="77"/>
      <c r="H6395" s="77"/>
    </row>
    <row r="6396">
      <c r="C6396" s="72"/>
      <c r="G6396" s="77"/>
      <c r="H6396" s="77"/>
    </row>
    <row r="6397">
      <c r="C6397" s="72"/>
      <c r="G6397" s="77"/>
      <c r="H6397" s="77"/>
    </row>
    <row r="6398">
      <c r="C6398" s="72"/>
      <c r="G6398" s="77"/>
      <c r="H6398" s="77"/>
    </row>
    <row r="6399">
      <c r="C6399" s="72"/>
      <c r="G6399" s="77"/>
      <c r="H6399" s="77"/>
    </row>
    <row r="6400">
      <c r="C6400" s="72"/>
      <c r="G6400" s="77"/>
      <c r="H6400" s="77"/>
    </row>
    <row r="6401">
      <c r="C6401" s="72"/>
      <c r="G6401" s="77"/>
      <c r="H6401" s="77"/>
    </row>
    <row r="6402">
      <c r="C6402" s="72"/>
      <c r="G6402" s="77"/>
      <c r="H6402" s="77"/>
    </row>
    <row r="6403">
      <c r="C6403" s="72"/>
      <c r="G6403" s="77"/>
      <c r="H6403" s="77"/>
    </row>
    <row r="6404">
      <c r="C6404" s="72"/>
      <c r="G6404" s="77"/>
      <c r="H6404" s="77"/>
    </row>
    <row r="6405">
      <c r="C6405" s="72"/>
      <c r="G6405" s="77"/>
      <c r="H6405" s="77"/>
    </row>
    <row r="6406">
      <c r="C6406" s="72"/>
      <c r="G6406" s="77"/>
      <c r="H6406" s="77"/>
    </row>
    <row r="6407">
      <c r="C6407" s="72"/>
      <c r="G6407" s="77"/>
      <c r="H6407" s="77"/>
    </row>
    <row r="6408">
      <c r="C6408" s="72"/>
      <c r="G6408" s="77"/>
      <c r="H6408" s="77"/>
    </row>
    <row r="6409">
      <c r="C6409" s="72"/>
      <c r="G6409" s="77"/>
      <c r="H6409" s="77"/>
    </row>
    <row r="6410">
      <c r="C6410" s="72"/>
      <c r="G6410" s="77"/>
      <c r="H6410" s="77"/>
    </row>
    <row r="6411">
      <c r="C6411" s="72"/>
      <c r="G6411" s="77"/>
      <c r="H6411" s="77"/>
    </row>
    <row r="6412">
      <c r="C6412" s="72"/>
      <c r="G6412" s="77"/>
      <c r="H6412" s="77"/>
    </row>
    <row r="6413">
      <c r="C6413" s="72"/>
      <c r="G6413" s="77"/>
      <c r="H6413" s="77"/>
    </row>
    <row r="6414">
      <c r="C6414" s="72"/>
      <c r="G6414" s="77"/>
      <c r="H6414" s="77"/>
    </row>
    <row r="6415">
      <c r="C6415" s="72"/>
      <c r="G6415" s="77"/>
      <c r="H6415" s="77"/>
    </row>
    <row r="6416">
      <c r="C6416" s="72"/>
      <c r="G6416" s="77"/>
      <c r="H6416" s="77"/>
    </row>
    <row r="6417">
      <c r="C6417" s="72"/>
      <c r="G6417" s="77"/>
      <c r="H6417" s="77"/>
    </row>
    <row r="6418">
      <c r="C6418" s="72"/>
      <c r="G6418" s="77"/>
      <c r="H6418" s="77"/>
    </row>
    <row r="6419">
      <c r="C6419" s="72"/>
      <c r="G6419" s="77"/>
      <c r="H6419" s="77"/>
    </row>
    <row r="6420">
      <c r="C6420" s="72"/>
      <c r="G6420" s="77"/>
      <c r="H6420" s="77"/>
    </row>
    <row r="6421">
      <c r="C6421" s="72"/>
      <c r="G6421" s="77"/>
      <c r="H6421" s="77"/>
    </row>
    <row r="6422">
      <c r="C6422" s="72"/>
      <c r="G6422" s="77"/>
      <c r="H6422" s="77"/>
    </row>
    <row r="6423">
      <c r="C6423" s="72"/>
      <c r="G6423" s="77"/>
      <c r="H6423" s="77"/>
    </row>
    <row r="6424">
      <c r="C6424" s="72"/>
      <c r="G6424" s="77"/>
      <c r="H6424" s="77"/>
    </row>
    <row r="6425">
      <c r="C6425" s="72"/>
      <c r="G6425" s="77"/>
      <c r="H6425" s="77"/>
    </row>
    <row r="6426">
      <c r="C6426" s="72"/>
      <c r="G6426" s="77"/>
      <c r="H6426" s="77"/>
    </row>
    <row r="6427">
      <c r="C6427" s="72"/>
      <c r="G6427" s="77"/>
      <c r="H6427" s="77"/>
    </row>
    <row r="6428">
      <c r="C6428" s="72"/>
      <c r="G6428" s="77"/>
      <c r="H6428" s="77"/>
    </row>
    <row r="6429">
      <c r="C6429" s="72"/>
      <c r="G6429" s="77"/>
      <c r="H6429" s="77"/>
    </row>
    <row r="6430">
      <c r="C6430" s="72"/>
      <c r="G6430" s="77"/>
      <c r="H6430" s="77"/>
    </row>
    <row r="6431">
      <c r="C6431" s="72"/>
      <c r="G6431" s="77"/>
      <c r="H6431" s="77"/>
    </row>
    <row r="6432">
      <c r="C6432" s="72"/>
      <c r="G6432" s="77"/>
      <c r="H6432" s="77"/>
    </row>
    <row r="6433">
      <c r="C6433" s="72"/>
      <c r="G6433" s="77"/>
      <c r="H6433" s="77"/>
    </row>
    <row r="6434">
      <c r="C6434" s="72"/>
      <c r="G6434" s="77"/>
      <c r="H6434" s="77"/>
    </row>
    <row r="6435">
      <c r="C6435" s="72"/>
      <c r="G6435" s="77"/>
      <c r="H6435" s="77"/>
    </row>
    <row r="6436">
      <c r="C6436" s="72"/>
      <c r="G6436" s="77"/>
      <c r="H6436" s="77"/>
    </row>
    <row r="6437">
      <c r="C6437" s="72"/>
      <c r="G6437" s="77"/>
      <c r="H6437" s="77"/>
    </row>
    <row r="6438">
      <c r="C6438" s="72"/>
      <c r="G6438" s="77"/>
      <c r="H6438" s="77"/>
    </row>
    <row r="6439">
      <c r="C6439" s="72"/>
      <c r="G6439" s="77"/>
      <c r="H6439" s="77"/>
    </row>
    <row r="6440">
      <c r="C6440" s="72"/>
      <c r="G6440" s="77"/>
      <c r="H6440" s="77"/>
    </row>
    <row r="6441">
      <c r="C6441" s="72"/>
      <c r="G6441" s="77"/>
      <c r="H6441" s="77"/>
    </row>
    <row r="6442">
      <c r="C6442" s="72"/>
      <c r="G6442" s="77"/>
      <c r="H6442" s="77"/>
    </row>
    <row r="6443">
      <c r="C6443" s="72"/>
      <c r="G6443" s="77"/>
      <c r="H6443" s="77"/>
    </row>
    <row r="6444">
      <c r="C6444" s="72"/>
      <c r="G6444" s="77"/>
      <c r="H6444" s="77"/>
    </row>
    <row r="6445">
      <c r="C6445" s="72"/>
      <c r="G6445" s="77"/>
      <c r="H6445" s="77"/>
    </row>
    <row r="6446">
      <c r="C6446" s="72"/>
      <c r="G6446" s="77"/>
      <c r="H6446" s="77"/>
    </row>
    <row r="6447">
      <c r="C6447" s="72"/>
      <c r="G6447" s="77"/>
      <c r="H6447" s="77"/>
    </row>
    <row r="6448">
      <c r="C6448" s="72"/>
      <c r="G6448" s="77"/>
      <c r="H6448" s="77"/>
    </row>
    <row r="6449">
      <c r="C6449" s="72"/>
      <c r="G6449" s="77"/>
      <c r="H6449" s="77"/>
    </row>
    <row r="6450">
      <c r="C6450" s="72"/>
      <c r="G6450" s="77"/>
      <c r="H6450" s="77"/>
    </row>
    <row r="6451">
      <c r="C6451" s="72"/>
      <c r="G6451" s="77"/>
      <c r="H6451" s="77"/>
    </row>
    <row r="6452">
      <c r="C6452" s="72"/>
      <c r="G6452" s="77"/>
      <c r="H6452" s="77"/>
    </row>
    <row r="6453">
      <c r="C6453" s="72"/>
      <c r="G6453" s="77"/>
      <c r="H6453" s="77"/>
    </row>
    <row r="6454">
      <c r="C6454" s="72"/>
      <c r="G6454" s="77"/>
      <c r="H6454" s="77"/>
    </row>
    <row r="6455">
      <c r="C6455" s="72"/>
      <c r="G6455" s="77"/>
      <c r="H6455" s="77"/>
    </row>
    <row r="6456">
      <c r="C6456" s="72"/>
      <c r="G6456" s="77"/>
      <c r="H6456" s="77"/>
    </row>
    <row r="6457">
      <c r="C6457" s="72"/>
      <c r="G6457" s="77"/>
      <c r="H6457" s="77"/>
    </row>
    <row r="6458">
      <c r="C6458" s="72"/>
      <c r="G6458" s="77"/>
      <c r="H6458" s="77"/>
    </row>
    <row r="6459">
      <c r="C6459" s="72"/>
      <c r="G6459" s="77"/>
      <c r="H6459" s="77"/>
    </row>
    <row r="6460">
      <c r="C6460" s="72"/>
      <c r="G6460" s="77"/>
      <c r="H6460" s="77"/>
    </row>
    <row r="6461">
      <c r="C6461" s="72"/>
      <c r="G6461" s="77"/>
      <c r="H6461" s="77"/>
    </row>
    <row r="6462">
      <c r="C6462" s="72"/>
      <c r="G6462" s="77"/>
      <c r="H6462" s="77"/>
    </row>
    <row r="6463">
      <c r="C6463" s="72"/>
      <c r="G6463" s="77"/>
      <c r="H6463" s="77"/>
    </row>
    <row r="6464">
      <c r="C6464" s="72"/>
      <c r="G6464" s="77"/>
      <c r="H6464" s="77"/>
    </row>
    <row r="6465">
      <c r="C6465" s="72"/>
      <c r="G6465" s="77"/>
      <c r="H6465" s="77"/>
    </row>
    <row r="6466">
      <c r="C6466" s="72"/>
      <c r="G6466" s="77"/>
      <c r="H6466" s="77"/>
    </row>
    <row r="6467">
      <c r="C6467" s="72"/>
      <c r="G6467" s="77"/>
      <c r="H6467" s="77"/>
    </row>
    <row r="6468">
      <c r="C6468" s="72"/>
      <c r="G6468" s="77"/>
      <c r="H6468" s="77"/>
    </row>
    <row r="6469">
      <c r="C6469" s="72"/>
      <c r="G6469" s="77"/>
      <c r="H6469" s="77"/>
    </row>
    <row r="6470">
      <c r="C6470" s="72"/>
      <c r="G6470" s="77"/>
      <c r="H6470" s="77"/>
    </row>
    <row r="6471">
      <c r="C6471" s="72"/>
      <c r="G6471" s="77"/>
      <c r="H6471" s="77"/>
    </row>
    <row r="6472">
      <c r="C6472" s="72"/>
      <c r="G6472" s="77"/>
      <c r="H6472" s="77"/>
    </row>
    <row r="6473">
      <c r="C6473" s="72"/>
      <c r="G6473" s="77"/>
      <c r="H6473" s="77"/>
    </row>
    <row r="6474">
      <c r="C6474" s="72"/>
      <c r="G6474" s="77"/>
      <c r="H6474" s="77"/>
    </row>
    <row r="6475">
      <c r="C6475" s="72"/>
      <c r="G6475" s="77"/>
      <c r="H6475" s="77"/>
    </row>
    <row r="6476">
      <c r="C6476" s="72"/>
      <c r="G6476" s="77"/>
      <c r="H6476" s="77"/>
    </row>
    <row r="6477">
      <c r="C6477" s="72"/>
      <c r="G6477" s="77"/>
      <c r="H6477" s="77"/>
    </row>
    <row r="6478">
      <c r="C6478" s="72"/>
      <c r="G6478" s="77"/>
      <c r="H6478" s="77"/>
    </row>
    <row r="6479">
      <c r="C6479" s="72"/>
      <c r="G6479" s="77"/>
      <c r="H6479" s="77"/>
    </row>
    <row r="6480">
      <c r="C6480" s="72"/>
      <c r="G6480" s="77"/>
      <c r="H6480" s="77"/>
    </row>
    <row r="6481">
      <c r="C6481" s="72"/>
      <c r="G6481" s="77"/>
      <c r="H6481" s="77"/>
    </row>
    <row r="6482">
      <c r="C6482" s="72"/>
      <c r="G6482" s="77"/>
      <c r="H6482" s="77"/>
    </row>
    <row r="6483">
      <c r="C6483" s="72"/>
      <c r="G6483" s="77"/>
      <c r="H6483" s="77"/>
    </row>
    <row r="6484">
      <c r="C6484" s="72"/>
      <c r="G6484" s="77"/>
      <c r="H6484" s="77"/>
    </row>
    <row r="6485">
      <c r="C6485" s="72"/>
      <c r="G6485" s="77"/>
      <c r="H6485" s="77"/>
    </row>
    <row r="6486">
      <c r="C6486" s="72"/>
      <c r="G6486" s="77"/>
      <c r="H6486" s="77"/>
    </row>
    <row r="6487">
      <c r="C6487" s="72"/>
      <c r="G6487" s="77"/>
      <c r="H6487" s="77"/>
    </row>
    <row r="6488">
      <c r="C6488" s="72"/>
      <c r="G6488" s="77"/>
      <c r="H6488" s="77"/>
    </row>
    <row r="6489">
      <c r="C6489" s="72"/>
      <c r="G6489" s="77"/>
      <c r="H6489" s="77"/>
    </row>
    <row r="6490">
      <c r="C6490" s="72"/>
      <c r="G6490" s="77"/>
      <c r="H6490" s="77"/>
    </row>
    <row r="6491">
      <c r="C6491" s="72"/>
      <c r="G6491" s="77"/>
      <c r="H6491" s="77"/>
    </row>
    <row r="6492">
      <c r="C6492" s="72"/>
      <c r="G6492" s="77"/>
      <c r="H6492" s="77"/>
    </row>
    <row r="6493">
      <c r="C6493" s="72"/>
      <c r="G6493" s="77"/>
      <c r="H6493" s="77"/>
    </row>
    <row r="6494">
      <c r="C6494" s="72"/>
      <c r="G6494" s="77"/>
      <c r="H6494" s="77"/>
    </row>
    <row r="6495">
      <c r="C6495" s="72"/>
      <c r="G6495" s="77"/>
      <c r="H6495" s="77"/>
    </row>
    <row r="6496">
      <c r="C6496" s="72"/>
      <c r="G6496" s="77"/>
      <c r="H6496" s="77"/>
    </row>
    <row r="6497">
      <c r="C6497" s="72"/>
      <c r="G6497" s="77"/>
      <c r="H6497" s="77"/>
    </row>
    <row r="6498">
      <c r="C6498" s="72"/>
      <c r="G6498" s="77"/>
      <c r="H6498" s="77"/>
    </row>
    <row r="6499">
      <c r="C6499" s="72"/>
      <c r="G6499" s="77"/>
      <c r="H6499" s="77"/>
    </row>
    <row r="6500">
      <c r="C6500" s="72"/>
      <c r="G6500" s="77"/>
      <c r="H6500" s="77"/>
    </row>
    <row r="6501">
      <c r="C6501" s="72"/>
      <c r="G6501" s="77"/>
      <c r="H6501" s="77"/>
    </row>
    <row r="6502">
      <c r="C6502" s="72"/>
      <c r="G6502" s="77"/>
      <c r="H6502" s="77"/>
    </row>
    <row r="6503">
      <c r="C6503" s="72"/>
      <c r="G6503" s="77"/>
      <c r="H6503" s="77"/>
    </row>
    <row r="6504">
      <c r="C6504" s="72"/>
      <c r="G6504" s="77"/>
      <c r="H6504" s="77"/>
    </row>
    <row r="6505">
      <c r="C6505" s="72"/>
      <c r="G6505" s="77"/>
      <c r="H6505" s="77"/>
    </row>
    <row r="6506">
      <c r="C6506" s="72"/>
      <c r="G6506" s="77"/>
      <c r="H6506" s="77"/>
    </row>
    <row r="6507">
      <c r="C6507" s="72"/>
      <c r="G6507" s="77"/>
      <c r="H6507" s="77"/>
    </row>
    <row r="6508">
      <c r="C6508" s="72"/>
      <c r="G6508" s="77"/>
      <c r="H6508" s="77"/>
    </row>
    <row r="6509">
      <c r="C6509" s="72"/>
      <c r="G6509" s="77"/>
      <c r="H6509" s="77"/>
    </row>
    <row r="6510">
      <c r="C6510" s="72"/>
      <c r="G6510" s="77"/>
      <c r="H6510" s="77"/>
    </row>
    <row r="6511">
      <c r="C6511" s="72"/>
      <c r="G6511" s="77"/>
      <c r="H6511" s="77"/>
    </row>
    <row r="6512">
      <c r="C6512" s="72"/>
      <c r="G6512" s="77"/>
      <c r="H6512" s="77"/>
    </row>
    <row r="6513">
      <c r="C6513" s="72"/>
      <c r="G6513" s="77"/>
      <c r="H6513" s="77"/>
    </row>
    <row r="6514">
      <c r="C6514" s="72"/>
      <c r="G6514" s="77"/>
      <c r="H6514" s="77"/>
    </row>
    <row r="6515">
      <c r="C6515" s="72"/>
      <c r="G6515" s="77"/>
      <c r="H6515" s="77"/>
    </row>
    <row r="6516">
      <c r="C6516" s="72"/>
      <c r="G6516" s="77"/>
      <c r="H6516" s="77"/>
    </row>
    <row r="6517">
      <c r="C6517" s="72"/>
      <c r="G6517" s="77"/>
      <c r="H6517" s="77"/>
    </row>
    <row r="6518">
      <c r="C6518" s="72"/>
      <c r="G6518" s="77"/>
      <c r="H6518" s="77"/>
    </row>
    <row r="6519">
      <c r="C6519" s="72"/>
      <c r="G6519" s="77"/>
      <c r="H6519" s="77"/>
    </row>
    <row r="6520">
      <c r="C6520" s="72"/>
      <c r="G6520" s="77"/>
      <c r="H6520" s="77"/>
    </row>
    <row r="6521">
      <c r="C6521" s="72"/>
      <c r="G6521" s="77"/>
      <c r="H6521" s="77"/>
    </row>
    <row r="6522">
      <c r="C6522" s="72"/>
      <c r="G6522" s="77"/>
      <c r="H6522" s="77"/>
    </row>
    <row r="6523">
      <c r="C6523" s="72"/>
      <c r="G6523" s="77"/>
      <c r="H6523" s="77"/>
    </row>
    <row r="6524">
      <c r="C6524" s="72"/>
      <c r="G6524" s="77"/>
      <c r="H6524" s="77"/>
    </row>
    <row r="6525">
      <c r="C6525" s="72"/>
      <c r="G6525" s="77"/>
      <c r="H6525" s="77"/>
    </row>
    <row r="6526">
      <c r="C6526" s="72"/>
      <c r="G6526" s="77"/>
      <c r="H6526" s="77"/>
    </row>
    <row r="6527">
      <c r="C6527" s="72"/>
      <c r="G6527" s="77"/>
      <c r="H6527" s="77"/>
    </row>
    <row r="6528">
      <c r="C6528" s="72"/>
      <c r="G6528" s="77"/>
      <c r="H6528" s="77"/>
    </row>
    <row r="6529">
      <c r="C6529" s="72"/>
      <c r="G6529" s="77"/>
      <c r="H6529" s="77"/>
    </row>
    <row r="6530">
      <c r="C6530" s="72"/>
      <c r="G6530" s="77"/>
      <c r="H6530" s="77"/>
    </row>
    <row r="6531">
      <c r="C6531" s="72"/>
      <c r="G6531" s="77"/>
      <c r="H6531" s="77"/>
    </row>
    <row r="6532">
      <c r="C6532" s="72"/>
      <c r="G6532" s="77"/>
      <c r="H6532" s="77"/>
    </row>
    <row r="6533">
      <c r="C6533" s="72"/>
      <c r="G6533" s="77"/>
      <c r="H6533" s="77"/>
    </row>
    <row r="6534">
      <c r="C6534" s="72"/>
      <c r="G6534" s="77"/>
      <c r="H6534" s="77"/>
    </row>
    <row r="6535">
      <c r="C6535" s="72"/>
      <c r="G6535" s="77"/>
      <c r="H6535" s="77"/>
    </row>
    <row r="6536">
      <c r="C6536" s="72"/>
      <c r="G6536" s="77"/>
      <c r="H6536" s="77"/>
    </row>
    <row r="6537">
      <c r="C6537" s="72"/>
      <c r="G6537" s="77"/>
      <c r="H6537" s="77"/>
    </row>
    <row r="6538">
      <c r="C6538" s="72"/>
      <c r="G6538" s="77"/>
      <c r="H6538" s="77"/>
    </row>
    <row r="6539">
      <c r="C6539" s="72"/>
      <c r="G6539" s="77"/>
      <c r="H6539" s="77"/>
    </row>
    <row r="6540">
      <c r="C6540" s="72"/>
      <c r="G6540" s="77"/>
      <c r="H6540" s="77"/>
    </row>
    <row r="6541">
      <c r="C6541" s="72"/>
      <c r="G6541" s="77"/>
      <c r="H6541" s="77"/>
    </row>
    <row r="6542">
      <c r="C6542" s="72"/>
      <c r="G6542" s="77"/>
      <c r="H6542" s="77"/>
    </row>
    <row r="6543">
      <c r="C6543" s="72"/>
      <c r="G6543" s="77"/>
      <c r="H6543" s="77"/>
    </row>
    <row r="6544">
      <c r="C6544" s="72"/>
      <c r="G6544" s="77"/>
      <c r="H6544" s="77"/>
    </row>
    <row r="6545">
      <c r="C6545" s="72"/>
      <c r="G6545" s="77"/>
      <c r="H6545" s="77"/>
    </row>
    <row r="6546">
      <c r="C6546" s="72"/>
      <c r="G6546" s="77"/>
      <c r="H6546" s="77"/>
    </row>
    <row r="6547">
      <c r="C6547" s="72"/>
      <c r="G6547" s="77"/>
      <c r="H6547" s="77"/>
    </row>
    <row r="6548">
      <c r="C6548" s="72"/>
      <c r="G6548" s="77"/>
      <c r="H6548" s="77"/>
    </row>
    <row r="6549">
      <c r="C6549" s="72"/>
      <c r="G6549" s="77"/>
      <c r="H6549" s="77"/>
    </row>
    <row r="6550">
      <c r="C6550" s="72"/>
      <c r="G6550" s="77"/>
      <c r="H6550" s="77"/>
    </row>
    <row r="6551">
      <c r="C6551" s="72"/>
      <c r="G6551" s="77"/>
      <c r="H6551" s="77"/>
    </row>
    <row r="6552">
      <c r="C6552" s="72"/>
      <c r="G6552" s="77"/>
      <c r="H6552" s="77"/>
    </row>
    <row r="6553">
      <c r="C6553" s="72"/>
      <c r="G6553" s="77"/>
      <c r="H6553" s="77"/>
    </row>
    <row r="6554">
      <c r="C6554" s="72"/>
      <c r="G6554" s="77"/>
      <c r="H6554" s="77"/>
    </row>
    <row r="6555">
      <c r="C6555" s="72"/>
      <c r="G6555" s="77"/>
      <c r="H6555" s="77"/>
    </row>
    <row r="6556">
      <c r="C6556" s="72"/>
      <c r="G6556" s="77"/>
      <c r="H6556" s="77"/>
    </row>
    <row r="6557">
      <c r="C6557" s="72"/>
      <c r="G6557" s="77"/>
      <c r="H6557" s="77"/>
    </row>
    <row r="6558">
      <c r="C6558" s="72"/>
      <c r="G6558" s="77"/>
      <c r="H6558" s="77"/>
    </row>
    <row r="6559">
      <c r="C6559" s="72"/>
      <c r="G6559" s="77"/>
      <c r="H6559" s="77"/>
    </row>
    <row r="6560">
      <c r="C6560" s="72"/>
      <c r="G6560" s="77"/>
      <c r="H6560" s="77"/>
    </row>
    <row r="6561">
      <c r="C6561" s="72"/>
      <c r="G6561" s="77"/>
      <c r="H6561" s="77"/>
    </row>
    <row r="6562">
      <c r="C6562" s="72"/>
      <c r="G6562" s="77"/>
      <c r="H6562" s="77"/>
    </row>
    <row r="6563">
      <c r="C6563" s="72"/>
      <c r="G6563" s="77"/>
      <c r="H6563" s="77"/>
    </row>
    <row r="6564">
      <c r="C6564" s="72"/>
      <c r="G6564" s="77"/>
      <c r="H6564" s="77"/>
    </row>
    <row r="6565">
      <c r="C6565" s="72"/>
      <c r="G6565" s="77"/>
      <c r="H6565" s="77"/>
    </row>
    <row r="6566">
      <c r="C6566" s="72"/>
      <c r="G6566" s="77"/>
      <c r="H6566" s="77"/>
    </row>
    <row r="6567">
      <c r="C6567" s="72"/>
      <c r="G6567" s="77"/>
      <c r="H6567" s="77"/>
    </row>
    <row r="6568">
      <c r="C6568" s="72"/>
      <c r="G6568" s="77"/>
      <c r="H6568" s="77"/>
    </row>
    <row r="6569">
      <c r="C6569" s="72"/>
      <c r="G6569" s="77"/>
      <c r="H6569" s="77"/>
    </row>
    <row r="6570">
      <c r="C6570" s="72"/>
      <c r="G6570" s="77"/>
      <c r="H6570" s="77"/>
    </row>
    <row r="6571">
      <c r="C6571" s="72"/>
      <c r="G6571" s="77"/>
      <c r="H6571" s="77"/>
    </row>
    <row r="6572">
      <c r="C6572" s="72"/>
      <c r="G6572" s="77"/>
      <c r="H6572" s="77"/>
    </row>
    <row r="6573">
      <c r="C6573" s="72"/>
      <c r="G6573" s="77"/>
      <c r="H6573" s="77"/>
    </row>
    <row r="6574">
      <c r="C6574" s="72"/>
      <c r="G6574" s="77"/>
      <c r="H6574" s="77"/>
    </row>
    <row r="6575">
      <c r="C6575" s="72"/>
      <c r="G6575" s="77"/>
      <c r="H6575" s="77"/>
    </row>
    <row r="6576">
      <c r="C6576" s="72"/>
      <c r="G6576" s="77"/>
      <c r="H6576" s="77"/>
    </row>
    <row r="6577">
      <c r="C6577" s="72"/>
      <c r="G6577" s="77"/>
      <c r="H6577" s="77"/>
    </row>
    <row r="6578">
      <c r="C6578" s="72"/>
      <c r="G6578" s="77"/>
      <c r="H6578" s="77"/>
    </row>
    <row r="6579">
      <c r="C6579" s="72"/>
      <c r="G6579" s="77"/>
      <c r="H6579" s="77"/>
    </row>
    <row r="6580">
      <c r="C6580" s="72"/>
      <c r="G6580" s="77"/>
      <c r="H6580" s="77"/>
    </row>
    <row r="6581">
      <c r="C6581" s="72"/>
      <c r="G6581" s="77"/>
      <c r="H6581" s="77"/>
    </row>
    <row r="6582">
      <c r="C6582" s="72"/>
      <c r="G6582" s="77"/>
      <c r="H6582" s="77"/>
    </row>
    <row r="6583">
      <c r="C6583" s="72"/>
      <c r="G6583" s="77"/>
      <c r="H6583" s="77"/>
    </row>
    <row r="6584">
      <c r="C6584" s="72"/>
      <c r="G6584" s="77"/>
      <c r="H6584" s="77"/>
    </row>
    <row r="6585">
      <c r="C6585" s="72"/>
      <c r="G6585" s="77"/>
      <c r="H6585" s="77"/>
    </row>
    <row r="6586">
      <c r="C6586" s="72"/>
      <c r="G6586" s="77"/>
      <c r="H6586" s="77"/>
    </row>
    <row r="6587">
      <c r="C6587" s="72"/>
      <c r="G6587" s="77"/>
      <c r="H6587" s="77"/>
    </row>
    <row r="6588">
      <c r="C6588" s="72"/>
      <c r="G6588" s="77"/>
      <c r="H6588" s="77"/>
    </row>
    <row r="6589">
      <c r="C6589" s="72"/>
      <c r="G6589" s="77"/>
      <c r="H6589" s="77"/>
    </row>
    <row r="6590">
      <c r="C6590" s="72"/>
      <c r="G6590" s="77"/>
      <c r="H6590" s="77"/>
    </row>
    <row r="6591">
      <c r="C6591" s="72"/>
      <c r="G6591" s="77"/>
      <c r="H6591" s="77"/>
    </row>
    <row r="6592">
      <c r="C6592" s="72"/>
      <c r="G6592" s="77"/>
      <c r="H6592" s="77"/>
    </row>
    <row r="6593">
      <c r="C6593" s="72"/>
      <c r="G6593" s="77"/>
      <c r="H6593" s="77"/>
    </row>
    <row r="6594">
      <c r="C6594" s="72"/>
      <c r="G6594" s="77"/>
      <c r="H6594" s="77"/>
    </row>
    <row r="6595">
      <c r="C6595" s="72"/>
      <c r="G6595" s="77"/>
      <c r="H6595" s="77"/>
    </row>
    <row r="6596">
      <c r="C6596" s="72"/>
      <c r="G6596" s="77"/>
      <c r="H6596" s="77"/>
    </row>
    <row r="6597">
      <c r="C6597" s="72"/>
      <c r="G6597" s="77"/>
      <c r="H6597" s="77"/>
    </row>
    <row r="6598">
      <c r="C6598" s="72"/>
      <c r="G6598" s="77"/>
      <c r="H6598" s="77"/>
    </row>
    <row r="6599">
      <c r="C6599" s="72"/>
      <c r="G6599" s="77"/>
      <c r="H6599" s="77"/>
    </row>
    <row r="6600">
      <c r="C6600" s="72"/>
      <c r="G6600" s="77"/>
      <c r="H6600" s="77"/>
    </row>
    <row r="6601">
      <c r="C6601" s="72"/>
      <c r="G6601" s="77"/>
      <c r="H6601" s="77"/>
    </row>
    <row r="6602">
      <c r="C6602" s="72"/>
      <c r="G6602" s="77"/>
      <c r="H6602" s="77"/>
    </row>
    <row r="6603">
      <c r="C6603" s="72"/>
      <c r="G6603" s="77"/>
      <c r="H6603" s="77"/>
    </row>
    <row r="6604">
      <c r="C6604" s="72"/>
      <c r="G6604" s="77"/>
      <c r="H6604" s="77"/>
    </row>
    <row r="6605">
      <c r="C6605" s="72"/>
      <c r="G6605" s="77"/>
      <c r="H6605" s="77"/>
    </row>
    <row r="6606">
      <c r="C6606" s="72"/>
      <c r="G6606" s="77"/>
      <c r="H6606" s="77"/>
    </row>
    <row r="6607">
      <c r="C6607" s="72"/>
      <c r="G6607" s="77"/>
      <c r="H6607" s="77"/>
    </row>
    <row r="6608">
      <c r="C6608" s="72"/>
      <c r="G6608" s="77"/>
      <c r="H6608" s="77"/>
    </row>
    <row r="6609">
      <c r="C6609" s="72"/>
      <c r="G6609" s="77"/>
      <c r="H6609" s="77"/>
    </row>
    <row r="6610">
      <c r="C6610" s="72"/>
      <c r="G6610" s="77"/>
      <c r="H6610" s="77"/>
    </row>
    <row r="6611">
      <c r="C6611" s="72"/>
      <c r="G6611" s="77"/>
      <c r="H6611" s="77"/>
    </row>
    <row r="6612">
      <c r="C6612" s="72"/>
      <c r="G6612" s="77"/>
      <c r="H6612" s="77"/>
    </row>
    <row r="6613">
      <c r="C6613" s="72"/>
      <c r="G6613" s="77"/>
      <c r="H6613" s="77"/>
    </row>
    <row r="6614">
      <c r="C6614" s="72"/>
      <c r="G6614" s="77"/>
      <c r="H6614" s="77"/>
    </row>
    <row r="6615">
      <c r="C6615" s="72"/>
      <c r="G6615" s="77"/>
      <c r="H6615" s="77"/>
    </row>
    <row r="6616">
      <c r="C6616" s="72"/>
      <c r="G6616" s="77"/>
      <c r="H6616" s="77"/>
    </row>
    <row r="6617">
      <c r="C6617" s="72"/>
      <c r="G6617" s="77"/>
      <c r="H6617" s="77"/>
    </row>
    <row r="6618">
      <c r="C6618" s="72"/>
      <c r="G6618" s="77"/>
      <c r="H6618" s="77"/>
    </row>
    <row r="6619">
      <c r="C6619" s="72"/>
      <c r="G6619" s="77"/>
      <c r="H6619" s="77"/>
    </row>
    <row r="6620">
      <c r="C6620" s="72"/>
      <c r="G6620" s="77"/>
      <c r="H6620" s="77"/>
    </row>
    <row r="6621">
      <c r="C6621" s="72"/>
      <c r="G6621" s="77"/>
      <c r="H6621" s="77"/>
    </row>
    <row r="6622">
      <c r="C6622" s="72"/>
      <c r="G6622" s="77"/>
      <c r="H6622" s="77"/>
    </row>
    <row r="6623">
      <c r="C6623" s="72"/>
      <c r="G6623" s="77"/>
      <c r="H6623" s="77"/>
    </row>
    <row r="6624">
      <c r="C6624" s="72"/>
      <c r="G6624" s="77"/>
      <c r="H6624" s="77"/>
    </row>
    <row r="6625">
      <c r="C6625" s="72"/>
      <c r="G6625" s="77"/>
      <c r="H6625" s="77"/>
    </row>
    <row r="6626">
      <c r="C6626" s="72"/>
      <c r="G6626" s="77"/>
      <c r="H6626" s="77"/>
    </row>
    <row r="6627">
      <c r="C6627" s="72"/>
      <c r="G6627" s="77"/>
      <c r="H6627" s="77"/>
    </row>
    <row r="6628">
      <c r="C6628" s="72"/>
      <c r="G6628" s="77"/>
      <c r="H6628" s="77"/>
    </row>
    <row r="6629">
      <c r="C6629" s="72"/>
      <c r="G6629" s="77"/>
      <c r="H6629" s="77"/>
    </row>
    <row r="6630">
      <c r="C6630" s="72"/>
      <c r="G6630" s="77"/>
      <c r="H6630" s="77"/>
    </row>
    <row r="6631">
      <c r="C6631" s="72"/>
      <c r="G6631" s="77"/>
      <c r="H6631" s="77"/>
    </row>
    <row r="6632">
      <c r="C6632" s="72"/>
      <c r="G6632" s="77"/>
      <c r="H6632" s="77"/>
    </row>
    <row r="6633">
      <c r="C6633" s="72"/>
      <c r="G6633" s="77"/>
      <c r="H6633" s="77"/>
    </row>
    <row r="6634">
      <c r="C6634" s="72"/>
      <c r="G6634" s="77"/>
      <c r="H6634" s="77"/>
    </row>
    <row r="6635">
      <c r="C6635" s="72"/>
      <c r="G6635" s="77"/>
      <c r="H6635" s="77"/>
    </row>
    <row r="6636">
      <c r="C6636" s="72"/>
      <c r="G6636" s="77"/>
      <c r="H6636" s="77"/>
    </row>
    <row r="6637">
      <c r="C6637" s="72"/>
      <c r="G6637" s="77"/>
      <c r="H6637" s="77"/>
    </row>
    <row r="6638">
      <c r="C6638" s="72"/>
      <c r="G6638" s="77"/>
      <c r="H6638" s="77"/>
    </row>
    <row r="6639">
      <c r="C6639" s="72"/>
      <c r="G6639" s="77"/>
      <c r="H6639" s="77"/>
    </row>
    <row r="6640">
      <c r="C6640" s="72"/>
      <c r="G6640" s="77"/>
      <c r="H6640" s="77"/>
    </row>
    <row r="6641">
      <c r="C6641" s="72"/>
      <c r="G6641" s="77"/>
      <c r="H6641" s="77"/>
    </row>
    <row r="6642">
      <c r="C6642" s="72"/>
      <c r="G6642" s="77"/>
      <c r="H6642" s="77"/>
    </row>
    <row r="6643">
      <c r="C6643" s="72"/>
      <c r="G6643" s="77"/>
      <c r="H6643" s="77"/>
    </row>
    <row r="6644">
      <c r="C6644" s="72"/>
      <c r="G6644" s="77"/>
      <c r="H6644" s="77"/>
    </row>
    <row r="6645">
      <c r="C6645" s="72"/>
      <c r="G6645" s="77"/>
      <c r="H6645" s="77"/>
    </row>
    <row r="6646">
      <c r="C6646" s="72"/>
      <c r="G6646" s="77"/>
      <c r="H6646" s="77"/>
    </row>
    <row r="6647">
      <c r="C6647" s="72"/>
      <c r="G6647" s="77"/>
      <c r="H6647" s="77"/>
    </row>
    <row r="6648">
      <c r="C6648" s="72"/>
      <c r="G6648" s="77"/>
      <c r="H6648" s="77"/>
    </row>
    <row r="6649">
      <c r="C6649" s="72"/>
      <c r="G6649" s="77"/>
      <c r="H6649" s="77"/>
    </row>
    <row r="6650">
      <c r="C6650" s="72"/>
      <c r="G6650" s="77"/>
      <c r="H6650" s="77"/>
    </row>
    <row r="6651">
      <c r="C6651" s="72"/>
      <c r="G6651" s="77"/>
      <c r="H6651" s="77"/>
    </row>
    <row r="6652">
      <c r="C6652" s="72"/>
      <c r="G6652" s="77"/>
      <c r="H6652" s="77"/>
    </row>
    <row r="6653">
      <c r="C6653" s="72"/>
      <c r="G6653" s="77"/>
      <c r="H6653" s="77"/>
    </row>
    <row r="6654">
      <c r="C6654" s="72"/>
      <c r="G6654" s="77"/>
      <c r="H6654" s="77"/>
    </row>
    <row r="6655">
      <c r="C6655" s="72"/>
      <c r="G6655" s="77"/>
      <c r="H6655" s="77"/>
    </row>
    <row r="6656">
      <c r="C6656" s="72"/>
      <c r="G6656" s="77"/>
      <c r="H6656" s="77"/>
    </row>
    <row r="6657">
      <c r="C6657" s="72"/>
      <c r="G6657" s="77"/>
      <c r="H6657" s="77"/>
    </row>
    <row r="6658">
      <c r="C6658" s="72"/>
      <c r="G6658" s="77"/>
      <c r="H6658" s="77"/>
    </row>
    <row r="6659">
      <c r="C6659" s="72"/>
      <c r="G6659" s="77"/>
      <c r="H6659" s="77"/>
    </row>
    <row r="6660">
      <c r="C6660" s="72"/>
      <c r="G6660" s="77"/>
      <c r="H6660" s="77"/>
    </row>
    <row r="6661">
      <c r="C6661" s="72"/>
      <c r="G6661" s="77"/>
      <c r="H6661" s="77"/>
    </row>
    <row r="6662">
      <c r="C6662" s="72"/>
      <c r="G6662" s="77"/>
      <c r="H6662" s="77"/>
    </row>
    <row r="6663">
      <c r="C6663" s="72"/>
      <c r="G6663" s="77"/>
      <c r="H6663" s="77"/>
    </row>
    <row r="6664">
      <c r="C6664" s="72"/>
      <c r="G6664" s="77"/>
      <c r="H6664" s="77"/>
    </row>
    <row r="6665">
      <c r="C6665" s="72"/>
      <c r="G6665" s="77"/>
      <c r="H6665" s="77"/>
    </row>
    <row r="6666">
      <c r="C6666" s="72"/>
      <c r="G6666" s="77"/>
      <c r="H6666" s="77"/>
    </row>
    <row r="6667">
      <c r="C6667" s="72"/>
      <c r="G6667" s="77"/>
      <c r="H6667" s="77"/>
    </row>
    <row r="6668">
      <c r="C6668" s="72"/>
      <c r="G6668" s="77"/>
      <c r="H6668" s="77"/>
    </row>
    <row r="6669">
      <c r="C6669" s="72"/>
      <c r="G6669" s="77"/>
      <c r="H6669" s="77"/>
    </row>
    <row r="6670">
      <c r="C6670" s="72"/>
      <c r="G6670" s="77"/>
      <c r="H6670" s="77"/>
    </row>
    <row r="6671">
      <c r="C6671" s="72"/>
      <c r="G6671" s="77"/>
      <c r="H6671" s="77"/>
    </row>
    <row r="6672">
      <c r="C6672" s="72"/>
      <c r="G6672" s="77"/>
      <c r="H6672" s="77"/>
    </row>
    <row r="6673">
      <c r="C6673" s="72"/>
      <c r="G6673" s="77"/>
      <c r="H6673" s="77"/>
    </row>
    <row r="6674">
      <c r="C6674" s="72"/>
      <c r="G6674" s="77"/>
      <c r="H6674" s="77"/>
    </row>
    <row r="6675">
      <c r="C6675" s="72"/>
      <c r="G6675" s="77"/>
      <c r="H6675" s="77"/>
    </row>
    <row r="6676">
      <c r="C6676" s="72"/>
      <c r="G6676" s="77"/>
      <c r="H6676" s="77"/>
    </row>
    <row r="6677">
      <c r="C6677" s="72"/>
      <c r="G6677" s="77"/>
      <c r="H6677" s="77"/>
    </row>
    <row r="6678">
      <c r="C6678" s="72"/>
      <c r="G6678" s="77"/>
      <c r="H6678" s="77"/>
    </row>
    <row r="6679">
      <c r="C6679" s="72"/>
      <c r="G6679" s="77"/>
      <c r="H6679" s="77"/>
    </row>
    <row r="6680">
      <c r="C6680" s="72"/>
      <c r="G6680" s="77"/>
      <c r="H6680" s="77"/>
    </row>
    <row r="6681">
      <c r="C6681" s="72"/>
      <c r="G6681" s="77"/>
      <c r="H6681" s="77"/>
    </row>
    <row r="6682">
      <c r="C6682" s="72"/>
      <c r="G6682" s="77"/>
      <c r="H6682" s="77"/>
    </row>
    <row r="6683">
      <c r="C6683" s="72"/>
      <c r="G6683" s="77"/>
      <c r="H6683" s="77"/>
    </row>
    <row r="6684">
      <c r="C6684" s="72"/>
      <c r="G6684" s="77"/>
      <c r="H6684" s="77"/>
    </row>
    <row r="6685">
      <c r="C6685" s="72"/>
      <c r="G6685" s="77"/>
      <c r="H6685" s="77"/>
    </row>
    <row r="6686">
      <c r="C6686" s="72"/>
      <c r="G6686" s="77"/>
      <c r="H6686" s="77"/>
    </row>
    <row r="6687">
      <c r="C6687" s="72"/>
      <c r="G6687" s="77"/>
      <c r="H6687" s="77"/>
    </row>
    <row r="6688">
      <c r="C6688" s="72"/>
      <c r="G6688" s="77"/>
      <c r="H6688" s="77"/>
    </row>
    <row r="6689">
      <c r="C6689" s="72"/>
      <c r="G6689" s="77"/>
      <c r="H6689" s="77"/>
    </row>
    <row r="6690">
      <c r="C6690" s="72"/>
      <c r="G6690" s="77"/>
      <c r="H6690" s="77"/>
    </row>
    <row r="6691">
      <c r="C6691" s="72"/>
      <c r="G6691" s="77"/>
      <c r="H6691" s="77"/>
    </row>
    <row r="6692">
      <c r="C6692" s="72"/>
      <c r="G6692" s="77"/>
      <c r="H6692" s="77"/>
    </row>
    <row r="6693">
      <c r="C6693" s="72"/>
      <c r="G6693" s="77"/>
      <c r="H6693" s="77"/>
    </row>
    <row r="6694">
      <c r="C6694" s="72"/>
      <c r="G6694" s="77"/>
      <c r="H6694" s="77"/>
    </row>
    <row r="6695">
      <c r="C6695" s="72"/>
      <c r="G6695" s="77"/>
      <c r="H6695" s="77"/>
    </row>
    <row r="6696">
      <c r="C6696" s="72"/>
      <c r="G6696" s="77"/>
      <c r="H6696" s="77"/>
    </row>
    <row r="6697">
      <c r="C6697" s="72"/>
      <c r="G6697" s="77"/>
      <c r="H6697" s="77"/>
    </row>
    <row r="6698">
      <c r="C6698" s="72"/>
      <c r="G6698" s="77"/>
      <c r="H6698" s="77"/>
    </row>
    <row r="6699">
      <c r="C6699" s="72"/>
      <c r="G6699" s="77"/>
      <c r="H6699" s="77"/>
    </row>
    <row r="6700">
      <c r="C6700" s="72"/>
      <c r="G6700" s="77"/>
      <c r="H6700" s="77"/>
    </row>
    <row r="6701">
      <c r="C6701" s="72"/>
      <c r="G6701" s="77"/>
      <c r="H6701" s="77"/>
    </row>
    <row r="6702">
      <c r="C6702" s="72"/>
      <c r="G6702" s="77"/>
      <c r="H6702" s="77"/>
    </row>
    <row r="6703">
      <c r="C6703" s="72"/>
      <c r="G6703" s="77"/>
      <c r="H6703" s="77"/>
    </row>
    <row r="6704">
      <c r="C6704" s="72"/>
      <c r="G6704" s="77"/>
      <c r="H6704" s="77"/>
    </row>
    <row r="6705">
      <c r="C6705" s="72"/>
      <c r="G6705" s="77"/>
      <c r="H6705" s="77"/>
    </row>
    <row r="6706">
      <c r="C6706" s="72"/>
      <c r="G6706" s="77"/>
      <c r="H6706" s="77"/>
    </row>
    <row r="6707">
      <c r="C6707" s="72"/>
      <c r="G6707" s="77"/>
      <c r="H6707" s="77"/>
    </row>
    <row r="6708">
      <c r="C6708" s="72"/>
      <c r="G6708" s="77"/>
      <c r="H6708" s="77"/>
    </row>
    <row r="6709">
      <c r="C6709" s="72"/>
      <c r="G6709" s="77"/>
      <c r="H6709" s="77"/>
    </row>
    <row r="6710">
      <c r="C6710" s="72"/>
      <c r="G6710" s="77"/>
      <c r="H6710" s="77"/>
    </row>
    <row r="6711">
      <c r="C6711" s="72"/>
      <c r="G6711" s="77"/>
      <c r="H6711" s="77"/>
    </row>
    <row r="6712">
      <c r="C6712" s="72"/>
      <c r="G6712" s="77"/>
      <c r="H6712" s="77"/>
    </row>
    <row r="6713">
      <c r="C6713" s="72"/>
      <c r="G6713" s="77"/>
      <c r="H6713" s="77"/>
    </row>
    <row r="6714">
      <c r="C6714" s="72"/>
      <c r="G6714" s="77"/>
      <c r="H6714" s="77"/>
    </row>
    <row r="6715">
      <c r="C6715" s="72"/>
      <c r="G6715" s="77"/>
      <c r="H6715" s="77"/>
    </row>
    <row r="6716">
      <c r="C6716" s="72"/>
      <c r="G6716" s="77"/>
      <c r="H6716" s="77"/>
    </row>
    <row r="6717">
      <c r="C6717" s="72"/>
      <c r="G6717" s="77"/>
      <c r="H6717" s="77"/>
    </row>
    <row r="6718">
      <c r="C6718" s="72"/>
      <c r="G6718" s="77"/>
      <c r="H6718" s="77"/>
    </row>
    <row r="6719">
      <c r="C6719" s="72"/>
      <c r="G6719" s="77"/>
      <c r="H6719" s="77"/>
    </row>
    <row r="6720">
      <c r="C6720" s="72"/>
      <c r="G6720" s="77"/>
      <c r="H6720" s="77"/>
    </row>
    <row r="6721">
      <c r="C6721" s="72"/>
      <c r="G6721" s="77"/>
      <c r="H6721" s="77"/>
    </row>
    <row r="6722">
      <c r="C6722" s="72"/>
      <c r="G6722" s="77"/>
      <c r="H6722" s="77"/>
    </row>
    <row r="6723">
      <c r="C6723" s="72"/>
      <c r="G6723" s="77"/>
      <c r="H6723" s="77"/>
    </row>
    <row r="6724">
      <c r="C6724" s="72"/>
      <c r="G6724" s="77"/>
      <c r="H6724" s="77"/>
    </row>
    <row r="6725">
      <c r="C6725" s="72"/>
      <c r="G6725" s="77"/>
      <c r="H6725" s="77"/>
    </row>
    <row r="6726">
      <c r="C6726" s="72"/>
      <c r="G6726" s="77"/>
      <c r="H6726" s="77"/>
    </row>
    <row r="6727">
      <c r="C6727" s="72"/>
      <c r="G6727" s="77"/>
      <c r="H6727" s="77"/>
    </row>
    <row r="6728">
      <c r="C6728" s="72"/>
      <c r="G6728" s="77"/>
      <c r="H6728" s="77"/>
    </row>
    <row r="6729">
      <c r="C6729" s="72"/>
      <c r="G6729" s="77"/>
      <c r="H6729" s="77"/>
    </row>
    <row r="6730">
      <c r="C6730" s="72"/>
      <c r="G6730" s="77"/>
      <c r="H6730" s="77"/>
    </row>
    <row r="6731">
      <c r="C6731" s="72"/>
      <c r="G6731" s="77"/>
      <c r="H6731" s="77"/>
    </row>
    <row r="6732">
      <c r="C6732" s="72"/>
      <c r="G6732" s="77"/>
      <c r="H6732" s="77"/>
    </row>
    <row r="6733">
      <c r="C6733" s="72"/>
      <c r="G6733" s="77"/>
      <c r="H6733" s="77"/>
    </row>
    <row r="6734">
      <c r="C6734" s="72"/>
      <c r="G6734" s="77"/>
      <c r="H6734" s="77"/>
    </row>
    <row r="6735">
      <c r="C6735" s="72"/>
      <c r="G6735" s="77"/>
      <c r="H6735" s="77"/>
    </row>
    <row r="6736">
      <c r="C6736" s="72"/>
      <c r="G6736" s="77"/>
      <c r="H6736" s="77"/>
    </row>
    <row r="6737">
      <c r="C6737" s="72"/>
      <c r="G6737" s="77"/>
      <c r="H6737" s="77"/>
    </row>
    <row r="6738">
      <c r="C6738" s="72"/>
      <c r="G6738" s="77"/>
      <c r="H6738" s="77"/>
    </row>
    <row r="6739">
      <c r="C6739" s="72"/>
      <c r="G6739" s="77"/>
      <c r="H6739" s="77"/>
    </row>
    <row r="6740">
      <c r="C6740" s="72"/>
      <c r="G6740" s="77"/>
      <c r="H6740" s="77"/>
    </row>
    <row r="6741">
      <c r="C6741" s="72"/>
      <c r="G6741" s="77"/>
      <c r="H6741" s="77"/>
    </row>
    <row r="6742">
      <c r="C6742" s="72"/>
      <c r="G6742" s="77"/>
      <c r="H6742" s="77"/>
    </row>
    <row r="6743">
      <c r="C6743" s="72"/>
      <c r="G6743" s="77"/>
      <c r="H6743" s="77"/>
    </row>
    <row r="6744">
      <c r="C6744" s="72"/>
      <c r="G6744" s="77"/>
      <c r="H6744" s="77"/>
    </row>
    <row r="6745">
      <c r="C6745" s="72"/>
      <c r="G6745" s="77"/>
      <c r="H6745" s="77"/>
    </row>
    <row r="6746">
      <c r="C6746" s="72"/>
      <c r="G6746" s="77"/>
      <c r="H6746" s="77"/>
    </row>
    <row r="6747">
      <c r="C6747" s="72"/>
      <c r="G6747" s="77"/>
      <c r="H6747" s="77"/>
    </row>
    <row r="6748">
      <c r="C6748" s="72"/>
      <c r="G6748" s="77"/>
      <c r="H6748" s="77"/>
    </row>
    <row r="6749">
      <c r="C6749" s="72"/>
      <c r="G6749" s="77"/>
      <c r="H6749" s="77"/>
    </row>
    <row r="6750">
      <c r="C6750" s="72"/>
      <c r="G6750" s="77"/>
      <c r="H6750" s="77"/>
    </row>
    <row r="6751">
      <c r="C6751" s="72"/>
      <c r="G6751" s="77"/>
      <c r="H6751" s="77"/>
    </row>
    <row r="6752">
      <c r="C6752" s="72"/>
      <c r="G6752" s="77"/>
      <c r="H6752" s="77"/>
    </row>
    <row r="6753">
      <c r="C6753" s="72"/>
      <c r="G6753" s="77"/>
      <c r="H6753" s="77"/>
    </row>
    <row r="6754">
      <c r="C6754" s="72"/>
      <c r="G6754" s="77"/>
      <c r="H6754" s="77"/>
    </row>
    <row r="6755">
      <c r="C6755" s="72"/>
      <c r="G6755" s="77"/>
      <c r="H6755" s="77"/>
    </row>
    <row r="6756">
      <c r="C6756" s="72"/>
      <c r="G6756" s="77"/>
      <c r="H6756" s="77"/>
    </row>
    <row r="6757">
      <c r="C6757" s="72"/>
      <c r="G6757" s="77"/>
      <c r="H6757" s="77"/>
    </row>
    <row r="6758">
      <c r="C6758" s="72"/>
      <c r="G6758" s="77"/>
      <c r="H6758" s="77"/>
    </row>
    <row r="6759">
      <c r="C6759" s="72"/>
      <c r="G6759" s="77"/>
      <c r="H6759" s="77"/>
    </row>
    <row r="6760">
      <c r="C6760" s="72"/>
      <c r="G6760" s="77"/>
      <c r="H6760" s="77"/>
    </row>
    <row r="6761">
      <c r="C6761" s="72"/>
      <c r="G6761" s="77"/>
      <c r="H6761" s="77"/>
    </row>
    <row r="6762">
      <c r="C6762" s="72"/>
      <c r="G6762" s="77"/>
      <c r="H6762" s="77"/>
    </row>
    <row r="6763">
      <c r="C6763" s="72"/>
      <c r="G6763" s="77"/>
      <c r="H6763" s="77"/>
    </row>
    <row r="6764">
      <c r="C6764" s="72"/>
      <c r="G6764" s="77"/>
      <c r="H6764" s="77"/>
    </row>
    <row r="6765">
      <c r="C6765" s="72"/>
      <c r="G6765" s="77"/>
      <c r="H6765" s="77"/>
    </row>
    <row r="6766">
      <c r="C6766" s="72"/>
      <c r="G6766" s="77"/>
      <c r="H6766" s="77"/>
    </row>
    <row r="6767">
      <c r="C6767" s="72"/>
      <c r="G6767" s="77"/>
      <c r="H6767" s="77"/>
    </row>
    <row r="6768">
      <c r="C6768" s="72"/>
      <c r="G6768" s="77"/>
      <c r="H6768" s="77"/>
    </row>
    <row r="6769">
      <c r="C6769" s="72"/>
      <c r="G6769" s="77"/>
      <c r="H6769" s="77"/>
    </row>
    <row r="6770">
      <c r="C6770" s="72"/>
      <c r="G6770" s="77"/>
      <c r="H6770" s="77"/>
    </row>
    <row r="6771">
      <c r="C6771" s="72"/>
      <c r="G6771" s="77"/>
      <c r="H6771" s="77"/>
    </row>
    <row r="6772">
      <c r="C6772" s="72"/>
      <c r="G6772" s="77"/>
      <c r="H6772" s="77"/>
    </row>
    <row r="6773">
      <c r="C6773" s="72"/>
      <c r="G6773" s="77"/>
      <c r="H6773" s="77"/>
    </row>
    <row r="6774">
      <c r="C6774" s="72"/>
      <c r="G6774" s="77"/>
      <c r="H6774" s="77"/>
    </row>
    <row r="6775">
      <c r="C6775" s="72"/>
      <c r="G6775" s="77"/>
      <c r="H6775" s="77"/>
    </row>
    <row r="6776">
      <c r="C6776" s="72"/>
      <c r="G6776" s="77"/>
      <c r="H6776" s="77"/>
    </row>
    <row r="6777">
      <c r="C6777" s="72"/>
      <c r="G6777" s="77"/>
      <c r="H6777" s="77"/>
    </row>
    <row r="6778">
      <c r="C6778" s="72"/>
      <c r="G6778" s="77"/>
      <c r="H6778" s="77"/>
    </row>
    <row r="6779">
      <c r="C6779" s="72"/>
      <c r="G6779" s="77"/>
      <c r="H6779" s="77"/>
    </row>
    <row r="6780">
      <c r="C6780" s="72"/>
      <c r="G6780" s="77"/>
      <c r="H6780" s="77"/>
    </row>
    <row r="6781">
      <c r="C6781" s="72"/>
      <c r="G6781" s="77"/>
      <c r="H6781" s="77"/>
    </row>
    <row r="6782">
      <c r="C6782" s="72"/>
      <c r="G6782" s="77"/>
      <c r="H6782" s="77"/>
    </row>
    <row r="6783">
      <c r="C6783" s="72"/>
      <c r="G6783" s="77"/>
      <c r="H6783" s="77"/>
    </row>
    <row r="6784">
      <c r="C6784" s="72"/>
      <c r="G6784" s="77"/>
      <c r="H6784" s="77"/>
    </row>
    <row r="6785">
      <c r="C6785" s="72"/>
      <c r="G6785" s="77"/>
      <c r="H6785" s="77"/>
    </row>
    <row r="6786">
      <c r="C6786" s="72"/>
      <c r="G6786" s="77"/>
      <c r="H6786" s="77"/>
    </row>
    <row r="6787">
      <c r="C6787" s="72"/>
      <c r="G6787" s="77"/>
      <c r="H6787" s="77"/>
    </row>
    <row r="6788">
      <c r="C6788" s="72"/>
      <c r="G6788" s="77"/>
      <c r="H6788" s="77"/>
    </row>
    <row r="6789">
      <c r="C6789" s="72"/>
      <c r="G6789" s="77"/>
      <c r="H6789" s="77"/>
    </row>
    <row r="6790">
      <c r="C6790" s="72"/>
      <c r="G6790" s="77"/>
      <c r="H6790" s="77"/>
    </row>
    <row r="6791">
      <c r="C6791" s="72"/>
      <c r="G6791" s="77"/>
      <c r="H6791" s="77"/>
    </row>
    <row r="6792">
      <c r="C6792" s="72"/>
      <c r="G6792" s="77"/>
      <c r="H6792" s="77"/>
    </row>
    <row r="6793">
      <c r="C6793" s="72"/>
      <c r="G6793" s="77"/>
      <c r="H6793" s="77"/>
    </row>
    <row r="6794">
      <c r="C6794" s="72"/>
      <c r="G6794" s="77"/>
      <c r="H6794" s="77"/>
    </row>
    <row r="6795">
      <c r="C6795" s="72"/>
      <c r="G6795" s="77"/>
      <c r="H6795" s="77"/>
    </row>
    <row r="6796">
      <c r="C6796" s="72"/>
      <c r="G6796" s="77"/>
      <c r="H6796" s="77"/>
    </row>
    <row r="6797">
      <c r="C6797" s="72"/>
      <c r="G6797" s="77"/>
      <c r="H6797" s="77"/>
    </row>
    <row r="6798">
      <c r="C6798" s="72"/>
      <c r="G6798" s="77"/>
      <c r="H6798" s="77"/>
    </row>
    <row r="6799">
      <c r="C6799" s="72"/>
      <c r="G6799" s="77"/>
      <c r="H6799" s="77"/>
    </row>
    <row r="6800">
      <c r="C6800" s="72"/>
      <c r="G6800" s="77"/>
      <c r="H6800" s="77"/>
    </row>
    <row r="6801">
      <c r="C6801" s="72"/>
      <c r="G6801" s="77"/>
      <c r="H6801" s="77"/>
    </row>
    <row r="6802">
      <c r="C6802" s="72"/>
      <c r="G6802" s="77"/>
      <c r="H6802" s="77"/>
    </row>
    <row r="6803">
      <c r="C6803" s="72"/>
      <c r="G6803" s="77"/>
      <c r="H6803" s="77"/>
    </row>
    <row r="6804">
      <c r="C6804" s="72"/>
      <c r="G6804" s="77"/>
      <c r="H6804" s="77"/>
    </row>
    <row r="6805">
      <c r="C6805" s="72"/>
      <c r="G6805" s="77"/>
      <c r="H6805" s="77"/>
    </row>
    <row r="6806">
      <c r="C6806" s="72"/>
      <c r="G6806" s="77"/>
      <c r="H6806" s="77"/>
    </row>
    <row r="6807">
      <c r="C6807" s="72"/>
      <c r="G6807" s="77"/>
      <c r="H6807" s="77"/>
    </row>
    <row r="6808">
      <c r="C6808" s="72"/>
      <c r="G6808" s="77"/>
      <c r="H6808" s="77"/>
    </row>
    <row r="6809">
      <c r="C6809" s="72"/>
      <c r="G6809" s="77"/>
      <c r="H6809" s="77"/>
    </row>
    <row r="6810">
      <c r="C6810" s="72"/>
      <c r="G6810" s="77"/>
      <c r="H6810" s="77"/>
    </row>
    <row r="6811">
      <c r="C6811" s="72"/>
      <c r="G6811" s="77"/>
      <c r="H6811" s="77"/>
    </row>
    <row r="6812">
      <c r="C6812" s="72"/>
      <c r="G6812" s="77"/>
      <c r="H6812" s="77"/>
    </row>
    <row r="6813">
      <c r="C6813" s="72"/>
      <c r="G6813" s="77"/>
      <c r="H6813" s="77"/>
    </row>
    <row r="6814">
      <c r="C6814" s="72"/>
      <c r="G6814" s="77"/>
      <c r="H6814" s="77"/>
    </row>
    <row r="6815">
      <c r="C6815" s="72"/>
      <c r="G6815" s="77"/>
      <c r="H6815" s="77"/>
    </row>
    <row r="6816">
      <c r="C6816" s="72"/>
      <c r="G6816" s="77"/>
      <c r="H6816" s="77"/>
    </row>
    <row r="6817">
      <c r="C6817" s="72"/>
      <c r="G6817" s="77"/>
      <c r="H6817" s="77"/>
    </row>
    <row r="6818">
      <c r="C6818" s="72"/>
      <c r="G6818" s="77"/>
      <c r="H6818" s="77"/>
    </row>
    <row r="6819">
      <c r="C6819" s="72"/>
      <c r="G6819" s="77"/>
      <c r="H6819" s="77"/>
    </row>
    <row r="6820">
      <c r="C6820" s="72"/>
      <c r="G6820" s="77"/>
      <c r="H6820" s="77"/>
    </row>
    <row r="6821">
      <c r="C6821" s="72"/>
      <c r="G6821" s="77"/>
      <c r="H6821" s="77"/>
    </row>
    <row r="6822">
      <c r="C6822" s="72"/>
      <c r="G6822" s="77"/>
      <c r="H6822" s="77"/>
    </row>
    <row r="6823">
      <c r="C6823" s="72"/>
      <c r="G6823" s="77"/>
      <c r="H6823" s="77"/>
    </row>
    <row r="6824">
      <c r="C6824" s="72"/>
      <c r="G6824" s="77"/>
      <c r="H6824" s="77"/>
    </row>
    <row r="6825">
      <c r="C6825" s="72"/>
      <c r="G6825" s="77"/>
      <c r="H6825" s="77"/>
    </row>
    <row r="6826">
      <c r="C6826" s="72"/>
      <c r="G6826" s="77"/>
      <c r="H6826" s="77"/>
    </row>
    <row r="6827">
      <c r="C6827" s="72"/>
      <c r="G6827" s="77"/>
      <c r="H6827" s="77"/>
    </row>
    <row r="6828">
      <c r="C6828" s="72"/>
      <c r="G6828" s="77"/>
      <c r="H6828" s="77"/>
    </row>
    <row r="6829">
      <c r="C6829" s="72"/>
      <c r="G6829" s="77"/>
      <c r="H6829" s="77"/>
    </row>
    <row r="6830">
      <c r="C6830" s="72"/>
      <c r="G6830" s="77"/>
      <c r="H6830" s="77"/>
    </row>
    <row r="6831">
      <c r="C6831" s="72"/>
      <c r="G6831" s="77"/>
      <c r="H6831" s="77"/>
    </row>
    <row r="6832">
      <c r="C6832" s="72"/>
      <c r="G6832" s="77"/>
      <c r="H6832" s="77"/>
    </row>
    <row r="6833">
      <c r="C6833" s="72"/>
      <c r="G6833" s="77"/>
      <c r="H6833" s="77"/>
    </row>
    <row r="6834">
      <c r="C6834" s="72"/>
      <c r="G6834" s="77"/>
      <c r="H6834" s="77"/>
    </row>
    <row r="6835">
      <c r="C6835" s="72"/>
      <c r="G6835" s="77"/>
      <c r="H6835" s="77"/>
    </row>
    <row r="6836">
      <c r="C6836" s="72"/>
      <c r="G6836" s="77"/>
      <c r="H6836" s="77"/>
    </row>
    <row r="6837">
      <c r="C6837" s="72"/>
      <c r="G6837" s="77"/>
      <c r="H6837" s="77"/>
    </row>
    <row r="6838">
      <c r="C6838" s="72"/>
      <c r="G6838" s="77"/>
      <c r="H6838" s="77"/>
    </row>
    <row r="6839">
      <c r="C6839" s="72"/>
      <c r="G6839" s="77"/>
      <c r="H6839" s="77"/>
    </row>
    <row r="6840">
      <c r="C6840" s="72"/>
      <c r="G6840" s="77"/>
      <c r="H6840" s="77"/>
    </row>
    <row r="6841">
      <c r="C6841" s="72"/>
      <c r="G6841" s="77"/>
      <c r="H6841" s="77"/>
    </row>
    <row r="6842">
      <c r="C6842" s="72"/>
      <c r="G6842" s="77"/>
      <c r="H6842" s="77"/>
    </row>
    <row r="6843">
      <c r="C6843" s="72"/>
      <c r="G6843" s="77"/>
      <c r="H6843" s="77"/>
    </row>
    <row r="6844">
      <c r="C6844" s="72"/>
      <c r="G6844" s="77"/>
      <c r="H6844" s="77"/>
    </row>
    <row r="6845">
      <c r="C6845" s="72"/>
      <c r="G6845" s="77"/>
      <c r="H6845" s="77"/>
    </row>
    <row r="6846">
      <c r="C6846" s="72"/>
      <c r="G6846" s="77"/>
      <c r="H6846" s="77"/>
    </row>
    <row r="6847">
      <c r="C6847" s="72"/>
      <c r="G6847" s="77"/>
      <c r="H6847" s="77"/>
    </row>
    <row r="6848">
      <c r="C6848" s="72"/>
      <c r="G6848" s="77"/>
      <c r="H6848" s="77"/>
    </row>
    <row r="6849">
      <c r="C6849" s="72"/>
      <c r="G6849" s="77"/>
      <c r="H6849" s="77"/>
    </row>
    <row r="6850">
      <c r="C6850" s="72"/>
      <c r="G6850" s="77"/>
      <c r="H6850" s="77"/>
    </row>
    <row r="6851">
      <c r="C6851" s="72"/>
      <c r="G6851" s="77"/>
      <c r="H6851" s="77"/>
    </row>
    <row r="6852">
      <c r="C6852" s="72"/>
      <c r="G6852" s="77"/>
      <c r="H6852" s="77"/>
    </row>
    <row r="6853">
      <c r="C6853" s="72"/>
      <c r="G6853" s="77"/>
      <c r="H6853" s="77"/>
    </row>
    <row r="6854">
      <c r="C6854" s="72"/>
      <c r="G6854" s="77"/>
      <c r="H6854" s="77"/>
    </row>
    <row r="6855">
      <c r="C6855" s="72"/>
      <c r="G6855" s="77"/>
      <c r="H6855" s="77"/>
    </row>
    <row r="6856">
      <c r="C6856" s="72"/>
      <c r="G6856" s="77"/>
      <c r="H6856" s="77"/>
    </row>
    <row r="6857">
      <c r="C6857" s="72"/>
      <c r="G6857" s="77"/>
      <c r="H6857" s="77"/>
    </row>
    <row r="6858">
      <c r="C6858" s="72"/>
      <c r="G6858" s="77"/>
      <c r="H6858" s="77"/>
    </row>
    <row r="6859">
      <c r="C6859" s="72"/>
      <c r="G6859" s="77"/>
      <c r="H6859" s="77"/>
    </row>
    <row r="6860">
      <c r="C6860" s="72"/>
      <c r="G6860" s="77"/>
      <c r="H6860" s="77"/>
    </row>
    <row r="6861">
      <c r="C6861" s="72"/>
      <c r="G6861" s="77"/>
      <c r="H6861" s="77"/>
    </row>
    <row r="6862">
      <c r="C6862" s="72"/>
      <c r="G6862" s="77"/>
      <c r="H6862" s="77"/>
    </row>
    <row r="6863">
      <c r="C6863" s="72"/>
      <c r="G6863" s="77"/>
      <c r="H6863" s="77"/>
    </row>
    <row r="6864">
      <c r="C6864" s="72"/>
      <c r="G6864" s="77"/>
      <c r="H6864" s="77"/>
    </row>
    <row r="6865">
      <c r="C6865" s="72"/>
      <c r="G6865" s="77"/>
      <c r="H6865" s="77"/>
    </row>
    <row r="6866">
      <c r="C6866" s="72"/>
      <c r="G6866" s="77"/>
      <c r="H6866" s="77"/>
    </row>
    <row r="6867">
      <c r="C6867" s="72"/>
      <c r="G6867" s="77"/>
      <c r="H6867" s="77"/>
    </row>
    <row r="6868">
      <c r="C6868" s="72"/>
      <c r="G6868" s="77"/>
      <c r="H6868" s="77"/>
    </row>
    <row r="6869">
      <c r="C6869" s="72"/>
      <c r="G6869" s="77"/>
      <c r="H6869" s="77"/>
    </row>
    <row r="6870">
      <c r="C6870" s="72"/>
      <c r="G6870" s="77"/>
      <c r="H6870" s="77"/>
    </row>
    <row r="6871">
      <c r="C6871" s="72"/>
      <c r="G6871" s="77"/>
      <c r="H6871" s="77"/>
    </row>
    <row r="6872">
      <c r="C6872" s="72"/>
      <c r="G6872" s="77"/>
      <c r="H6872" s="77"/>
    </row>
    <row r="6873">
      <c r="C6873" s="72"/>
      <c r="G6873" s="77"/>
      <c r="H6873" s="77"/>
    </row>
    <row r="6874">
      <c r="C6874" s="72"/>
      <c r="G6874" s="77"/>
      <c r="H6874" s="77"/>
    </row>
    <row r="6875">
      <c r="C6875" s="72"/>
      <c r="G6875" s="77"/>
      <c r="H6875" s="77"/>
    </row>
    <row r="6876">
      <c r="C6876" s="72"/>
      <c r="G6876" s="77"/>
      <c r="H6876" s="77"/>
    </row>
    <row r="6877">
      <c r="C6877" s="72"/>
      <c r="G6877" s="77"/>
      <c r="H6877" s="77"/>
    </row>
    <row r="6878">
      <c r="C6878" s="72"/>
      <c r="G6878" s="77"/>
      <c r="H6878" s="77"/>
    </row>
    <row r="6879">
      <c r="C6879" s="72"/>
      <c r="G6879" s="77"/>
      <c r="H6879" s="77"/>
    </row>
    <row r="6880">
      <c r="C6880" s="72"/>
      <c r="G6880" s="77"/>
      <c r="H6880" s="77"/>
    </row>
    <row r="6881">
      <c r="C6881" s="72"/>
      <c r="G6881" s="77"/>
      <c r="H6881" s="77"/>
    </row>
    <row r="6882">
      <c r="C6882" s="72"/>
      <c r="G6882" s="77"/>
      <c r="H6882" s="77"/>
    </row>
    <row r="6883">
      <c r="C6883" s="72"/>
      <c r="G6883" s="77"/>
      <c r="H6883" s="77"/>
    </row>
    <row r="6884">
      <c r="C6884" s="72"/>
      <c r="G6884" s="77"/>
      <c r="H6884" s="77"/>
    </row>
    <row r="6885">
      <c r="C6885" s="72"/>
      <c r="G6885" s="77"/>
      <c r="H6885" s="77"/>
    </row>
    <row r="6886">
      <c r="C6886" s="72"/>
      <c r="G6886" s="77"/>
      <c r="H6886" s="77"/>
    </row>
    <row r="6887">
      <c r="C6887" s="72"/>
      <c r="G6887" s="77"/>
      <c r="H6887" s="77"/>
    </row>
    <row r="6888">
      <c r="C6888" s="72"/>
      <c r="G6888" s="77"/>
      <c r="H6888" s="77"/>
    </row>
    <row r="6889">
      <c r="C6889" s="72"/>
      <c r="G6889" s="77"/>
      <c r="H6889" s="77"/>
    </row>
    <row r="6890">
      <c r="C6890" s="72"/>
      <c r="G6890" s="77"/>
      <c r="H6890" s="77"/>
    </row>
    <row r="6891">
      <c r="C6891" s="72"/>
      <c r="G6891" s="77"/>
      <c r="H6891" s="77"/>
    </row>
    <row r="6892">
      <c r="C6892" s="72"/>
      <c r="G6892" s="77"/>
      <c r="H6892" s="77"/>
    </row>
    <row r="6893">
      <c r="C6893" s="72"/>
      <c r="G6893" s="77"/>
      <c r="H6893" s="77"/>
    </row>
    <row r="6894">
      <c r="C6894" s="72"/>
      <c r="G6894" s="77"/>
      <c r="H6894" s="77"/>
    </row>
    <row r="6895">
      <c r="C6895" s="72"/>
      <c r="G6895" s="77"/>
      <c r="H6895" s="77"/>
    </row>
    <row r="6896">
      <c r="C6896" s="72"/>
      <c r="G6896" s="77"/>
      <c r="H6896" s="77"/>
    </row>
    <row r="6897">
      <c r="C6897" s="72"/>
      <c r="G6897" s="77"/>
      <c r="H6897" s="77"/>
    </row>
    <row r="6898">
      <c r="C6898" s="72"/>
      <c r="G6898" s="77"/>
      <c r="H6898" s="77"/>
    </row>
    <row r="6899">
      <c r="C6899" s="72"/>
      <c r="G6899" s="77"/>
      <c r="H6899" s="77"/>
    </row>
    <row r="6900">
      <c r="C6900" s="72"/>
      <c r="G6900" s="77"/>
      <c r="H6900" s="77"/>
    </row>
    <row r="6901">
      <c r="C6901" s="72"/>
      <c r="G6901" s="77"/>
      <c r="H6901" s="77"/>
    </row>
    <row r="6902">
      <c r="C6902" s="72"/>
      <c r="G6902" s="77"/>
      <c r="H6902" s="77"/>
    </row>
    <row r="6903">
      <c r="C6903" s="72"/>
      <c r="G6903" s="77"/>
      <c r="H6903" s="77"/>
    </row>
    <row r="6904">
      <c r="C6904" s="72"/>
      <c r="G6904" s="77"/>
      <c r="H6904" s="77"/>
    </row>
    <row r="6905">
      <c r="C6905" s="72"/>
      <c r="G6905" s="77"/>
      <c r="H6905" s="77"/>
    </row>
    <row r="6906">
      <c r="C6906" s="72"/>
      <c r="G6906" s="77"/>
      <c r="H6906" s="77"/>
    </row>
    <row r="6907">
      <c r="C6907" s="72"/>
      <c r="G6907" s="77"/>
      <c r="H6907" s="77"/>
    </row>
    <row r="6908">
      <c r="C6908" s="72"/>
      <c r="G6908" s="77"/>
      <c r="H6908" s="77"/>
    </row>
    <row r="6909">
      <c r="C6909" s="72"/>
      <c r="G6909" s="77"/>
      <c r="H6909" s="77"/>
    </row>
    <row r="6910">
      <c r="C6910" s="72"/>
      <c r="G6910" s="77"/>
      <c r="H6910" s="77"/>
    </row>
    <row r="6911">
      <c r="C6911" s="72"/>
      <c r="G6911" s="77"/>
      <c r="H6911" s="77"/>
    </row>
    <row r="6912">
      <c r="C6912" s="72"/>
      <c r="G6912" s="77"/>
      <c r="H6912" s="77"/>
    </row>
    <row r="6913">
      <c r="C6913" s="72"/>
      <c r="G6913" s="77"/>
      <c r="H6913" s="77"/>
    </row>
    <row r="6914">
      <c r="C6914" s="72"/>
      <c r="G6914" s="77"/>
      <c r="H6914" s="77"/>
    </row>
    <row r="6915">
      <c r="C6915" s="72"/>
      <c r="G6915" s="77"/>
      <c r="H6915" s="77"/>
    </row>
    <row r="6916">
      <c r="C6916" s="72"/>
      <c r="G6916" s="77"/>
      <c r="H6916" s="77"/>
    </row>
    <row r="6917">
      <c r="C6917" s="72"/>
      <c r="G6917" s="77"/>
      <c r="H6917" s="77"/>
    </row>
    <row r="6918">
      <c r="C6918" s="72"/>
      <c r="G6918" s="77"/>
      <c r="H6918" s="77"/>
    </row>
    <row r="6919">
      <c r="C6919" s="72"/>
      <c r="G6919" s="77"/>
      <c r="H6919" s="77"/>
    </row>
    <row r="6920">
      <c r="C6920" s="72"/>
      <c r="G6920" s="77"/>
      <c r="H6920" s="77"/>
    </row>
    <row r="6921">
      <c r="C6921" s="72"/>
      <c r="G6921" s="77"/>
      <c r="H6921" s="77"/>
    </row>
    <row r="6922">
      <c r="C6922" s="72"/>
      <c r="G6922" s="77"/>
      <c r="H6922" s="77"/>
    </row>
    <row r="6923">
      <c r="C6923" s="72"/>
      <c r="G6923" s="77"/>
      <c r="H6923" s="77"/>
    </row>
    <row r="6924">
      <c r="C6924" s="72"/>
      <c r="G6924" s="77"/>
      <c r="H6924" s="77"/>
    </row>
    <row r="6925">
      <c r="C6925" s="72"/>
      <c r="G6925" s="77"/>
      <c r="H6925" s="77"/>
    </row>
    <row r="6926">
      <c r="C6926" s="72"/>
      <c r="G6926" s="77"/>
      <c r="H6926" s="77"/>
    </row>
    <row r="6927">
      <c r="C6927" s="72"/>
      <c r="G6927" s="77"/>
      <c r="H6927" s="77"/>
    </row>
    <row r="6928">
      <c r="C6928" s="72"/>
      <c r="G6928" s="77"/>
      <c r="H6928" s="77"/>
    </row>
    <row r="6929">
      <c r="C6929" s="72"/>
      <c r="G6929" s="77"/>
      <c r="H6929" s="77"/>
    </row>
    <row r="6930">
      <c r="C6930" s="72"/>
      <c r="G6930" s="77"/>
      <c r="H6930" s="77"/>
    </row>
    <row r="6931">
      <c r="C6931" s="72"/>
      <c r="G6931" s="77"/>
      <c r="H6931" s="77"/>
    </row>
    <row r="6932">
      <c r="C6932" s="72"/>
      <c r="G6932" s="77"/>
      <c r="H6932" s="77"/>
    </row>
    <row r="6933">
      <c r="C6933" s="72"/>
      <c r="G6933" s="77"/>
      <c r="H6933" s="77"/>
    </row>
    <row r="6934">
      <c r="C6934" s="72"/>
      <c r="G6934" s="77"/>
      <c r="H6934" s="77"/>
    </row>
    <row r="6935">
      <c r="C6935" s="72"/>
      <c r="G6935" s="77"/>
      <c r="H6935" s="77"/>
    </row>
    <row r="6936">
      <c r="C6936" s="72"/>
      <c r="G6936" s="77"/>
      <c r="H6936" s="77"/>
    </row>
    <row r="6937">
      <c r="C6937" s="72"/>
      <c r="G6937" s="77"/>
      <c r="H6937" s="77"/>
    </row>
    <row r="6938">
      <c r="C6938" s="72"/>
      <c r="G6938" s="77"/>
      <c r="H6938" s="77"/>
    </row>
    <row r="6939">
      <c r="C6939" s="72"/>
      <c r="G6939" s="77"/>
      <c r="H6939" s="77"/>
    </row>
    <row r="6940">
      <c r="C6940" s="72"/>
      <c r="G6940" s="77"/>
      <c r="H6940" s="77"/>
    </row>
    <row r="6941">
      <c r="C6941" s="72"/>
      <c r="G6941" s="77"/>
      <c r="H6941" s="77"/>
    </row>
    <row r="6942">
      <c r="C6942" s="72"/>
      <c r="G6942" s="77"/>
      <c r="H6942" s="77"/>
    </row>
    <row r="6943">
      <c r="C6943" s="72"/>
      <c r="G6943" s="77"/>
      <c r="H6943" s="77"/>
    </row>
    <row r="6944">
      <c r="C6944" s="72"/>
      <c r="G6944" s="77"/>
      <c r="H6944" s="77"/>
    </row>
    <row r="6945">
      <c r="C6945" s="72"/>
      <c r="G6945" s="77"/>
      <c r="H6945" s="77"/>
    </row>
    <row r="6946">
      <c r="C6946" s="72"/>
      <c r="G6946" s="77"/>
      <c r="H6946" s="77"/>
    </row>
    <row r="6947">
      <c r="C6947" s="72"/>
      <c r="G6947" s="77"/>
      <c r="H6947" s="77"/>
    </row>
    <row r="6948">
      <c r="C6948" s="72"/>
      <c r="G6948" s="77"/>
      <c r="H6948" s="77"/>
    </row>
    <row r="6949">
      <c r="C6949" s="72"/>
      <c r="G6949" s="77"/>
      <c r="H6949" s="77"/>
    </row>
    <row r="6950">
      <c r="C6950" s="72"/>
      <c r="G6950" s="77"/>
      <c r="H6950" s="77"/>
    </row>
    <row r="6951">
      <c r="C6951" s="72"/>
      <c r="G6951" s="77"/>
      <c r="H6951" s="77"/>
    </row>
    <row r="6952">
      <c r="C6952" s="72"/>
      <c r="G6952" s="77"/>
      <c r="H6952" s="77"/>
    </row>
    <row r="6953">
      <c r="C6953" s="72"/>
      <c r="G6953" s="77"/>
      <c r="H6953" s="77"/>
    </row>
    <row r="6954">
      <c r="C6954" s="72"/>
      <c r="G6954" s="77"/>
      <c r="H6954" s="77"/>
    </row>
    <row r="6955">
      <c r="C6955" s="72"/>
      <c r="G6955" s="77"/>
      <c r="H6955" s="77"/>
    </row>
    <row r="6956">
      <c r="C6956" s="72"/>
      <c r="G6956" s="77"/>
      <c r="H6956" s="77"/>
    </row>
    <row r="6957">
      <c r="C6957" s="72"/>
      <c r="G6957" s="77"/>
      <c r="H6957" s="77"/>
    </row>
    <row r="6958">
      <c r="C6958" s="72"/>
      <c r="G6958" s="77"/>
      <c r="H6958" s="77"/>
    </row>
    <row r="6959">
      <c r="C6959" s="72"/>
      <c r="G6959" s="77"/>
      <c r="H6959" s="77"/>
    </row>
    <row r="6960">
      <c r="C6960" s="72"/>
      <c r="G6960" s="77"/>
      <c r="H6960" s="77"/>
    </row>
    <row r="6961">
      <c r="C6961" s="72"/>
      <c r="G6961" s="77"/>
      <c r="H6961" s="77"/>
    </row>
    <row r="6962">
      <c r="C6962" s="72"/>
      <c r="G6962" s="77"/>
      <c r="H6962" s="77"/>
    </row>
    <row r="6963">
      <c r="C6963" s="72"/>
      <c r="G6963" s="77"/>
      <c r="H6963" s="77"/>
    </row>
    <row r="6964">
      <c r="C6964" s="72"/>
      <c r="G6964" s="77"/>
      <c r="H6964" s="77"/>
    </row>
    <row r="6965">
      <c r="C6965" s="72"/>
      <c r="G6965" s="77"/>
      <c r="H6965" s="77"/>
    </row>
    <row r="6966">
      <c r="C6966" s="72"/>
      <c r="G6966" s="77"/>
      <c r="H6966" s="77"/>
    </row>
    <row r="6967">
      <c r="C6967" s="72"/>
      <c r="G6967" s="77"/>
      <c r="H6967" s="77"/>
    </row>
    <row r="6968">
      <c r="C6968" s="72"/>
      <c r="G6968" s="77"/>
      <c r="H6968" s="77"/>
    </row>
    <row r="6969">
      <c r="C6969" s="72"/>
      <c r="G6969" s="77"/>
      <c r="H6969" s="77"/>
    </row>
    <row r="6970">
      <c r="C6970" s="72"/>
      <c r="G6970" s="77"/>
      <c r="H6970" s="77"/>
    </row>
    <row r="6971">
      <c r="C6971" s="72"/>
      <c r="G6971" s="77"/>
      <c r="H6971" s="77"/>
    </row>
    <row r="6972">
      <c r="C6972" s="72"/>
      <c r="G6972" s="77"/>
      <c r="H6972" s="77"/>
    </row>
    <row r="6973">
      <c r="C6973" s="72"/>
      <c r="G6973" s="77"/>
      <c r="H6973" s="77"/>
    </row>
    <row r="6974">
      <c r="C6974" s="72"/>
      <c r="G6974" s="77"/>
      <c r="H6974" s="77"/>
    </row>
    <row r="6975">
      <c r="C6975" s="72"/>
      <c r="G6975" s="77"/>
      <c r="H6975" s="77"/>
    </row>
    <row r="6976">
      <c r="C6976" s="72"/>
      <c r="G6976" s="77"/>
      <c r="H6976" s="77"/>
    </row>
    <row r="6977">
      <c r="C6977" s="72"/>
      <c r="G6977" s="77"/>
      <c r="H6977" s="77"/>
    </row>
    <row r="6978">
      <c r="C6978" s="72"/>
      <c r="G6978" s="77"/>
      <c r="H6978" s="77"/>
    </row>
    <row r="6979">
      <c r="C6979" s="72"/>
      <c r="G6979" s="77"/>
      <c r="H6979" s="77"/>
    </row>
    <row r="6980">
      <c r="C6980" s="72"/>
      <c r="G6980" s="77"/>
      <c r="H6980" s="77"/>
    </row>
    <row r="6981">
      <c r="C6981" s="72"/>
      <c r="G6981" s="77"/>
      <c r="H6981" s="77"/>
    </row>
    <row r="6982">
      <c r="C6982" s="72"/>
      <c r="G6982" s="77"/>
      <c r="H6982" s="77"/>
    </row>
    <row r="6983">
      <c r="C6983" s="72"/>
      <c r="G6983" s="77"/>
      <c r="H6983" s="77"/>
    </row>
    <row r="6984">
      <c r="C6984" s="72"/>
      <c r="G6984" s="77"/>
      <c r="H6984" s="77"/>
    </row>
    <row r="6985">
      <c r="C6985" s="72"/>
      <c r="G6985" s="77"/>
      <c r="H6985" s="77"/>
    </row>
    <row r="6986">
      <c r="C6986" s="72"/>
      <c r="G6986" s="77"/>
      <c r="H6986" s="77"/>
    </row>
    <row r="6987">
      <c r="C6987" s="72"/>
      <c r="G6987" s="77"/>
      <c r="H6987" s="77"/>
    </row>
    <row r="6988">
      <c r="C6988" s="72"/>
      <c r="G6988" s="77"/>
      <c r="H6988" s="77"/>
    </row>
    <row r="6989">
      <c r="C6989" s="72"/>
      <c r="G6989" s="77"/>
      <c r="H6989" s="77"/>
    </row>
    <row r="6990">
      <c r="C6990" s="72"/>
      <c r="G6990" s="77"/>
      <c r="H6990" s="77"/>
    </row>
    <row r="6991">
      <c r="C6991" s="72"/>
      <c r="G6991" s="77"/>
      <c r="H6991" s="77"/>
    </row>
    <row r="6992">
      <c r="C6992" s="72"/>
      <c r="G6992" s="77"/>
      <c r="H6992" s="77"/>
    </row>
    <row r="6993">
      <c r="C6993" s="72"/>
      <c r="G6993" s="77"/>
      <c r="H6993" s="77"/>
    </row>
    <row r="6994">
      <c r="C6994" s="72"/>
      <c r="G6994" s="77"/>
      <c r="H6994" s="77"/>
    </row>
    <row r="6995">
      <c r="C6995" s="72"/>
      <c r="G6995" s="77"/>
      <c r="H6995" s="77"/>
    </row>
    <row r="6996">
      <c r="C6996" s="72"/>
      <c r="G6996" s="77"/>
      <c r="H6996" s="77"/>
    </row>
    <row r="6997">
      <c r="C6997" s="72"/>
      <c r="G6997" s="77"/>
      <c r="H6997" s="77"/>
    </row>
    <row r="6998">
      <c r="C6998" s="72"/>
      <c r="G6998" s="77"/>
      <c r="H6998" s="77"/>
    </row>
    <row r="6999">
      <c r="C6999" s="72"/>
      <c r="G6999" s="77"/>
      <c r="H6999" s="77"/>
    </row>
    <row r="7000">
      <c r="C7000" s="72"/>
      <c r="G7000" s="77"/>
      <c r="H7000" s="77"/>
    </row>
    <row r="7001">
      <c r="C7001" s="72"/>
      <c r="G7001" s="77"/>
      <c r="H7001" s="77"/>
    </row>
    <row r="7002">
      <c r="C7002" s="72"/>
      <c r="G7002" s="77"/>
      <c r="H7002" s="77"/>
    </row>
    <row r="7003">
      <c r="C7003" s="72"/>
      <c r="G7003" s="77"/>
      <c r="H7003" s="77"/>
    </row>
    <row r="7004">
      <c r="C7004" s="72"/>
      <c r="G7004" s="77"/>
      <c r="H7004" s="77"/>
    </row>
    <row r="7005">
      <c r="C7005" s="72"/>
      <c r="G7005" s="77"/>
      <c r="H7005" s="77"/>
    </row>
    <row r="7006">
      <c r="C7006" s="72"/>
      <c r="G7006" s="77"/>
      <c r="H7006" s="77"/>
    </row>
    <row r="7007">
      <c r="C7007" s="72"/>
      <c r="G7007" s="77"/>
      <c r="H7007" s="77"/>
    </row>
    <row r="7008">
      <c r="C7008" s="72"/>
      <c r="G7008" s="77"/>
      <c r="H7008" s="77"/>
    </row>
    <row r="7009">
      <c r="C7009" s="72"/>
      <c r="G7009" s="77"/>
      <c r="H7009" s="77"/>
    </row>
    <row r="7010">
      <c r="C7010" s="72"/>
      <c r="G7010" s="77"/>
      <c r="H7010" s="77"/>
    </row>
    <row r="7011">
      <c r="C7011" s="72"/>
      <c r="G7011" s="77"/>
      <c r="H7011" s="77"/>
    </row>
    <row r="7012">
      <c r="C7012" s="72"/>
      <c r="G7012" s="77"/>
      <c r="H7012" s="77"/>
    </row>
    <row r="7013">
      <c r="C7013" s="72"/>
      <c r="G7013" s="77"/>
      <c r="H7013" s="77"/>
    </row>
    <row r="7014">
      <c r="C7014" s="72"/>
      <c r="G7014" s="77"/>
      <c r="H7014" s="77"/>
    </row>
    <row r="7015">
      <c r="C7015" s="72"/>
      <c r="G7015" s="77"/>
      <c r="H7015" s="77"/>
    </row>
    <row r="7016">
      <c r="C7016" s="72"/>
      <c r="G7016" s="77"/>
      <c r="H7016" s="77"/>
    </row>
    <row r="7017">
      <c r="C7017" s="72"/>
      <c r="G7017" s="77"/>
      <c r="H7017" s="77"/>
    </row>
    <row r="7018">
      <c r="C7018" s="72"/>
      <c r="G7018" s="77"/>
      <c r="H7018" s="77"/>
    </row>
    <row r="7019">
      <c r="C7019" s="72"/>
      <c r="G7019" s="77"/>
      <c r="H7019" s="77"/>
    </row>
    <row r="7020">
      <c r="C7020" s="72"/>
      <c r="G7020" s="77"/>
      <c r="H7020" s="77"/>
    </row>
    <row r="7021">
      <c r="C7021" s="72"/>
      <c r="G7021" s="77"/>
      <c r="H7021" s="77"/>
    </row>
    <row r="7022">
      <c r="C7022" s="72"/>
      <c r="G7022" s="77"/>
      <c r="H7022" s="77"/>
    </row>
    <row r="7023">
      <c r="C7023" s="72"/>
      <c r="G7023" s="77"/>
      <c r="H7023" s="77"/>
    </row>
    <row r="7024">
      <c r="C7024" s="72"/>
      <c r="G7024" s="77"/>
      <c r="H7024" s="77"/>
    </row>
    <row r="7025">
      <c r="C7025" s="72"/>
      <c r="G7025" s="77"/>
      <c r="H7025" s="77"/>
    </row>
    <row r="7026">
      <c r="C7026" s="72"/>
      <c r="G7026" s="77"/>
      <c r="H7026" s="77"/>
    </row>
    <row r="7027">
      <c r="C7027" s="72"/>
      <c r="G7027" s="77"/>
      <c r="H7027" s="77"/>
    </row>
    <row r="7028">
      <c r="C7028" s="72"/>
      <c r="G7028" s="77"/>
      <c r="H7028" s="77"/>
    </row>
    <row r="7029">
      <c r="C7029" s="72"/>
      <c r="G7029" s="77"/>
      <c r="H7029" s="77"/>
    </row>
    <row r="7030">
      <c r="C7030" s="72"/>
      <c r="G7030" s="77"/>
      <c r="H7030" s="77"/>
    </row>
    <row r="7031">
      <c r="C7031" s="72"/>
      <c r="G7031" s="77"/>
      <c r="H7031" s="77"/>
    </row>
    <row r="7032">
      <c r="C7032" s="72"/>
      <c r="G7032" s="77"/>
      <c r="H7032" s="77"/>
    </row>
    <row r="7033">
      <c r="C7033" s="72"/>
      <c r="G7033" s="77"/>
      <c r="H7033" s="77"/>
    </row>
    <row r="7034">
      <c r="C7034" s="72"/>
      <c r="G7034" s="77"/>
      <c r="H7034" s="77"/>
    </row>
    <row r="7035">
      <c r="C7035" s="72"/>
      <c r="G7035" s="77"/>
      <c r="H7035" s="77"/>
    </row>
    <row r="7036">
      <c r="C7036" s="72"/>
      <c r="G7036" s="77"/>
      <c r="H7036" s="77"/>
    </row>
    <row r="7037">
      <c r="C7037" s="72"/>
      <c r="G7037" s="77"/>
      <c r="H7037" s="77"/>
    </row>
    <row r="7038">
      <c r="C7038" s="72"/>
      <c r="G7038" s="77"/>
      <c r="H7038" s="77"/>
    </row>
    <row r="7039">
      <c r="C7039" s="72"/>
      <c r="G7039" s="77"/>
      <c r="H7039" s="77"/>
    </row>
    <row r="7040">
      <c r="C7040" s="72"/>
      <c r="G7040" s="77"/>
      <c r="H7040" s="77"/>
    </row>
    <row r="7041">
      <c r="C7041" s="72"/>
      <c r="G7041" s="77"/>
      <c r="H7041" s="77"/>
    </row>
    <row r="7042">
      <c r="C7042" s="72"/>
      <c r="G7042" s="77"/>
      <c r="H7042" s="77"/>
    </row>
    <row r="7043">
      <c r="C7043" s="72"/>
      <c r="G7043" s="77"/>
      <c r="H7043" s="77"/>
    </row>
    <row r="7044">
      <c r="C7044" s="72"/>
      <c r="G7044" s="77"/>
      <c r="H7044" s="77"/>
    </row>
    <row r="7045">
      <c r="C7045" s="72"/>
      <c r="G7045" s="77"/>
      <c r="H7045" s="77"/>
    </row>
    <row r="7046">
      <c r="C7046" s="72"/>
      <c r="G7046" s="77"/>
      <c r="H7046" s="77"/>
    </row>
    <row r="7047">
      <c r="C7047" s="72"/>
      <c r="G7047" s="77"/>
      <c r="H7047" s="77"/>
    </row>
    <row r="7048">
      <c r="C7048" s="72"/>
      <c r="G7048" s="77"/>
      <c r="H7048" s="77"/>
    </row>
    <row r="7049">
      <c r="C7049" s="72"/>
      <c r="G7049" s="77"/>
      <c r="H7049" s="77"/>
    </row>
    <row r="7050">
      <c r="C7050" s="72"/>
      <c r="G7050" s="77"/>
      <c r="H7050" s="77"/>
    </row>
    <row r="7051">
      <c r="C7051" s="72"/>
      <c r="G7051" s="77"/>
      <c r="H7051" s="77"/>
    </row>
    <row r="7052">
      <c r="C7052" s="72"/>
      <c r="G7052" s="77"/>
      <c r="H7052" s="77"/>
    </row>
    <row r="7053">
      <c r="C7053" s="72"/>
      <c r="G7053" s="77"/>
      <c r="H7053" s="77"/>
    </row>
    <row r="7054">
      <c r="C7054" s="72"/>
      <c r="G7054" s="77"/>
      <c r="H7054" s="77"/>
    </row>
    <row r="7055">
      <c r="C7055" s="72"/>
      <c r="G7055" s="77"/>
      <c r="H7055" s="77"/>
    </row>
    <row r="7056">
      <c r="C7056" s="72"/>
      <c r="G7056" s="77"/>
      <c r="H7056" s="77"/>
    </row>
    <row r="7057">
      <c r="C7057" s="72"/>
      <c r="G7057" s="77"/>
      <c r="H7057" s="77"/>
    </row>
    <row r="7058">
      <c r="C7058" s="72"/>
      <c r="G7058" s="77"/>
      <c r="H7058" s="77"/>
    </row>
    <row r="7059">
      <c r="C7059" s="72"/>
      <c r="G7059" s="77"/>
      <c r="H7059" s="77"/>
    </row>
    <row r="7060">
      <c r="C7060" s="72"/>
      <c r="G7060" s="77"/>
      <c r="H7060" s="77"/>
    </row>
    <row r="7061">
      <c r="C7061" s="72"/>
      <c r="G7061" s="77"/>
      <c r="H7061" s="77"/>
    </row>
    <row r="7062">
      <c r="C7062" s="72"/>
      <c r="G7062" s="77"/>
      <c r="H7062" s="77"/>
    </row>
    <row r="7063">
      <c r="C7063" s="72"/>
      <c r="G7063" s="77"/>
      <c r="H7063" s="77"/>
    </row>
    <row r="7064">
      <c r="C7064" s="72"/>
      <c r="G7064" s="77"/>
      <c r="H7064" s="77"/>
    </row>
    <row r="7065">
      <c r="C7065" s="72"/>
      <c r="G7065" s="77"/>
      <c r="H7065" s="77"/>
    </row>
    <row r="7066">
      <c r="C7066" s="72"/>
      <c r="G7066" s="77"/>
      <c r="H7066" s="77"/>
    </row>
    <row r="7067">
      <c r="C7067" s="72"/>
      <c r="G7067" s="77"/>
      <c r="H7067" s="77"/>
    </row>
    <row r="7068">
      <c r="C7068" s="72"/>
      <c r="G7068" s="77"/>
      <c r="H7068" s="77"/>
    </row>
    <row r="7069">
      <c r="C7069" s="72"/>
      <c r="G7069" s="77"/>
      <c r="H7069" s="77"/>
    </row>
    <row r="7070">
      <c r="C7070" s="72"/>
      <c r="G7070" s="77"/>
      <c r="H7070" s="77"/>
    </row>
    <row r="7071">
      <c r="C7071" s="72"/>
      <c r="G7071" s="77"/>
      <c r="H7071" s="77"/>
    </row>
    <row r="7072">
      <c r="C7072" s="72"/>
      <c r="G7072" s="77"/>
      <c r="H7072" s="77"/>
    </row>
    <row r="7073">
      <c r="C7073" s="72"/>
      <c r="G7073" s="77"/>
      <c r="H7073" s="77"/>
    </row>
    <row r="7074">
      <c r="C7074" s="72"/>
      <c r="G7074" s="77"/>
      <c r="H7074" s="77"/>
    </row>
    <row r="7075">
      <c r="C7075" s="72"/>
      <c r="G7075" s="77"/>
      <c r="H7075" s="77"/>
    </row>
    <row r="7076">
      <c r="C7076" s="72"/>
      <c r="G7076" s="77"/>
      <c r="H7076" s="77"/>
    </row>
    <row r="7077">
      <c r="C7077" s="72"/>
      <c r="G7077" s="77"/>
      <c r="H7077" s="77"/>
    </row>
    <row r="7078">
      <c r="C7078" s="72"/>
      <c r="G7078" s="77"/>
      <c r="H7078" s="77"/>
    </row>
    <row r="7079">
      <c r="C7079" s="72"/>
      <c r="G7079" s="77"/>
      <c r="H7079" s="77"/>
    </row>
    <row r="7080">
      <c r="C7080" s="72"/>
      <c r="G7080" s="77"/>
      <c r="H7080" s="77"/>
    </row>
    <row r="7081">
      <c r="C7081" s="72"/>
      <c r="G7081" s="77"/>
      <c r="H7081" s="77"/>
    </row>
    <row r="7082">
      <c r="C7082" s="72"/>
      <c r="G7082" s="77"/>
      <c r="H7082" s="77"/>
    </row>
    <row r="7083">
      <c r="C7083" s="72"/>
      <c r="G7083" s="77"/>
      <c r="H7083" s="77"/>
    </row>
    <row r="7084">
      <c r="C7084" s="72"/>
      <c r="G7084" s="77"/>
      <c r="H7084" s="77"/>
    </row>
    <row r="7085">
      <c r="C7085" s="72"/>
      <c r="G7085" s="77"/>
      <c r="H7085" s="77"/>
    </row>
    <row r="7086">
      <c r="C7086" s="72"/>
      <c r="G7086" s="77"/>
      <c r="H7086" s="77"/>
    </row>
    <row r="7087">
      <c r="C7087" s="72"/>
      <c r="G7087" s="77"/>
      <c r="H7087" s="77"/>
    </row>
    <row r="7088">
      <c r="C7088" s="72"/>
      <c r="G7088" s="77"/>
      <c r="H7088" s="77"/>
    </row>
    <row r="7089">
      <c r="C7089" s="72"/>
      <c r="G7089" s="77"/>
      <c r="H7089" s="77"/>
    </row>
    <row r="7090">
      <c r="C7090" s="72"/>
      <c r="G7090" s="77"/>
      <c r="H7090" s="77"/>
    </row>
    <row r="7091">
      <c r="C7091" s="72"/>
      <c r="G7091" s="77"/>
      <c r="H7091" s="77"/>
    </row>
    <row r="7092">
      <c r="C7092" s="72"/>
      <c r="G7092" s="77"/>
      <c r="H7092" s="77"/>
    </row>
    <row r="7093">
      <c r="C7093" s="72"/>
      <c r="G7093" s="77"/>
      <c r="H7093" s="77"/>
    </row>
    <row r="7094">
      <c r="C7094" s="72"/>
      <c r="G7094" s="77"/>
      <c r="H7094" s="77"/>
    </row>
    <row r="7095">
      <c r="C7095" s="72"/>
      <c r="G7095" s="77"/>
      <c r="H7095" s="77"/>
    </row>
    <row r="7096">
      <c r="C7096" s="72"/>
      <c r="G7096" s="77"/>
      <c r="H7096" s="77"/>
    </row>
    <row r="7097">
      <c r="C7097" s="72"/>
      <c r="G7097" s="77"/>
      <c r="H7097" s="77"/>
    </row>
    <row r="7098">
      <c r="C7098" s="72"/>
      <c r="G7098" s="77"/>
      <c r="H7098" s="77"/>
    </row>
    <row r="7099">
      <c r="C7099" s="72"/>
      <c r="G7099" s="77"/>
      <c r="H7099" s="77"/>
    </row>
    <row r="7100">
      <c r="C7100" s="72"/>
      <c r="G7100" s="77"/>
      <c r="H7100" s="77"/>
    </row>
    <row r="7101">
      <c r="C7101" s="72"/>
      <c r="G7101" s="77"/>
      <c r="H7101" s="77"/>
    </row>
    <row r="7102">
      <c r="C7102" s="72"/>
      <c r="G7102" s="77"/>
      <c r="H7102" s="77"/>
    </row>
    <row r="7103">
      <c r="C7103" s="72"/>
      <c r="G7103" s="77"/>
      <c r="H7103" s="77"/>
    </row>
    <row r="7104">
      <c r="C7104" s="72"/>
      <c r="G7104" s="77"/>
      <c r="H7104" s="77"/>
    </row>
    <row r="7105">
      <c r="C7105" s="72"/>
      <c r="G7105" s="77"/>
      <c r="H7105" s="77"/>
    </row>
    <row r="7106">
      <c r="C7106" s="72"/>
      <c r="G7106" s="77"/>
      <c r="H7106" s="77"/>
    </row>
    <row r="7107">
      <c r="C7107" s="72"/>
      <c r="G7107" s="77"/>
      <c r="H7107" s="77"/>
    </row>
    <row r="7108">
      <c r="C7108" s="72"/>
      <c r="G7108" s="77"/>
      <c r="H7108" s="77"/>
    </row>
    <row r="7109">
      <c r="C7109" s="72"/>
      <c r="G7109" s="77"/>
      <c r="H7109" s="77"/>
    </row>
    <row r="7110">
      <c r="C7110" s="72"/>
      <c r="G7110" s="77"/>
      <c r="H7110" s="77"/>
    </row>
    <row r="7111">
      <c r="C7111" s="72"/>
      <c r="G7111" s="77"/>
      <c r="H7111" s="77"/>
    </row>
    <row r="7112">
      <c r="C7112" s="72"/>
      <c r="G7112" s="77"/>
      <c r="H7112" s="77"/>
    </row>
    <row r="7113">
      <c r="C7113" s="72"/>
      <c r="G7113" s="77"/>
      <c r="H7113" s="77"/>
    </row>
    <row r="7114">
      <c r="C7114" s="72"/>
      <c r="G7114" s="77"/>
      <c r="H7114" s="77"/>
    </row>
    <row r="7115">
      <c r="C7115" s="72"/>
      <c r="G7115" s="77"/>
      <c r="H7115" s="77"/>
    </row>
    <row r="7116">
      <c r="C7116" s="72"/>
      <c r="G7116" s="77"/>
      <c r="H7116" s="77"/>
    </row>
    <row r="7117">
      <c r="C7117" s="72"/>
      <c r="G7117" s="77"/>
      <c r="H7117" s="77"/>
    </row>
    <row r="7118">
      <c r="C7118" s="72"/>
      <c r="G7118" s="77"/>
      <c r="H7118" s="77"/>
    </row>
    <row r="7119">
      <c r="C7119" s="72"/>
      <c r="G7119" s="77"/>
      <c r="H7119" s="77"/>
    </row>
    <row r="7120">
      <c r="C7120" s="72"/>
      <c r="G7120" s="77"/>
      <c r="H7120" s="77"/>
    </row>
    <row r="7121">
      <c r="C7121" s="72"/>
      <c r="G7121" s="77"/>
      <c r="H7121" s="77"/>
    </row>
    <row r="7122">
      <c r="C7122" s="72"/>
      <c r="G7122" s="77"/>
      <c r="H7122" s="77"/>
    </row>
    <row r="7123">
      <c r="C7123" s="72"/>
      <c r="G7123" s="77"/>
      <c r="H7123" s="77"/>
    </row>
    <row r="7124">
      <c r="C7124" s="72"/>
      <c r="G7124" s="77"/>
      <c r="H7124" s="77"/>
    </row>
    <row r="7125">
      <c r="C7125" s="72"/>
      <c r="G7125" s="77"/>
      <c r="H7125" s="77"/>
    </row>
    <row r="7126">
      <c r="C7126" s="72"/>
      <c r="G7126" s="77"/>
      <c r="H7126" s="77"/>
    </row>
    <row r="7127">
      <c r="C7127" s="72"/>
      <c r="G7127" s="77"/>
      <c r="H7127" s="77"/>
    </row>
    <row r="7128">
      <c r="C7128" s="72"/>
      <c r="G7128" s="77"/>
      <c r="H7128" s="77"/>
    </row>
    <row r="7129">
      <c r="C7129" s="72"/>
      <c r="G7129" s="77"/>
      <c r="H7129" s="77"/>
    </row>
    <row r="7130">
      <c r="C7130" s="72"/>
      <c r="G7130" s="77"/>
      <c r="H7130" s="77"/>
    </row>
    <row r="7131">
      <c r="C7131" s="72"/>
      <c r="G7131" s="77"/>
      <c r="H7131" s="77"/>
    </row>
    <row r="7132">
      <c r="C7132" s="72"/>
      <c r="G7132" s="77"/>
      <c r="H7132" s="77"/>
    </row>
    <row r="7133">
      <c r="C7133" s="72"/>
      <c r="G7133" s="77"/>
      <c r="H7133" s="77"/>
    </row>
    <row r="7134">
      <c r="C7134" s="72"/>
      <c r="G7134" s="77"/>
      <c r="H7134" s="77"/>
    </row>
    <row r="7135">
      <c r="C7135" s="72"/>
      <c r="G7135" s="77"/>
      <c r="H7135" s="77"/>
    </row>
    <row r="7136">
      <c r="C7136" s="72"/>
      <c r="G7136" s="77"/>
      <c r="H7136" s="77"/>
    </row>
    <row r="7137">
      <c r="C7137" s="72"/>
      <c r="G7137" s="77"/>
      <c r="H7137" s="77"/>
    </row>
    <row r="7138">
      <c r="C7138" s="72"/>
      <c r="G7138" s="77"/>
      <c r="H7138" s="77"/>
    </row>
    <row r="7139">
      <c r="C7139" s="72"/>
      <c r="G7139" s="77"/>
      <c r="H7139" s="77"/>
    </row>
    <row r="7140">
      <c r="C7140" s="72"/>
      <c r="G7140" s="77"/>
      <c r="H7140" s="77"/>
    </row>
    <row r="7141">
      <c r="C7141" s="72"/>
      <c r="G7141" s="77"/>
      <c r="H7141" s="77"/>
    </row>
    <row r="7142">
      <c r="C7142" s="72"/>
      <c r="G7142" s="77"/>
      <c r="H7142" s="77"/>
    </row>
    <row r="7143">
      <c r="C7143" s="72"/>
      <c r="G7143" s="77"/>
      <c r="H7143" s="77"/>
    </row>
    <row r="7144">
      <c r="C7144" s="72"/>
      <c r="G7144" s="77"/>
      <c r="H7144" s="77"/>
    </row>
    <row r="7145">
      <c r="C7145" s="72"/>
      <c r="G7145" s="77"/>
      <c r="H7145" s="77"/>
    </row>
    <row r="7146">
      <c r="C7146" s="72"/>
      <c r="G7146" s="77"/>
      <c r="H7146" s="77"/>
    </row>
    <row r="7147">
      <c r="C7147" s="72"/>
      <c r="G7147" s="77"/>
      <c r="H7147" s="77"/>
    </row>
    <row r="7148">
      <c r="C7148" s="72"/>
      <c r="G7148" s="77"/>
      <c r="H7148" s="77"/>
    </row>
    <row r="7149">
      <c r="C7149" s="72"/>
      <c r="G7149" s="77"/>
      <c r="H7149" s="77"/>
    </row>
    <row r="7150">
      <c r="C7150" s="72"/>
      <c r="G7150" s="77"/>
      <c r="H7150" s="77"/>
    </row>
    <row r="7151">
      <c r="C7151" s="72"/>
      <c r="G7151" s="77"/>
      <c r="H7151" s="77"/>
    </row>
    <row r="7152">
      <c r="C7152" s="72"/>
      <c r="G7152" s="77"/>
      <c r="H7152" s="77"/>
    </row>
    <row r="7153">
      <c r="C7153" s="72"/>
      <c r="G7153" s="77"/>
      <c r="H7153" s="77"/>
    </row>
    <row r="7154">
      <c r="C7154" s="72"/>
      <c r="G7154" s="77"/>
      <c r="H7154" s="77"/>
    </row>
    <row r="7155">
      <c r="C7155" s="72"/>
      <c r="G7155" s="77"/>
      <c r="H7155" s="77"/>
    </row>
    <row r="7156">
      <c r="C7156" s="72"/>
      <c r="G7156" s="77"/>
      <c r="H7156" s="77"/>
    </row>
    <row r="7157">
      <c r="C7157" s="72"/>
      <c r="G7157" s="77"/>
      <c r="H7157" s="77"/>
    </row>
    <row r="7158">
      <c r="C7158" s="72"/>
      <c r="G7158" s="77"/>
      <c r="H7158" s="77"/>
    </row>
    <row r="7159">
      <c r="C7159" s="72"/>
      <c r="G7159" s="77"/>
      <c r="H7159" s="77"/>
    </row>
    <row r="7160">
      <c r="C7160" s="72"/>
      <c r="G7160" s="77"/>
      <c r="H7160" s="77"/>
    </row>
    <row r="7161">
      <c r="C7161" s="72"/>
      <c r="G7161" s="77"/>
      <c r="H7161" s="77"/>
    </row>
    <row r="7162">
      <c r="C7162" s="72"/>
      <c r="G7162" s="77"/>
      <c r="H7162" s="77"/>
    </row>
    <row r="7163">
      <c r="C7163" s="72"/>
      <c r="G7163" s="77"/>
      <c r="H7163" s="77"/>
    </row>
    <row r="7164">
      <c r="C7164" s="72"/>
      <c r="G7164" s="77"/>
      <c r="H7164" s="77"/>
    </row>
    <row r="7165">
      <c r="C7165" s="72"/>
      <c r="G7165" s="77"/>
      <c r="H7165" s="77"/>
    </row>
    <row r="7166">
      <c r="C7166" s="72"/>
      <c r="G7166" s="77"/>
      <c r="H7166" s="77"/>
    </row>
    <row r="7167">
      <c r="C7167" s="72"/>
      <c r="G7167" s="77"/>
      <c r="H7167" s="77"/>
    </row>
    <row r="7168">
      <c r="C7168" s="72"/>
      <c r="G7168" s="77"/>
      <c r="H7168" s="77"/>
    </row>
    <row r="7169">
      <c r="C7169" s="72"/>
      <c r="G7169" s="77"/>
      <c r="H7169" s="77"/>
    </row>
    <row r="7170">
      <c r="C7170" s="72"/>
      <c r="G7170" s="77"/>
      <c r="H7170" s="77"/>
    </row>
    <row r="7171">
      <c r="C7171" s="72"/>
      <c r="G7171" s="77"/>
      <c r="H7171" s="77"/>
    </row>
    <row r="7172">
      <c r="C7172" s="72"/>
      <c r="G7172" s="77"/>
      <c r="H7172" s="77"/>
    </row>
    <row r="7173">
      <c r="C7173" s="72"/>
      <c r="G7173" s="77"/>
      <c r="H7173" s="77"/>
    </row>
    <row r="7174">
      <c r="C7174" s="72"/>
      <c r="G7174" s="77"/>
      <c r="H7174" s="77"/>
    </row>
    <row r="7175">
      <c r="C7175" s="72"/>
      <c r="G7175" s="77"/>
      <c r="H7175" s="77"/>
    </row>
    <row r="7176">
      <c r="C7176" s="72"/>
      <c r="G7176" s="77"/>
      <c r="H7176" s="77"/>
    </row>
    <row r="7177">
      <c r="C7177" s="72"/>
      <c r="G7177" s="77"/>
      <c r="H7177" s="77"/>
    </row>
    <row r="7178">
      <c r="C7178" s="72"/>
      <c r="G7178" s="77"/>
      <c r="H7178" s="77"/>
    </row>
    <row r="7179">
      <c r="C7179" s="72"/>
      <c r="G7179" s="77"/>
      <c r="H7179" s="77"/>
    </row>
    <row r="7180">
      <c r="C7180" s="72"/>
      <c r="G7180" s="77"/>
      <c r="H7180" s="77"/>
    </row>
    <row r="7181">
      <c r="C7181" s="72"/>
      <c r="G7181" s="77"/>
      <c r="H7181" s="77"/>
    </row>
    <row r="7182">
      <c r="C7182" s="72"/>
      <c r="G7182" s="77"/>
      <c r="H7182" s="77"/>
    </row>
    <row r="7183">
      <c r="C7183" s="72"/>
      <c r="G7183" s="77"/>
      <c r="H7183" s="77"/>
    </row>
    <row r="7184">
      <c r="C7184" s="72"/>
      <c r="G7184" s="77"/>
      <c r="H7184" s="77"/>
    </row>
    <row r="7185">
      <c r="C7185" s="72"/>
      <c r="G7185" s="77"/>
      <c r="H7185" s="77"/>
    </row>
    <row r="7186">
      <c r="C7186" s="72"/>
      <c r="G7186" s="77"/>
      <c r="H7186" s="77"/>
    </row>
    <row r="7187">
      <c r="C7187" s="72"/>
      <c r="G7187" s="77"/>
      <c r="H7187" s="77"/>
    </row>
    <row r="7188">
      <c r="C7188" s="72"/>
      <c r="G7188" s="77"/>
      <c r="H7188" s="77"/>
    </row>
    <row r="7189">
      <c r="C7189" s="72"/>
      <c r="G7189" s="77"/>
      <c r="H7189" s="77"/>
    </row>
    <row r="7190">
      <c r="C7190" s="72"/>
      <c r="G7190" s="77"/>
      <c r="H7190" s="77"/>
    </row>
    <row r="7191">
      <c r="C7191" s="72"/>
      <c r="G7191" s="77"/>
      <c r="H7191" s="77"/>
    </row>
    <row r="7192">
      <c r="C7192" s="72"/>
      <c r="G7192" s="77"/>
      <c r="H7192" s="77"/>
    </row>
    <row r="7193">
      <c r="C7193" s="72"/>
      <c r="G7193" s="77"/>
      <c r="H7193" s="77"/>
    </row>
    <row r="7194">
      <c r="C7194" s="72"/>
      <c r="G7194" s="77"/>
      <c r="H7194" s="77"/>
    </row>
    <row r="7195">
      <c r="C7195" s="72"/>
      <c r="G7195" s="77"/>
      <c r="H7195" s="77"/>
    </row>
    <row r="7196">
      <c r="C7196" s="72"/>
      <c r="G7196" s="77"/>
      <c r="H7196" s="77"/>
    </row>
    <row r="7197">
      <c r="C7197" s="72"/>
      <c r="G7197" s="77"/>
      <c r="H7197" s="77"/>
    </row>
    <row r="7198">
      <c r="C7198" s="72"/>
      <c r="G7198" s="77"/>
      <c r="H7198" s="77"/>
    </row>
    <row r="7199">
      <c r="C7199" s="72"/>
      <c r="G7199" s="77"/>
      <c r="H7199" s="77"/>
    </row>
    <row r="7200">
      <c r="C7200" s="72"/>
      <c r="G7200" s="77"/>
      <c r="H7200" s="77"/>
    </row>
    <row r="7201">
      <c r="C7201" s="72"/>
      <c r="G7201" s="77"/>
      <c r="H7201" s="77"/>
    </row>
    <row r="7202">
      <c r="C7202" s="72"/>
      <c r="G7202" s="77"/>
      <c r="H7202" s="77"/>
    </row>
    <row r="7203">
      <c r="C7203" s="72"/>
      <c r="G7203" s="77"/>
      <c r="H7203" s="77"/>
    </row>
    <row r="7204">
      <c r="C7204" s="72"/>
      <c r="G7204" s="77"/>
      <c r="H7204" s="77"/>
    </row>
    <row r="7205">
      <c r="C7205" s="72"/>
      <c r="G7205" s="77"/>
      <c r="H7205" s="77"/>
    </row>
    <row r="7206">
      <c r="C7206" s="72"/>
      <c r="G7206" s="77"/>
      <c r="H7206" s="77"/>
    </row>
    <row r="7207">
      <c r="C7207" s="72"/>
      <c r="G7207" s="77"/>
      <c r="H7207" s="77"/>
    </row>
    <row r="7208">
      <c r="C7208" s="72"/>
      <c r="G7208" s="77"/>
      <c r="H7208" s="77"/>
    </row>
    <row r="7209">
      <c r="C7209" s="72"/>
      <c r="G7209" s="77"/>
      <c r="H7209" s="77"/>
    </row>
    <row r="7210">
      <c r="C7210" s="72"/>
      <c r="G7210" s="77"/>
      <c r="H7210" s="77"/>
    </row>
    <row r="7211">
      <c r="C7211" s="72"/>
      <c r="G7211" s="77"/>
      <c r="H7211" s="77"/>
    </row>
    <row r="7212">
      <c r="C7212" s="72"/>
      <c r="G7212" s="77"/>
      <c r="H7212" s="77"/>
    </row>
    <row r="7213">
      <c r="C7213" s="72"/>
      <c r="G7213" s="77"/>
      <c r="H7213" s="77"/>
    </row>
    <row r="7214">
      <c r="C7214" s="72"/>
      <c r="G7214" s="77"/>
      <c r="H7214" s="77"/>
    </row>
    <row r="7215">
      <c r="C7215" s="72"/>
      <c r="G7215" s="77"/>
      <c r="H7215" s="77"/>
    </row>
    <row r="7216">
      <c r="C7216" s="72"/>
      <c r="G7216" s="77"/>
      <c r="H7216" s="77"/>
    </row>
    <row r="7217">
      <c r="C7217" s="72"/>
      <c r="G7217" s="77"/>
      <c r="H7217" s="77"/>
    </row>
    <row r="7218">
      <c r="C7218" s="72"/>
      <c r="G7218" s="77"/>
      <c r="H7218" s="77"/>
    </row>
    <row r="7219">
      <c r="C7219" s="72"/>
      <c r="G7219" s="77"/>
      <c r="H7219" s="77"/>
    </row>
    <row r="7220">
      <c r="C7220" s="72"/>
      <c r="G7220" s="77"/>
      <c r="H7220" s="77"/>
    </row>
    <row r="7221">
      <c r="C7221" s="72"/>
      <c r="G7221" s="77"/>
      <c r="H7221" s="77"/>
    </row>
    <row r="7222">
      <c r="C7222" s="72"/>
      <c r="G7222" s="77"/>
      <c r="H7222" s="77"/>
    </row>
    <row r="7223">
      <c r="C7223" s="72"/>
      <c r="G7223" s="77"/>
      <c r="H7223" s="77"/>
    </row>
    <row r="7224">
      <c r="C7224" s="72"/>
      <c r="G7224" s="77"/>
      <c r="H7224" s="77"/>
    </row>
    <row r="7225">
      <c r="C7225" s="72"/>
      <c r="G7225" s="77"/>
      <c r="H7225" s="77"/>
    </row>
    <row r="7226">
      <c r="C7226" s="72"/>
      <c r="G7226" s="77"/>
      <c r="H7226" s="77"/>
    </row>
    <row r="7227">
      <c r="C7227" s="72"/>
      <c r="G7227" s="77"/>
      <c r="H7227" s="77"/>
    </row>
    <row r="7228">
      <c r="C7228" s="72"/>
      <c r="G7228" s="77"/>
      <c r="H7228" s="77"/>
    </row>
    <row r="7229">
      <c r="C7229" s="72"/>
      <c r="G7229" s="77"/>
      <c r="H7229" s="77"/>
    </row>
    <row r="7230">
      <c r="C7230" s="72"/>
      <c r="G7230" s="77"/>
      <c r="H7230" s="77"/>
    </row>
    <row r="7231">
      <c r="C7231" s="72"/>
      <c r="G7231" s="77"/>
      <c r="H7231" s="77"/>
    </row>
    <row r="7232">
      <c r="C7232" s="72"/>
      <c r="G7232" s="77"/>
      <c r="H7232" s="77"/>
    </row>
    <row r="7233">
      <c r="C7233" s="72"/>
      <c r="G7233" s="77"/>
      <c r="H7233" s="77"/>
    </row>
    <row r="7234">
      <c r="C7234" s="72"/>
      <c r="G7234" s="77"/>
      <c r="H7234" s="77"/>
    </row>
    <row r="7235">
      <c r="C7235" s="72"/>
      <c r="G7235" s="77"/>
      <c r="H7235" s="77"/>
    </row>
    <row r="7236">
      <c r="C7236" s="72"/>
      <c r="G7236" s="77"/>
      <c r="H7236" s="77"/>
    </row>
    <row r="7237">
      <c r="C7237" s="72"/>
      <c r="G7237" s="77"/>
      <c r="H7237" s="77"/>
    </row>
    <row r="7238">
      <c r="C7238" s="72"/>
      <c r="G7238" s="77"/>
      <c r="H7238" s="77"/>
    </row>
    <row r="7239">
      <c r="C7239" s="72"/>
      <c r="G7239" s="77"/>
      <c r="H7239" s="77"/>
    </row>
    <row r="7240">
      <c r="C7240" s="72"/>
      <c r="G7240" s="77"/>
      <c r="H7240" s="77"/>
    </row>
    <row r="7241">
      <c r="C7241" s="72"/>
      <c r="G7241" s="77"/>
      <c r="H7241" s="77"/>
    </row>
    <row r="7242">
      <c r="C7242" s="72"/>
      <c r="G7242" s="77"/>
      <c r="H7242" s="77"/>
    </row>
    <row r="7243">
      <c r="C7243" s="72"/>
      <c r="G7243" s="77"/>
      <c r="H7243" s="77"/>
    </row>
    <row r="7244">
      <c r="C7244" s="72"/>
      <c r="G7244" s="77"/>
      <c r="H7244" s="77"/>
    </row>
    <row r="7245">
      <c r="C7245" s="72"/>
      <c r="G7245" s="77"/>
      <c r="H7245" s="77"/>
    </row>
    <row r="7246">
      <c r="C7246" s="72"/>
      <c r="G7246" s="77"/>
      <c r="H7246" s="77"/>
    </row>
    <row r="7247">
      <c r="C7247" s="72"/>
      <c r="G7247" s="77"/>
      <c r="H7247" s="77"/>
    </row>
    <row r="7248">
      <c r="C7248" s="72"/>
      <c r="G7248" s="77"/>
      <c r="H7248" s="77"/>
    </row>
    <row r="7249">
      <c r="C7249" s="72"/>
      <c r="G7249" s="77"/>
      <c r="H7249" s="77"/>
    </row>
    <row r="7250">
      <c r="C7250" s="72"/>
      <c r="G7250" s="77"/>
      <c r="H7250" s="77"/>
    </row>
    <row r="7251">
      <c r="C7251" s="72"/>
      <c r="G7251" s="77"/>
      <c r="H7251" s="77"/>
    </row>
    <row r="7252">
      <c r="C7252" s="72"/>
      <c r="G7252" s="77"/>
      <c r="H7252" s="77"/>
    </row>
    <row r="7253">
      <c r="C7253" s="72"/>
      <c r="G7253" s="77"/>
      <c r="H7253" s="77"/>
    </row>
    <row r="7254">
      <c r="C7254" s="72"/>
      <c r="G7254" s="77"/>
      <c r="H7254" s="77"/>
    </row>
    <row r="7255">
      <c r="C7255" s="72"/>
      <c r="G7255" s="77"/>
      <c r="H7255" s="77"/>
    </row>
    <row r="7256">
      <c r="C7256" s="72"/>
      <c r="G7256" s="77"/>
      <c r="H7256" s="77"/>
    </row>
    <row r="7257">
      <c r="C7257" s="72"/>
      <c r="G7257" s="77"/>
      <c r="H7257" s="77"/>
    </row>
    <row r="7258">
      <c r="C7258" s="72"/>
      <c r="G7258" s="77"/>
      <c r="H7258" s="77"/>
    </row>
    <row r="7259">
      <c r="C7259" s="72"/>
      <c r="G7259" s="77"/>
      <c r="H7259" s="77"/>
    </row>
    <row r="7260">
      <c r="C7260" s="72"/>
      <c r="G7260" s="77"/>
      <c r="H7260" s="77"/>
    </row>
    <row r="7261">
      <c r="C7261" s="72"/>
      <c r="G7261" s="77"/>
      <c r="H7261" s="77"/>
    </row>
    <row r="7262">
      <c r="C7262" s="72"/>
      <c r="G7262" s="77"/>
      <c r="H7262" s="77"/>
    </row>
    <row r="7263">
      <c r="C7263" s="72"/>
      <c r="G7263" s="77"/>
      <c r="H7263" s="77"/>
    </row>
    <row r="7264">
      <c r="C7264" s="72"/>
      <c r="G7264" s="77"/>
      <c r="H7264" s="77"/>
    </row>
    <row r="7265">
      <c r="C7265" s="72"/>
      <c r="G7265" s="77"/>
      <c r="H7265" s="77"/>
    </row>
    <row r="7266">
      <c r="C7266" s="72"/>
      <c r="G7266" s="77"/>
      <c r="H7266" s="77"/>
    </row>
    <row r="7267">
      <c r="C7267" s="72"/>
      <c r="G7267" s="77"/>
      <c r="H7267" s="77"/>
    </row>
    <row r="7268">
      <c r="C7268" s="72"/>
      <c r="G7268" s="77"/>
      <c r="H7268" s="77"/>
    </row>
    <row r="7269">
      <c r="C7269" s="72"/>
      <c r="G7269" s="77"/>
      <c r="H7269" s="77"/>
    </row>
    <row r="7270">
      <c r="C7270" s="72"/>
      <c r="G7270" s="77"/>
      <c r="H7270" s="77"/>
    </row>
    <row r="7271">
      <c r="C7271" s="72"/>
      <c r="G7271" s="77"/>
      <c r="H7271" s="77"/>
    </row>
    <row r="7272">
      <c r="C7272" s="72"/>
      <c r="G7272" s="77"/>
      <c r="H7272" s="77"/>
    </row>
    <row r="7273">
      <c r="C7273" s="72"/>
      <c r="G7273" s="77"/>
      <c r="H7273" s="77"/>
    </row>
    <row r="7274">
      <c r="C7274" s="72"/>
      <c r="G7274" s="77"/>
      <c r="H7274" s="77"/>
    </row>
    <row r="7275">
      <c r="C7275" s="72"/>
      <c r="G7275" s="77"/>
      <c r="H7275" s="77"/>
    </row>
    <row r="7276">
      <c r="C7276" s="72"/>
      <c r="G7276" s="77"/>
      <c r="H7276" s="77"/>
    </row>
    <row r="7277">
      <c r="C7277" s="72"/>
      <c r="G7277" s="77"/>
      <c r="H7277" s="77"/>
    </row>
    <row r="7278">
      <c r="C7278" s="72"/>
      <c r="G7278" s="77"/>
      <c r="H7278" s="77"/>
    </row>
    <row r="7279">
      <c r="C7279" s="72"/>
      <c r="G7279" s="77"/>
      <c r="H7279" s="77"/>
    </row>
    <row r="7280">
      <c r="C7280" s="72"/>
      <c r="G7280" s="77"/>
      <c r="H7280" s="77"/>
    </row>
    <row r="7281">
      <c r="C7281" s="72"/>
      <c r="G7281" s="77"/>
      <c r="H7281" s="77"/>
    </row>
    <row r="7282">
      <c r="C7282" s="72"/>
      <c r="G7282" s="77"/>
      <c r="H7282" s="77"/>
    </row>
    <row r="7283">
      <c r="C7283" s="72"/>
      <c r="G7283" s="77"/>
      <c r="H7283" s="77"/>
    </row>
    <row r="7284">
      <c r="C7284" s="72"/>
      <c r="G7284" s="77"/>
      <c r="H7284" s="77"/>
    </row>
    <row r="7285">
      <c r="C7285" s="72"/>
      <c r="G7285" s="77"/>
      <c r="H7285" s="77"/>
    </row>
    <row r="7286">
      <c r="C7286" s="72"/>
      <c r="G7286" s="77"/>
      <c r="H7286" s="77"/>
    </row>
    <row r="7287">
      <c r="C7287" s="72"/>
      <c r="G7287" s="77"/>
      <c r="H7287" s="77"/>
    </row>
    <row r="7288">
      <c r="C7288" s="72"/>
      <c r="G7288" s="77"/>
      <c r="H7288" s="77"/>
    </row>
    <row r="7289">
      <c r="C7289" s="72"/>
      <c r="G7289" s="77"/>
      <c r="H7289" s="77"/>
    </row>
    <row r="7290">
      <c r="C7290" s="72"/>
      <c r="G7290" s="77"/>
      <c r="H7290" s="77"/>
    </row>
    <row r="7291">
      <c r="C7291" s="72"/>
      <c r="G7291" s="77"/>
      <c r="H7291" s="77"/>
    </row>
    <row r="7292">
      <c r="C7292" s="72"/>
      <c r="G7292" s="77"/>
      <c r="H7292" s="77"/>
    </row>
    <row r="7293">
      <c r="C7293" s="72"/>
      <c r="G7293" s="77"/>
      <c r="H7293" s="77"/>
    </row>
    <row r="7294">
      <c r="C7294" s="72"/>
      <c r="G7294" s="77"/>
      <c r="H7294" s="77"/>
    </row>
    <row r="7295">
      <c r="C7295" s="72"/>
      <c r="G7295" s="77"/>
      <c r="H7295" s="77"/>
    </row>
    <row r="7296">
      <c r="C7296" s="72"/>
      <c r="G7296" s="77"/>
      <c r="H7296" s="77"/>
    </row>
    <row r="7297">
      <c r="C7297" s="72"/>
      <c r="G7297" s="77"/>
      <c r="H7297" s="77"/>
    </row>
    <row r="7298">
      <c r="C7298" s="72"/>
      <c r="G7298" s="77"/>
      <c r="H7298" s="77"/>
    </row>
    <row r="7299">
      <c r="C7299" s="72"/>
      <c r="G7299" s="77"/>
      <c r="H7299" s="77"/>
    </row>
    <row r="7300">
      <c r="C7300" s="72"/>
      <c r="G7300" s="77"/>
      <c r="H7300" s="77"/>
    </row>
    <row r="7301">
      <c r="C7301" s="72"/>
      <c r="G7301" s="77"/>
      <c r="H7301" s="77"/>
    </row>
    <row r="7302">
      <c r="C7302" s="72"/>
      <c r="G7302" s="77"/>
      <c r="H7302" s="77"/>
    </row>
    <row r="7303">
      <c r="C7303" s="72"/>
      <c r="G7303" s="77"/>
      <c r="H7303" s="77"/>
    </row>
    <row r="7304">
      <c r="C7304" s="72"/>
      <c r="G7304" s="77"/>
      <c r="H7304" s="77"/>
    </row>
    <row r="7305">
      <c r="C7305" s="72"/>
      <c r="G7305" s="77"/>
      <c r="H7305" s="77"/>
    </row>
    <row r="7306">
      <c r="C7306" s="72"/>
      <c r="G7306" s="77"/>
      <c r="H7306" s="77"/>
    </row>
    <row r="7307">
      <c r="C7307" s="72"/>
      <c r="G7307" s="77"/>
      <c r="H7307" s="77"/>
    </row>
    <row r="7308">
      <c r="C7308" s="72"/>
      <c r="G7308" s="77"/>
      <c r="H7308" s="77"/>
    </row>
    <row r="7309">
      <c r="C7309" s="72"/>
      <c r="G7309" s="77"/>
      <c r="H7309" s="77"/>
    </row>
    <row r="7310">
      <c r="C7310" s="72"/>
      <c r="G7310" s="77"/>
      <c r="H7310" s="77"/>
    </row>
    <row r="7311">
      <c r="C7311" s="72"/>
      <c r="G7311" s="77"/>
      <c r="H7311" s="77"/>
    </row>
    <row r="7312">
      <c r="C7312" s="72"/>
      <c r="G7312" s="77"/>
      <c r="H7312" s="77"/>
    </row>
    <row r="7313">
      <c r="C7313" s="72"/>
      <c r="G7313" s="77"/>
      <c r="H7313" s="77"/>
    </row>
    <row r="7314">
      <c r="C7314" s="72"/>
      <c r="G7314" s="77"/>
      <c r="H7314" s="77"/>
    </row>
    <row r="7315">
      <c r="C7315" s="72"/>
      <c r="G7315" s="77"/>
      <c r="H7315" s="77"/>
    </row>
    <row r="7316">
      <c r="C7316" s="72"/>
      <c r="G7316" s="77"/>
      <c r="H7316" s="77"/>
    </row>
    <row r="7317">
      <c r="C7317" s="72"/>
      <c r="G7317" s="77"/>
      <c r="H7317" s="77"/>
    </row>
    <row r="7318">
      <c r="C7318" s="72"/>
      <c r="G7318" s="77"/>
      <c r="H7318" s="77"/>
    </row>
    <row r="7319">
      <c r="C7319" s="72"/>
      <c r="G7319" s="77"/>
      <c r="H7319" s="77"/>
    </row>
    <row r="7320">
      <c r="C7320" s="72"/>
      <c r="G7320" s="77"/>
      <c r="H7320" s="77"/>
    </row>
    <row r="7321">
      <c r="C7321" s="72"/>
      <c r="G7321" s="77"/>
      <c r="H7321" s="77"/>
    </row>
    <row r="7322">
      <c r="C7322" s="72"/>
      <c r="G7322" s="77"/>
      <c r="H7322" s="77"/>
    </row>
    <row r="7323">
      <c r="C7323" s="72"/>
      <c r="G7323" s="77"/>
      <c r="H7323" s="77"/>
    </row>
    <row r="7324">
      <c r="C7324" s="72"/>
      <c r="G7324" s="77"/>
      <c r="H7324" s="77"/>
    </row>
    <row r="7325">
      <c r="C7325" s="72"/>
      <c r="G7325" s="77"/>
      <c r="H7325" s="77"/>
    </row>
    <row r="7326">
      <c r="C7326" s="72"/>
      <c r="G7326" s="77"/>
      <c r="H7326" s="77"/>
    </row>
    <row r="7327">
      <c r="C7327" s="72"/>
      <c r="G7327" s="77"/>
      <c r="H7327" s="77"/>
    </row>
    <row r="7328">
      <c r="C7328" s="72"/>
      <c r="G7328" s="77"/>
      <c r="H7328" s="77"/>
    </row>
    <row r="7329">
      <c r="C7329" s="72"/>
      <c r="G7329" s="77"/>
      <c r="H7329" s="77"/>
    </row>
    <row r="7330">
      <c r="C7330" s="72"/>
      <c r="G7330" s="77"/>
      <c r="H7330" s="77"/>
    </row>
    <row r="7331">
      <c r="C7331" s="72"/>
      <c r="G7331" s="77"/>
      <c r="H7331" s="77"/>
    </row>
    <row r="7332">
      <c r="C7332" s="72"/>
      <c r="G7332" s="77"/>
      <c r="H7332" s="77"/>
    </row>
    <row r="7333">
      <c r="C7333" s="72"/>
      <c r="G7333" s="77"/>
      <c r="H7333" s="77"/>
    </row>
    <row r="7334">
      <c r="C7334" s="72"/>
      <c r="G7334" s="77"/>
      <c r="H7334" s="77"/>
    </row>
    <row r="7335">
      <c r="C7335" s="72"/>
      <c r="G7335" s="77"/>
      <c r="H7335" s="77"/>
    </row>
    <row r="7336">
      <c r="C7336" s="72"/>
      <c r="G7336" s="77"/>
      <c r="H7336" s="77"/>
    </row>
    <row r="7337">
      <c r="C7337" s="72"/>
      <c r="G7337" s="77"/>
      <c r="H7337" s="77"/>
    </row>
    <row r="7338">
      <c r="C7338" s="72"/>
      <c r="G7338" s="77"/>
      <c r="H7338" s="77"/>
    </row>
    <row r="7339">
      <c r="C7339" s="72"/>
      <c r="G7339" s="77"/>
      <c r="H7339" s="77"/>
    </row>
    <row r="7340">
      <c r="C7340" s="72"/>
      <c r="G7340" s="77"/>
      <c r="H7340" s="77"/>
    </row>
    <row r="7341">
      <c r="C7341" s="72"/>
      <c r="G7341" s="77"/>
      <c r="H7341" s="77"/>
    </row>
    <row r="7342">
      <c r="C7342" s="72"/>
      <c r="G7342" s="77"/>
      <c r="H7342" s="77"/>
    </row>
    <row r="7343">
      <c r="C7343" s="72"/>
      <c r="G7343" s="77"/>
      <c r="H7343" s="77"/>
    </row>
    <row r="7344">
      <c r="C7344" s="72"/>
      <c r="G7344" s="77"/>
      <c r="H7344" s="77"/>
    </row>
    <row r="7345">
      <c r="C7345" s="72"/>
      <c r="G7345" s="77"/>
      <c r="H7345" s="77"/>
    </row>
    <row r="7346">
      <c r="C7346" s="72"/>
      <c r="G7346" s="77"/>
      <c r="H7346" s="77"/>
    </row>
    <row r="7347">
      <c r="C7347" s="72"/>
      <c r="G7347" s="77"/>
      <c r="H7347" s="77"/>
    </row>
    <row r="7348">
      <c r="C7348" s="72"/>
      <c r="G7348" s="77"/>
      <c r="H7348" s="77"/>
    </row>
    <row r="7349">
      <c r="C7349" s="72"/>
      <c r="G7349" s="77"/>
      <c r="H7349" s="77"/>
    </row>
    <row r="7350">
      <c r="C7350" s="72"/>
      <c r="G7350" s="77"/>
      <c r="H7350" s="77"/>
    </row>
    <row r="7351">
      <c r="C7351" s="72"/>
      <c r="G7351" s="77"/>
      <c r="H7351" s="77"/>
    </row>
    <row r="7352">
      <c r="C7352" s="72"/>
      <c r="G7352" s="77"/>
      <c r="H7352" s="77"/>
    </row>
    <row r="7353">
      <c r="C7353" s="72"/>
      <c r="G7353" s="77"/>
      <c r="H7353" s="77"/>
    </row>
    <row r="7354">
      <c r="C7354" s="72"/>
      <c r="G7354" s="77"/>
      <c r="H7354" s="77"/>
    </row>
    <row r="7355">
      <c r="C7355" s="72"/>
      <c r="G7355" s="77"/>
      <c r="H7355" s="77"/>
    </row>
    <row r="7356">
      <c r="C7356" s="72"/>
      <c r="G7356" s="77"/>
      <c r="H7356" s="77"/>
    </row>
    <row r="7357">
      <c r="C7357" s="72"/>
      <c r="G7357" s="77"/>
      <c r="H7357" s="77"/>
    </row>
    <row r="7358">
      <c r="C7358" s="72"/>
      <c r="G7358" s="77"/>
      <c r="H7358" s="77"/>
    </row>
    <row r="7359">
      <c r="C7359" s="72"/>
      <c r="G7359" s="77"/>
      <c r="H7359" s="77"/>
    </row>
    <row r="7360">
      <c r="C7360" s="72"/>
      <c r="G7360" s="77"/>
      <c r="H7360" s="77"/>
    </row>
    <row r="7361">
      <c r="C7361" s="72"/>
      <c r="G7361" s="77"/>
      <c r="H7361" s="77"/>
    </row>
    <row r="7362">
      <c r="C7362" s="72"/>
      <c r="G7362" s="77"/>
      <c r="H7362" s="77"/>
    </row>
    <row r="7363">
      <c r="C7363" s="72"/>
      <c r="G7363" s="77"/>
      <c r="H7363" s="77"/>
    </row>
    <row r="7364">
      <c r="C7364" s="72"/>
      <c r="G7364" s="77"/>
      <c r="H7364" s="77"/>
    </row>
    <row r="7365">
      <c r="C7365" s="72"/>
      <c r="G7365" s="77"/>
      <c r="H7365" s="77"/>
    </row>
    <row r="7366">
      <c r="C7366" s="72"/>
      <c r="G7366" s="77"/>
      <c r="H7366" s="77"/>
    </row>
    <row r="7367">
      <c r="C7367" s="72"/>
      <c r="G7367" s="77"/>
      <c r="H7367" s="77"/>
    </row>
    <row r="7368">
      <c r="C7368" s="72"/>
      <c r="G7368" s="77"/>
      <c r="H7368" s="77"/>
    </row>
    <row r="7369">
      <c r="C7369" s="72"/>
      <c r="G7369" s="77"/>
      <c r="H7369" s="77"/>
    </row>
    <row r="7370">
      <c r="C7370" s="72"/>
      <c r="G7370" s="77"/>
      <c r="H7370" s="77"/>
    </row>
    <row r="7371">
      <c r="C7371" s="72"/>
      <c r="G7371" s="77"/>
      <c r="H7371" s="77"/>
    </row>
    <row r="7372">
      <c r="C7372" s="72"/>
      <c r="G7372" s="77"/>
      <c r="H7372" s="77"/>
    </row>
    <row r="7373">
      <c r="C7373" s="72"/>
      <c r="G7373" s="77"/>
      <c r="H7373" s="77"/>
    </row>
    <row r="7374">
      <c r="C7374" s="72"/>
      <c r="G7374" s="77"/>
      <c r="H7374" s="77"/>
    </row>
    <row r="7375">
      <c r="C7375" s="72"/>
      <c r="G7375" s="77"/>
      <c r="H7375" s="77"/>
    </row>
    <row r="7376">
      <c r="C7376" s="72"/>
      <c r="G7376" s="77"/>
      <c r="H7376" s="77"/>
    </row>
    <row r="7377">
      <c r="C7377" s="72"/>
      <c r="G7377" s="77"/>
      <c r="H7377" s="77"/>
    </row>
    <row r="7378">
      <c r="C7378" s="72"/>
      <c r="G7378" s="77"/>
      <c r="H7378" s="77"/>
    </row>
    <row r="7379">
      <c r="C7379" s="72"/>
      <c r="G7379" s="77"/>
      <c r="H7379" s="77"/>
    </row>
    <row r="7380">
      <c r="C7380" s="72"/>
      <c r="G7380" s="77"/>
      <c r="H7380" s="77"/>
    </row>
    <row r="7381">
      <c r="C7381" s="72"/>
      <c r="G7381" s="77"/>
      <c r="H7381" s="77"/>
    </row>
    <row r="7382">
      <c r="C7382" s="72"/>
      <c r="G7382" s="77"/>
      <c r="H7382" s="77"/>
    </row>
    <row r="7383">
      <c r="C7383" s="72"/>
      <c r="G7383" s="77"/>
      <c r="H7383" s="77"/>
    </row>
    <row r="7384">
      <c r="C7384" s="72"/>
      <c r="G7384" s="77"/>
      <c r="H7384" s="77"/>
    </row>
    <row r="7385">
      <c r="C7385" s="72"/>
      <c r="G7385" s="77"/>
      <c r="H7385" s="77"/>
    </row>
    <row r="7386">
      <c r="C7386" s="72"/>
      <c r="G7386" s="77"/>
      <c r="H7386" s="77"/>
    </row>
    <row r="7387">
      <c r="C7387" s="72"/>
      <c r="G7387" s="77"/>
      <c r="H7387" s="77"/>
    </row>
    <row r="7388">
      <c r="C7388" s="72"/>
      <c r="G7388" s="77"/>
      <c r="H7388" s="77"/>
    </row>
    <row r="7389">
      <c r="C7389" s="72"/>
      <c r="G7389" s="77"/>
      <c r="H7389" s="77"/>
    </row>
    <row r="7390">
      <c r="C7390" s="72"/>
      <c r="G7390" s="77"/>
      <c r="H7390" s="77"/>
    </row>
    <row r="7391">
      <c r="C7391" s="72"/>
      <c r="G7391" s="77"/>
      <c r="H7391" s="77"/>
    </row>
    <row r="7392">
      <c r="C7392" s="72"/>
      <c r="G7392" s="77"/>
      <c r="H7392" s="77"/>
    </row>
    <row r="7393">
      <c r="C7393" s="72"/>
      <c r="G7393" s="77"/>
      <c r="H7393" s="77"/>
    </row>
    <row r="7394">
      <c r="C7394" s="72"/>
      <c r="G7394" s="77"/>
      <c r="H7394" s="77"/>
    </row>
    <row r="7395">
      <c r="C7395" s="72"/>
      <c r="G7395" s="77"/>
      <c r="H7395" s="77"/>
    </row>
    <row r="7396">
      <c r="C7396" s="72"/>
      <c r="G7396" s="77"/>
      <c r="H7396" s="77"/>
    </row>
    <row r="7397">
      <c r="C7397" s="72"/>
      <c r="G7397" s="77"/>
      <c r="H7397" s="77"/>
    </row>
    <row r="7398">
      <c r="C7398" s="72"/>
      <c r="G7398" s="77"/>
      <c r="H7398" s="77"/>
    </row>
    <row r="7399">
      <c r="C7399" s="72"/>
      <c r="G7399" s="77"/>
      <c r="H7399" s="77"/>
    </row>
    <row r="7400">
      <c r="C7400" s="72"/>
      <c r="G7400" s="77"/>
      <c r="H7400" s="77"/>
    </row>
    <row r="7401">
      <c r="C7401" s="72"/>
      <c r="G7401" s="77"/>
      <c r="H7401" s="77"/>
    </row>
    <row r="7402">
      <c r="C7402" s="72"/>
      <c r="G7402" s="77"/>
      <c r="H7402" s="77"/>
    </row>
    <row r="7403">
      <c r="C7403" s="72"/>
      <c r="G7403" s="77"/>
      <c r="H7403" s="77"/>
    </row>
    <row r="7404">
      <c r="C7404" s="72"/>
      <c r="G7404" s="77"/>
      <c r="H7404" s="77"/>
    </row>
    <row r="7405">
      <c r="C7405" s="72"/>
      <c r="G7405" s="77"/>
      <c r="H7405" s="77"/>
    </row>
    <row r="7406">
      <c r="C7406" s="72"/>
      <c r="G7406" s="77"/>
      <c r="H7406" s="77"/>
    </row>
    <row r="7407">
      <c r="C7407" s="72"/>
      <c r="G7407" s="77"/>
      <c r="H7407" s="77"/>
    </row>
    <row r="7408">
      <c r="C7408" s="72"/>
      <c r="G7408" s="77"/>
      <c r="H7408" s="77"/>
    </row>
    <row r="7409">
      <c r="C7409" s="72"/>
      <c r="G7409" s="77"/>
      <c r="H7409" s="77"/>
    </row>
    <row r="7410">
      <c r="C7410" s="72"/>
      <c r="G7410" s="77"/>
      <c r="H7410" s="77"/>
    </row>
    <row r="7411">
      <c r="C7411" s="72"/>
      <c r="G7411" s="77"/>
      <c r="H7411" s="77"/>
    </row>
    <row r="7412">
      <c r="C7412" s="72"/>
      <c r="G7412" s="77"/>
      <c r="H7412" s="77"/>
    </row>
    <row r="7413">
      <c r="C7413" s="72"/>
      <c r="G7413" s="77"/>
      <c r="H7413" s="77"/>
    </row>
    <row r="7414">
      <c r="C7414" s="72"/>
      <c r="G7414" s="77"/>
      <c r="H7414" s="77"/>
    </row>
    <row r="7415">
      <c r="C7415" s="72"/>
      <c r="G7415" s="77"/>
      <c r="H7415" s="77"/>
    </row>
    <row r="7416">
      <c r="C7416" s="72"/>
      <c r="G7416" s="77"/>
      <c r="H7416" s="77"/>
    </row>
    <row r="7417">
      <c r="C7417" s="72"/>
      <c r="G7417" s="77"/>
      <c r="H7417" s="77"/>
    </row>
    <row r="7418">
      <c r="C7418" s="72"/>
      <c r="G7418" s="77"/>
      <c r="H7418" s="77"/>
    </row>
    <row r="7419">
      <c r="C7419" s="72"/>
      <c r="G7419" s="77"/>
      <c r="H7419" s="77"/>
    </row>
    <row r="7420">
      <c r="C7420" s="72"/>
      <c r="G7420" s="77"/>
      <c r="H7420" s="77"/>
    </row>
    <row r="7421">
      <c r="C7421" s="72"/>
      <c r="G7421" s="77"/>
      <c r="H7421" s="77"/>
    </row>
    <row r="7422">
      <c r="C7422" s="72"/>
      <c r="G7422" s="77"/>
      <c r="H7422" s="77"/>
    </row>
    <row r="7423">
      <c r="C7423" s="72"/>
      <c r="G7423" s="77"/>
      <c r="H7423" s="77"/>
    </row>
    <row r="7424">
      <c r="C7424" s="72"/>
      <c r="G7424" s="77"/>
      <c r="H7424" s="77"/>
    </row>
    <row r="7425">
      <c r="C7425" s="72"/>
      <c r="G7425" s="77"/>
      <c r="H7425" s="77"/>
    </row>
    <row r="7426">
      <c r="C7426" s="72"/>
      <c r="G7426" s="77"/>
      <c r="H7426" s="77"/>
    </row>
    <row r="7427">
      <c r="C7427" s="72"/>
      <c r="G7427" s="77"/>
      <c r="H7427" s="77"/>
    </row>
    <row r="7428">
      <c r="C7428" s="72"/>
      <c r="G7428" s="77"/>
      <c r="H7428" s="77"/>
    </row>
    <row r="7429">
      <c r="C7429" s="72"/>
      <c r="G7429" s="77"/>
      <c r="H7429" s="77"/>
    </row>
    <row r="7430">
      <c r="C7430" s="72"/>
      <c r="G7430" s="77"/>
      <c r="H7430" s="77"/>
    </row>
    <row r="7431">
      <c r="C7431" s="72"/>
      <c r="G7431" s="77"/>
      <c r="H7431" s="77"/>
    </row>
    <row r="7432">
      <c r="C7432" s="72"/>
      <c r="G7432" s="77"/>
      <c r="H7432" s="77"/>
    </row>
    <row r="7433">
      <c r="C7433" s="72"/>
      <c r="G7433" s="77"/>
      <c r="H7433" s="77"/>
    </row>
    <row r="7434">
      <c r="C7434" s="72"/>
      <c r="G7434" s="77"/>
      <c r="H7434" s="77"/>
    </row>
    <row r="7435">
      <c r="C7435" s="72"/>
      <c r="G7435" s="77"/>
      <c r="H7435" s="77"/>
    </row>
    <row r="7436">
      <c r="C7436" s="72"/>
      <c r="G7436" s="77"/>
      <c r="H7436" s="77"/>
    </row>
    <row r="7437">
      <c r="C7437" s="72"/>
      <c r="G7437" s="77"/>
      <c r="H7437" s="77"/>
    </row>
    <row r="7438">
      <c r="C7438" s="72"/>
      <c r="G7438" s="77"/>
      <c r="H7438" s="77"/>
    </row>
    <row r="7439">
      <c r="C7439" s="72"/>
      <c r="G7439" s="77"/>
      <c r="H7439" s="77"/>
    </row>
    <row r="7440">
      <c r="C7440" s="72"/>
      <c r="G7440" s="77"/>
      <c r="H7440" s="77"/>
    </row>
    <row r="7441">
      <c r="C7441" s="72"/>
      <c r="G7441" s="77"/>
      <c r="H7441" s="77"/>
    </row>
    <row r="7442">
      <c r="C7442" s="72"/>
      <c r="G7442" s="77"/>
      <c r="H7442" s="77"/>
    </row>
    <row r="7443">
      <c r="C7443" s="72"/>
      <c r="G7443" s="77"/>
      <c r="H7443" s="77"/>
    </row>
    <row r="7444">
      <c r="C7444" s="72"/>
      <c r="G7444" s="77"/>
      <c r="H7444" s="77"/>
    </row>
    <row r="7445">
      <c r="C7445" s="72"/>
      <c r="G7445" s="77"/>
      <c r="H7445" s="77"/>
    </row>
    <row r="7446">
      <c r="C7446" s="72"/>
      <c r="G7446" s="77"/>
      <c r="H7446" s="77"/>
    </row>
    <row r="7447">
      <c r="C7447" s="72"/>
      <c r="G7447" s="77"/>
      <c r="H7447" s="77"/>
    </row>
    <row r="7448">
      <c r="C7448" s="72"/>
      <c r="G7448" s="77"/>
      <c r="H7448" s="77"/>
    </row>
    <row r="7449">
      <c r="C7449" s="72"/>
      <c r="G7449" s="77"/>
      <c r="H7449" s="77"/>
    </row>
    <row r="7450">
      <c r="C7450" s="72"/>
      <c r="G7450" s="77"/>
      <c r="H7450" s="77"/>
    </row>
    <row r="7451">
      <c r="C7451" s="72"/>
      <c r="G7451" s="77"/>
      <c r="H7451" s="77"/>
    </row>
    <row r="7452">
      <c r="C7452" s="72"/>
      <c r="G7452" s="77"/>
      <c r="H7452" s="77"/>
    </row>
    <row r="7453">
      <c r="C7453" s="72"/>
      <c r="G7453" s="77"/>
      <c r="H7453" s="77"/>
    </row>
    <row r="7454">
      <c r="C7454" s="72"/>
      <c r="G7454" s="77"/>
      <c r="H7454" s="77"/>
    </row>
    <row r="7455">
      <c r="C7455" s="72"/>
      <c r="G7455" s="77"/>
      <c r="H7455" s="77"/>
    </row>
    <row r="7456">
      <c r="C7456" s="72"/>
      <c r="G7456" s="77"/>
      <c r="H7456" s="77"/>
    </row>
    <row r="7457">
      <c r="C7457" s="72"/>
      <c r="G7457" s="77"/>
      <c r="H7457" s="77"/>
    </row>
    <row r="7458">
      <c r="C7458" s="72"/>
      <c r="G7458" s="77"/>
      <c r="H7458" s="77"/>
    </row>
    <row r="7459">
      <c r="C7459" s="72"/>
      <c r="G7459" s="77"/>
      <c r="H7459" s="77"/>
    </row>
    <row r="7460">
      <c r="C7460" s="72"/>
      <c r="G7460" s="77"/>
      <c r="H7460" s="77"/>
    </row>
    <row r="7461">
      <c r="C7461" s="72"/>
      <c r="G7461" s="77"/>
      <c r="H7461" s="77"/>
    </row>
    <row r="7462">
      <c r="C7462" s="72"/>
      <c r="G7462" s="77"/>
      <c r="H7462" s="77"/>
    </row>
    <row r="7463">
      <c r="C7463" s="72"/>
      <c r="G7463" s="77"/>
      <c r="H7463" s="77"/>
    </row>
    <row r="7464">
      <c r="C7464" s="72"/>
      <c r="G7464" s="77"/>
      <c r="H7464" s="77"/>
    </row>
    <row r="7465">
      <c r="C7465" s="72"/>
      <c r="G7465" s="77"/>
      <c r="H7465" s="77"/>
    </row>
    <row r="7466">
      <c r="C7466" s="72"/>
      <c r="G7466" s="77"/>
      <c r="H7466" s="77"/>
    </row>
    <row r="7467">
      <c r="C7467" s="72"/>
      <c r="G7467" s="77"/>
      <c r="H7467" s="77"/>
    </row>
    <row r="7468">
      <c r="C7468" s="72"/>
      <c r="G7468" s="77"/>
      <c r="H7468" s="77"/>
    </row>
    <row r="7469">
      <c r="C7469" s="72"/>
      <c r="G7469" s="77"/>
      <c r="H7469" s="77"/>
    </row>
    <row r="7470">
      <c r="C7470" s="72"/>
      <c r="G7470" s="77"/>
      <c r="H7470" s="77"/>
    </row>
    <row r="7471">
      <c r="C7471" s="72"/>
      <c r="G7471" s="77"/>
      <c r="H7471" s="77"/>
    </row>
    <row r="7472">
      <c r="C7472" s="72"/>
      <c r="G7472" s="77"/>
      <c r="H7472" s="77"/>
    </row>
    <row r="7473">
      <c r="C7473" s="72"/>
      <c r="G7473" s="77"/>
      <c r="H7473" s="77"/>
    </row>
    <row r="7474">
      <c r="C7474" s="72"/>
      <c r="G7474" s="77"/>
      <c r="H7474" s="77"/>
    </row>
    <row r="7475">
      <c r="C7475" s="72"/>
      <c r="G7475" s="77"/>
      <c r="H7475" s="77"/>
    </row>
    <row r="7476">
      <c r="C7476" s="72"/>
      <c r="G7476" s="77"/>
      <c r="H7476" s="77"/>
    </row>
    <row r="7477">
      <c r="C7477" s="72"/>
      <c r="G7477" s="77"/>
      <c r="H7477" s="77"/>
    </row>
    <row r="7478">
      <c r="C7478" s="72"/>
      <c r="G7478" s="77"/>
      <c r="H7478" s="77"/>
    </row>
    <row r="7479">
      <c r="C7479" s="72"/>
      <c r="G7479" s="77"/>
      <c r="H7479" s="77"/>
    </row>
    <row r="7480">
      <c r="C7480" s="72"/>
      <c r="G7480" s="77"/>
      <c r="H7480" s="77"/>
    </row>
    <row r="7481">
      <c r="C7481" s="72"/>
      <c r="G7481" s="77"/>
      <c r="H7481" s="77"/>
    </row>
    <row r="7482">
      <c r="C7482" s="72"/>
      <c r="G7482" s="77"/>
      <c r="H7482" s="77"/>
    </row>
    <row r="7483">
      <c r="C7483" s="72"/>
      <c r="G7483" s="77"/>
      <c r="H7483" s="77"/>
    </row>
    <row r="7484">
      <c r="C7484" s="72"/>
      <c r="G7484" s="77"/>
      <c r="H7484" s="77"/>
    </row>
    <row r="7485">
      <c r="C7485" s="72"/>
      <c r="G7485" s="77"/>
      <c r="H7485" s="77"/>
    </row>
    <row r="7486">
      <c r="C7486" s="72"/>
      <c r="G7486" s="77"/>
      <c r="H7486" s="77"/>
    </row>
    <row r="7487">
      <c r="C7487" s="72"/>
      <c r="G7487" s="77"/>
      <c r="H7487" s="77"/>
    </row>
    <row r="7488">
      <c r="C7488" s="72"/>
      <c r="G7488" s="77"/>
      <c r="H7488" s="77"/>
    </row>
    <row r="7489">
      <c r="C7489" s="72"/>
      <c r="G7489" s="77"/>
      <c r="H7489" s="77"/>
    </row>
    <row r="7490">
      <c r="C7490" s="72"/>
      <c r="G7490" s="77"/>
      <c r="H7490" s="77"/>
    </row>
    <row r="7491">
      <c r="C7491" s="72"/>
      <c r="G7491" s="77"/>
      <c r="H7491" s="77"/>
    </row>
    <row r="7492">
      <c r="C7492" s="72"/>
      <c r="G7492" s="77"/>
      <c r="H7492" s="77"/>
    </row>
    <row r="7493">
      <c r="C7493" s="72"/>
      <c r="G7493" s="77"/>
      <c r="H7493" s="77"/>
    </row>
    <row r="7494">
      <c r="C7494" s="72"/>
      <c r="G7494" s="77"/>
      <c r="H7494" s="77"/>
    </row>
    <row r="7495">
      <c r="C7495" s="72"/>
      <c r="G7495" s="77"/>
      <c r="H7495" s="77"/>
    </row>
    <row r="7496">
      <c r="C7496" s="72"/>
      <c r="G7496" s="77"/>
      <c r="H7496" s="77"/>
    </row>
    <row r="7497">
      <c r="C7497" s="72"/>
      <c r="G7497" s="77"/>
      <c r="H7497" s="77"/>
    </row>
    <row r="7498">
      <c r="C7498" s="72"/>
      <c r="G7498" s="77"/>
      <c r="H7498" s="77"/>
    </row>
    <row r="7499">
      <c r="C7499" s="72"/>
      <c r="G7499" s="77"/>
      <c r="H7499" s="77"/>
    </row>
    <row r="7500">
      <c r="C7500" s="72"/>
      <c r="G7500" s="77"/>
      <c r="H7500" s="77"/>
    </row>
    <row r="7501">
      <c r="C7501" s="72"/>
      <c r="G7501" s="77"/>
      <c r="H7501" s="77"/>
    </row>
    <row r="7502">
      <c r="C7502" s="72"/>
      <c r="G7502" s="77"/>
      <c r="H7502" s="77"/>
    </row>
    <row r="7503">
      <c r="C7503" s="72"/>
      <c r="G7503" s="77"/>
      <c r="H7503" s="77"/>
    </row>
    <row r="7504">
      <c r="C7504" s="72"/>
      <c r="G7504" s="77"/>
      <c r="H7504" s="77"/>
    </row>
    <row r="7505">
      <c r="C7505" s="72"/>
      <c r="G7505" s="77"/>
      <c r="H7505" s="77"/>
    </row>
    <row r="7506">
      <c r="C7506" s="72"/>
      <c r="G7506" s="77"/>
      <c r="H7506" s="77"/>
    </row>
    <row r="7507">
      <c r="C7507" s="72"/>
      <c r="G7507" s="77"/>
      <c r="H7507" s="77"/>
    </row>
    <row r="7508">
      <c r="C7508" s="72"/>
      <c r="G7508" s="77"/>
      <c r="H7508" s="77"/>
    </row>
    <row r="7509">
      <c r="C7509" s="72"/>
      <c r="G7509" s="77"/>
      <c r="H7509" s="77"/>
    </row>
    <row r="7510">
      <c r="C7510" s="72"/>
      <c r="G7510" s="77"/>
      <c r="H7510" s="77"/>
    </row>
    <row r="7511">
      <c r="C7511" s="72"/>
      <c r="G7511" s="77"/>
      <c r="H7511" s="77"/>
    </row>
    <row r="7512">
      <c r="C7512" s="72"/>
      <c r="G7512" s="77"/>
      <c r="H7512" s="77"/>
    </row>
    <row r="7513">
      <c r="C7513" s="72"/>
      <c r="G7513" s="77"/>
      <c r="H7513" s="77"/>
    </row>
    <row r="7514">
      <c r="C7514" s="72"/>
      <c r="G7514" s="77"/>
      <c r="H7514" s="77"/>
    </row>
    <row r="7515">
      <c r="C7515" s="72"/>
      <c r="G7515" s="77"/>
      <c r="H7515" s="77"/>
    </row>
    <row r="7516">
      <c r="C7516" s="72"/>
      <c r="G7516" s="77"/>
      <c r="H7516" s="77"/>
    </row>
    <row r="7517">
      <c r="C7517" s="72"/>
      <c r="G7517" s="77"/>
      <c r="H7517" s="77"/>
    </row>
    <row r="7518">
      <c r="C7518" s="72"/>
      <c r="G7518" s="77"/>
      <c r="H7518" s="77"/>
    </row>
    <row r="7519">
      <c r="C7519" s="72"/>
      <c r="G7519" s="77"/>
      <c r="H7519" s="77"/>
    </row>
    <row r="7520">
      <c r="C7520" s="72"/>
      <c r="G7520" s="77"/>
      <c r="H7520" s="77"/>
    </row>
    <row r="7521">
      <c r="C7521" s="72"/>
      <c r="G7521" s="77"/>
      <c r="H7521" s="77"/>
    </row>
    <row r="7522">
      <c r="C7522" s="72"/>
      <c r="G7522" s="77"/>
      <c r="H7522" s="77"/>
    </row>
    <row r="7523">
      <c r="C7523" s="72"/>
      <c r="G7523" s="77"/>
      <c r="H7523" s="77"/>
    </row>
    <row r="7524">
      <c r="C7524" s="72"/>
      <c r="G7524" s="77"/>
      <c r="H7524" s="77"/>
    </row>
    <row r="7525">
      <c r="C7525" s="72"/>
      <c r="G7525" s="77"/>
      <c r="H7525" s="77"/>
    </row>
    <row r="7526">
      <c r="C7526" s="72"/>
      <c r="G7526" s="77"/>
      <c r="H7526" s="77"/>
    </row>
    <row r="7527">
      <c r="C7527" s="72"/>
      <c r="G7527" s="77"/>
      <c r="H7527" s="77"/>
    </row>
    <row r="7528">
      <c r="C7528" s="72"/>
      <c r="G7528" s="77"/>
      <c r="H7528" s="77"/>
    </row>
    <row r="7529">
      <c r="C7529" s="72"/>
      <c r="G7529" s="77"/>
      <c r="H7529" s="77"/>
    </row>
    <row r="7530">
      <c r="C7530" s="72"/>
      <c r="G7530" s="77"/>
      <c r="H7530" s="77"/>
    </row>
    <row r="7531">
      <c r="C7531" s="72"/>
      <c r="G7531" s="77"/>
      <c r="H7531" s="77"/>
    </row>
    <row r="7532">
      <c r="C7532" s="72"/>
      <c r="G7532" s="77"/>
      <c r="H7532" s="77"/>
    </row>
    <row r="7533">
      <c r="C7533" s="72"/>
      <c r="G7533" s="77"/>
      <c r="H7533" s="77"/>
    </row>
    <row r="7534">
      <c r="C7534" s="72"/>
      <c r="G7534" s="77"/>
      <c r="H7534" s="77"/>
    </row>
    <row r="7535">
      <c r="C7535" s="72"/>
      <c r="G7535" s="77"/>
      <c r="H7535" s="77"/>
    </row>
    <row r="7536">
      <c r="C7536" s="72"/>
      <c r="G7536" s="77"/>
      <c r="H7536" s="77"/>
    </row>
    <row r="7537">
      <c r="C7537" s="72"/>
      <c r="G7537" s="77"/>
      <c r="H7537" s="77"/>
    </row>
    <row r="7538">
      <c r="C7538" s="72"/>
      <c r="G7538" s="77"/>
      <c r="H7538" s="77"/>
    </row>
    <row r="7539">
      <c r="C7539" s="72"/>
      <c r="G7539" s="77"/>
      <c r="H7539" s="77"/>
    </row>
    <row r="7540">
      <c r="C7540" s="72"/>
      <c r="G7540" s="77"/>
      <c r="H7540" s="77"/>
    </row>
    <row r="7541">
      <c r="C7541" s="72"/>
      <c r="G7541" s="77"/>
      <c r="H7541" s="77"/>
    </row>
    <row r="7542">
      <c r="C7542" s="72"/>
      <c r="G7542" s="77"/>
      <c r="H7542" s="77"/>
    </row>
    <row r="7543">
      <c r="C7543" s="72"/>
      <c r="G7543" s="77"/>
      <c r="H7543" s="77"/>
    </row>
    <row r="7544">
      <c r="C7544" s="72"/>
      <c r="G7544" s="77"/>
      <c r="H7544" s="77"/>
    </row>
    <row r="7545">
      <c r="C7545" s="72"/>
      <c r="G7545" s="77"/>
      <c r="H7545" s="77"/>
    </row>
    <row r="7546">
      <c r="C7546" s="72"/>
      <c r="G7546" s="77"/>
      <c r="H7546" s="77"/>
    </row>
    <row r="7547">
      <c r="C7547" s="72"/>
      <c r="G7547" s="77"/>
      <c r="H7547" s="77"/>
    </row>
    <row r="7548">
      <c r="C7548" s="72"/>
      <c r="G7548" s="77"/>
      <c r="H7548" s="77"/>
    </row>
    <row r="7549">
      <c r="C7549" s="72"/>
      <c r="G7549" s="77"/>
      <c r="H7549" s="77"/>
    </row>
    <row r="7550">
      <c r="C7550" s="72"/>
      <c r="G7550" s="77"/>
      <c r="H7550" s="77"/>
    </row>
    <row r="7551">
      <c r="C7551" s="72"/>
      <c r="G7551" s="77"/>
      <c r="H7551" s="77"/>
    </row>
    <row r="7552">
      <c r="C7552" s="72"/>
      <c r="G7552" s="77"/>
      <c r="H7552" s="77"/>
    </row>
    <row r="7553">
      <c r="C7553" s="72"/>
      <c r="G7553" s="77"/>
      <c r="H7553" s="77"/>
    </row>
    <row r="7554">
      <c r="C7554" s="72"/>
      <c r="G7554" s="77"/>
      <c r="H7554" s="77"/>
    </row>
    <row r="7555">
      <c r="C7555" s="72"/>
      <c r="G7555" s="77"/>
      <c r="H7555" s="77"/>
    </row>
    <row r="7556">
      <c r="C7556" s="72"/>
      <c r="G7556" s="77"/>
      <c r="H7556" s="77"/>
    </row>
    <row r="7557">
      <c r="C7557" s="72"/>
      <c r="G7557" s="77"/>
      <c r="H7557" s="77"/>
    </row>
    <row r="7558">
      <c r="C7558" s="72"/>
      <c r="G7558" s="77"/>
      <c r="H7558" s="77"/>
    </row>
    <row r="7559">
      <c r="C7559" s="72"/>
      <c r="G7559" s="77"/>
      <c r="H7559" s="77"/>
    </row>
    <row r="7560">
      <c r="C7560" s="72"/>
      <c r="G7560" s="77"/>
      <c r="H7560" s="77"/>
    </row>
    <row r="7561">
      <c r="C7561" s="72"/>
      <c r="G7561" s="77"/>
      <c r="H7561" s="77"/>
    </row>
    <row r="7562">
      <c r="C7562" s="72"/>
      <c r="G7562" s="77"/>
      <c r="H7562" s="77"/>
    </row>
    <row r="7563">
      <c r="C7563" s="72"/>
      <c r="G7563" s="77"/>
      <c r="H7563" s="77"/>
    </row>
    <row r="7564">
      <c r="C7564" s="72"/>
      <c r="G7564" s="77"/>
      <c r="H7564" s="77"/>
    </row>
    <row r="7565">
      <c r="C7565" s="72"/>
      <c r="G7565" s="77"/>
      <c r="H7565" s="77"/>
    </row>
    <row r="7566">
      <c r="C7566" s="72"/>
      <c r="G7566" s="77"/>
      <c r="H7566" s="77"/>
    </row>
    <row r="7567">
      <c r="C7567" s="72"/>
      <c r="G7567" s="77"/>
      <c r="H7567" s="77"/>
    </row>
    <row r="7568">
      <c r="C7568" s="72"/>
      <c r="G7568" s="77"/>
      <c r="H7568" s="77"/>
    </row>
    <row r="7569">
      <c r="C7569" s="72"/>
      <c r="G7569" s="77"/>
      <c r="H7569" s="77"/>
    </row>
    <row r="7570">
      <c r="C7570" s="72"/>
      <c r="G7570" s="77"/>
      <c r="H7570" s="77"/>
    </row>
    <row r="7571">
      <c r="C7571" s="72"/>
      <c r="G7571" s="77"/>
      <c r="H7571" s="77"/>
    </row>
    <row r="7572">
      <c r="C7572" s="72"/>
      <c r="G7572" s="77"/>
      <c r="H7572" s="77"/>
    </row>
    <row r="7573">
      <c r="C7573" s="72"/>
      <c r="G7573" s="77"/>
      <c r="H7573" s="77"/>
    </row>
    <row r="7574">
      <c r="C7574" s="72"/>
      <c r="G7574" s="77"/>
      <c r="H7574" s="77"/>
    </row>
    <row r="7575">
      <c r="C7575" s="72"/>
      <c r="G7575" s="77"/>
      <c r="H7575" s="77"/>
    </row>
    <row r="7576">
      <c r="C7576" s="72"/>
      <c r="G7576" s="77"/>
      <c r="H7576" s="77"/>
    </row>
    <row r="7577">
      <c r="C7577" s="72"/>
      <c r="G7577" s="77"/>
      <c r="H7577" s="77"/>
    </row>
    <row r="7578">
      <c r="C7578" s="72"/>
      <c r="G7578" s="77"/>
      <c r="H7578" s="77"/>
    </row>
    <row r="7579">
      <c r="C7579" s="72"/>
      <c r="G7579" s="77"/>
      <c r="H7579" s="77"/>
    </row>
    <row r="7580">
      <c r="C7580" s="72"/>
      <c r="G7580" s="77"/>
      <c r="H7580" s="77"/>
    </row>
    <row r="7581">
      <c r="C7581" s="72"/>
      <c r="G7581" s="77"/>
      <c r="H7581" s="77"/>
    </row>
    <row r="7582">
      <c r="C7582" s="72"/>
      <c r="G7582" s="77"/>
      <c r="H7582" s="77"/>
    </row>
    <row r="7583">
      <c r="C7583" s="72"/>
      <c r="G7583" s="77"/>
      <c r="H7583" s="77"/>
    </row>
    <row r="7584">
      <c r="C7584" s="72"/>
      <c r="G7584" s="77"/>
      <c r="H7584" s="77"/>
    </row>
    <row r="7585">
      <c r="C7585" s="72"/>
      <c r="G7585" s="77"/>
      <c r="H7585" s="77"/>
    </row>
    <row r="7586">
      <c r="C7586" s="72"/>
      <c r="G7586" s="77"/>
      <c r="H7586" s="77"/>
    </row>
    <row r="7587">
      <c r="C7587" s="72"/>
      <c r="G7587" s="77"/>
      <c r="H7587" s="77"/>
    </row>
    <row r="7588">
      <c r="C7588" s="72"/>
      <c r="G7588" s="77"/>
      <c r="H7588" s="77"/>
    </row>
    <row r="7589">
      <c r="C7589" s="72"/>
      <c r="G7589" s="77"/>
      <c r="H7589" s="77"/>
    </row>
    <row r="7590">
      <c r="C7590" s="72"/>
      <c r="G7590" s="77"/>
      <c r="H7590" s="77"/>
    </row>
    <row r="7591">
      <c r="C7591" s="72"/>
      <c r="G7591" s="77"/>
      <c r="H7591" s="77"/>
    </row>
    <row r="7592">
      <c r="C7592" s="72"/>
      <c r="G7592" s="77"/>
      <c r="H7592" s="77"/>
    </row>
    <row r="7593">
      <c r="C7593" s="72"/>
      <c r="G7593" s="77"/>
      <c r="H7593" s="77"/>
    </row>
    <row r="7594">
      <c r="C7594" s="72"/>
      <c r="G7594" s="77"/>
      <c r="H7594" s="77"/>
    </row>
    <row r="7595">
      <c r="C7595" s="72"/>
      <c r="G7595" s="77"/>
      <c r="H7595" s="77"/>
    </row>
    <row r="7596">
      <c r="C7596" s="72"/>
      <c r="G7596" s="77"/>
      <c r="H7596" s="77"/>
    </row>
    <row r="7597">
      <c r="C7597" s="72"/>
      <c r="G7597" s="77"/>
      <c r="H7597" s="77"/>
    </row>
    <row r="7598">
      <c r="C7598" s="72"/>
      <c r="G7598" s="77"/>
      <c r="H7598" s="77"/>
    </row>
    <row r="7599">
      <c r="C7599" s="72"/>
      <c r="G7599" s="77"/>
      <c r="H7599" s="77"/>
    </row>
    <row r="7600">
      <c r="C7600" s="72"/>
      <c r="G7600" s="77"/>
      <c r="H7600" s="77"/>
    </row>
    <row r="7601">
      <c r="C7601" s="72"/>
      <c r="G7601" s="77"/>
      <c r="H7601" s="77"/>
    </row>
    <row r="7602">
      <c r="C7602" s="72"/>
      <c r="G7602" s="77"/>
      <c r="H7602" s="77"/>
    </row>
    <row r="7603">
      <c r="C7603" s="72"/>
      <c r="G7603" s="77"/>
      <c r="H7603" s="77"/>
    </row>
    <row r="7604">
      <c r="C7604" s="72"/>
      <c r="G7604" s="77"/>
      <c r="H7604" s="77"/>
    </row>
    <row r="7605">
      <c r="C7605" s="72"/>
      <c r="G7605" s="77"/>
      <c r="H7605" s="77"/>
    </row>
    <row r="7606">
      <c r="C7606" s="72"/>
      <c r="G7606" s="77"/>
      <c r="H7606" s="77"/>
    </row>
    <row r="7607">
      <c r="C7607" s="72"/>
      <c r="G7607" s="77"/>
      <c r="H7607" s="77"/>
    </row>
    <row r="7608">
      <c r="C7608" s="72"/>
      <c r="G7608" s="77"/>
      <c r="H7608" s="77"/>
    </row>
    <row r="7609">
      <c r="C7609" s="72"/>
      <c r="G7609" s="77"/>
      <c r="H7609" s="77"/>
    </row>
    <row r="7610">
      <c r="C7610" s="72"/>
      <c r="G7610" s="77"/>
      <c r="H7610" s="77"/>
    </row>
    <row r="7611">
      <c r="C7611" s="72"/>
      <c r="G7611" s="77"/>
      <c r="H7611" s="77"/>
    </row>
    <row r="7612">
      <c r="C7612" s="72"/>
      <c r="G7612" s="77"/>
      <c r="H7612" s="77"/>
    </row>
    <row r="7613">
      <c r="C7613" s="72"/>
      <c r="G7613" s="77"/>
      <c r="H7613" s="77"/>
    </row>
    <row r="7614">
      <c r="C7614" s="72"/>
      <c r="G7614" s="77"/>
      <c r="H7614" s="77"/>
    </row>
    <row r="7615">
      <c r="C7615" s="72"/>
      <c r="G7615" s="77"/>
      <c r="H7615" s="77"/>
    </row>
    <row r="7616">
      <c r="C7616" s="72"/>
      <c r="G7616" s="77"/>
      <c r="H7616" s="77"/>
    </row>
    <row r="7617">
      <c r="C7617" s="72"/>
      <c r="G7617" s="77"/>
      <c r="H7617" s="77"/>
    </row>
    <row r="7618">
      <c r="C7618" s="72"/>
      <c r="G7618" s="77"/>
      <c r="H7618" s="77"/>
    </row>
    <row r="7619">
      <c r="C7619" s="72"/>
      <c r="G7619" s="77"/>
      <c r="H7619" s="77"/>
    </row>
    <row r="7620">
      <c r="C7620" s="72"/>
      <c r="G7620" s="77"/>
      <c r="H7620" s="77"/>
    </row>
    <row r="7621">
      <c r="C7621" s="72"/>
      <c r="G7621" s="77"/>
      <c r="H7621" s="77"/>
    </row>
    <row r="7622">
      <c r="C7622" s="72"/>
      <c r="G7622" s="77"/>
      <c r="H7622" s="77"/>
    </row>
    <row r="7623">
      <c r="C7623" s="72"/>
      <c r="G7623" s="77"/>
      <c r="H7623" s="77"/>
    </row>
    <row r="7624">
      <c r="C7624" s="72"/>
      <c r="G7624" s="77"/>
      <c r="H7624" s="77"/>
    </row>
    <row r="7625">
      <c r="C7625" s="72"/>
      <c r="G7625" s="77"/>
      <c r="H7625" s="77"/>
    </row>
    <row r="7626">
      <c r="C7626" s="72"/>
      <c r="G7626" s="77"/>
      <c r="H7626" s="77"/>
    </row>
    <row r="7627">
      <c r="C7627" s="72"/>
      <c r="G7627" s="77"/>
      <c r="H7627" s="77"/>
    </row>
    <row r="7628">
      <c r="C7628" s="72"/>
      <c r="G7628" s="77"/>
      <c r="H7628" s="77"/>
    </row>
    <row r="7629">
      <c r="C7629" s="72"/>
      <c r="G7629" s="77"/>
      <c r="H7629" s="77"/>
    </row>
    <row r="7630">
      <c r="C7630" s="72"/>
      <c r="G7630" s="77"/>
      <c r="H7630" s="77"/>
    </row>
    <row r="7631">
      <c r="C7631" s="72"/>
      <c r="G7631" s="77"/>
      <c r="H7631" s="77"/>
    </row>
    <row r="7632">
      <c r="C7632" s="72"/>
      <c r="G7632" s="77"/>
      <c r="H7632" s="77"/>
    </row>
    <row r="7633">
      <c r="C7633" s="72"/>
      <c r="G7633" s="77"/>
      <c r="H7633" s="77"/>
    </row>
    <row r="7634">
      <c r="C7634" s="72"/>
      <c r="G7634" s="77"/>
      <c r="H7634" s="77"/>
    </row>
    <row r="7635">
      <c r="C7635" s="72"/>
      <c r="G7635" s="77"/>
      <c r="H7635" s="77"/>
    </row>
    <row r="7636">
      <c r="C7636" s="72"/>
      <c r="G7636" s="77"/>
      <c r="H7636" s="77"/>
    </row>
    <row r="7637">
      <c r="C7637" s="72"/>
      <c r="G7637" s="77"/>
      <c r="H7637" s="77"/>
    </row>
    <row r="7638">
      <c r="C7638" s="72"/>
      <c r="G7638" s="77"/>
      <c r="H7638" s="77"/>
    </row>
    <row r="7639">
      <c r="C7639" s="72"/>
      <c r="G7639" s="77"/>
      <c r="H7639" s="77"/>
    </row>
    <row r="7640">
      <c r="C7640" s="72"/>
      <c r="G7640" s="77"/>
      <c r="H7640" s="77"/>
    </row>
    <row r="7641">
      <c r="C7641" s="72"/>
      <c r="G7641" s="77"/>
      <c r="H7641" s="77"/>
    </row>
    <row r="7642">
      <c r="C7642" s="72"/>
      <c r="G7642" s="77"/>
      <c r="H7642" s="77"/>
    </row>
    <row r="7643">
      <c r="C7643" s="72"/>
      <c r="G7643" s="77"/>
      <c r="H7643" s="77"/>
    </row>
    <row r="7644">
      <c r="C7644" s="72"/>
      <c r="G7644" s="77"/>
      <c r="H7644" s="77"/>
    </row>
    <row r="7645">
      <c r="C7645" s="72"/>
      <c r="G7645" s="77"/>
      <c r="H7645" s="77"/>
    </row>
    <row r="7646">
      <c r="C7646" s="72"/>
      <c r="G7646" s="77"/>
      <c r="H7646" s="77"/>
    </row>
    <row r="7647">
      <c r="C7647" s="72"/>
      <c r="G7647" s="77"/>
      <c r="H7647" s="77"/>
    </row>
    <row r="7648">
      <c r="C7648" s="72"/>
      <c r="G7648" s="77"/>
      <c r="H7648" s="77"/>
    </row>
    <row r="7649">
      <c r="C7649" s="72"/>
      <c r="G7649" s="77"/>
      <c r="H7649" s="77"/>
    </row>
    <row r="7650">
      <c r="C7650" s="72"/>
      <c r="G7650" s="77"/>
      <c r="H7650" s="77"/>
    </row>
    <row r="7651">
      <c r="C7651" s="72"/>
      <c r="G7651" s="77"/>
      <c r="H7651" s="77"/>
    </row>
    <row r="7652">
      <c r="C7652" s="72"/>
      <c r="G7652" s="77"/>
      <c r="H7652" s="77"/>
    </row>
    <row r="7653">
      <c r="C7653" s="72"/>
      <c r="G7653" s="77"/>
      <c r="H7653" s="77"/>
    </row>
    <row r="7654">
      <c r="C7654" s="72"/>
      <c r="G7654" s="77"/>
      <c r="H7654" s="77"/>
    </row>
    <row r="7655">
      <c r="C7655" s="72"/>
      <c r="G7655" s="77"/>
      <c r="H7655" s="77"/>
    </row>
    <row r="7656">
      <c r="C7656" s="72"/>
      <c r="G7656" s="77"/>
      <c r="H7656" s="77"/>
    </row>
    <row r="7657">
      <c r="C7657" s="72"/>
      <c r="G7657" s="77"/>
      <c r="H7657" s="77"/>
    </row>
    <row r="7658">
      <c r="C7658" s="72"/>
      <c r="G7658" s="77"/>
      <c r="H7658" s="77"/>
    </row>
    <row r="7659">
      <c r="C7659" s="72"/>
      <c r="G7659" s="77"/>
      <c r="H7659" s="77"/>
    </row>
    <row r="7660">
      <c r="C7660" s="72"/>
      <c r="G7660" s="77"/>
      <c r="H7660" s="77"/>
    </row>
    <row r="7661">
      <c r="C7661" s="72"/>
      <c r="G7661" s="77"/>
      <c r="H7661" s="77"/>
    </row>
    <row r="7662">
      <c r="C7662" s="72"/>
      <c r="G7662" s="77"/>
      <c r="H7662" s="77"/>
    </row>
    <row r="7663">
      <c r="C7663" s="72"/>
      <c r="G7663" s="77"/>
      <c r="H7663" s="77"/>
    </row>
    <row r="7664">
      <c r="C7664" s="72"/>
      <c r="G7664" s="77"/>
      <c r="H7664" s="77"/>
    </row>
    <row r="7665">
      <c r="C7665" s="72"/>
      <c r="G7665" s="77"/>
      <c r="H7665" s="77"/>
    </row>
    <row r="7666">
      <c r="C7666" s="72"/>
      <c r="G7666" s="77"/>
      <c r="H7666" s="77"/>
    </row>
    <row r="7667">
      <c r="C7667" s="72"/>
      <c r="G7667" s="77"/>
      <c r="H7667" s="77"/>
    </row>
    <row r="7668">
      <c r="C7668" s="72"/>
      <c r="G7668" s="77"/>
      <c r="H7668" s="77"/>
    </row>
    <row r="7669">
      <c r="C7669" s="72"/>
      <c r="G7669" s="77"/>
      <c r="H7669" s="77"/>
    </row>
    <row r="7670">
      <c r="C7670" s="72"/>
      <c r="G7670" s="77"/>
      <c r="H7670" s="77"/>
    </row>
    <row r="7671">
      <c r="C7671" s="72"/>
      <c r="G7671" s="77"/>
      <c r="H7671" s="77"/>
    </row>
    <row r="7672">
      <c r="C7672" s="72"/>
      <c r="G7672" s="77"/>
      <c r="H7672" s="77"/>
    </row>
    <row r="7673">
      <c r="C7673" s="72"/>
      <c r="G7673" s="77"/>
      <c r="H7673" s="77"/>
    </row>
    <row r="7674">
      <c r="C7674" s="72"/>
      <c r="G7674" s="77"/>
      <c r="H7674" s="77"/>
    </row>
    <row r="7675">
      <c r="C7675" s="72"/>
      <c r="G7675" s="77"/>
      <c r="H7675" s="77"/>
    </row>
    <row r="7676">
      <c r="C7676" s="72"/>
      <c r="G7676" s="77"/>
      <c r="H7676" s="77"/>
    </row>
    <row r="7677">
      <c r="C7677" s="72"/>
      <c r="G7677" s="77"/>
      <c r="H7677" s="77"/>
    </row>
    <row r="7678">
      <c r="C7678" s="72"/>
      <c r="G7678" s="77"/>
      <c r="H7678" s="77"/>
    </row>
    <row r="7679">
      <c r="C7679" s="72"/>
      <c r="G7679" s="77"/>
      <c r="H7679" s="77"/>
    </row>
    <row r="7680">
      <c r="C7680" s="72"/>
      <c r="G7680" s="77"/>
      <c r="H7680" s="77"/>
    </row>
    <row r="7681">
      <c r="C7681" s="72"/>
      <c r="G7681" s="77"/>
      <c r="H7681" s="77"/>
    </row>
    <row r="7682">
      <c r="C7682" s="72"/>
      <c r="G7682" s="77"/>
      <c r="H7682" s="77"/>
    </row>
    <row r="7683">
      <c r="C7683" s="72"/>
      <c r="G7683" s="77"/>
      <c r="H7683" s="77"/>
    </row>
    <row r="7684">
      <c r="C7684" s="72"/>
      <c r="G7684" s="77"/>
      <c r="H7684" s="77"/>
    </row>
    <row r="7685">
      <c r="C7685" s="72"/>
      <c r="G7685" s="77"/>
      <c r="H7685" s="77"/>
    </row>
    <row r="7686">
      <c r="C7686" s="72"/>
      <c r="G7686" s="77"/>
      <c r="H7686" s="77"/>
    </row>
    <row r="7687">
      <c r="C7687" s="72"/>
      <c r="G7687" s="77"/>
      <c r="H7687" s="77"/>
    </row>
    <row r="7688">
      <c r="C7688" s="72"/>
      <c r="G7688" s="77"/>
      <c r="H7688" s="77"/>
    </row>
    <row r="7689">
      <c r="C7689" s="72"/>
      <c r="G7689" s="77"/>
      <c r="H7689" s="77"/>
    </row>
    <row r="7690">
      <c r="C7690" s="72"/>
      <c r="G7690" s="77"/>
      <c r="H7690" s="77"/>
    </row>
    <row r="7691">
      <c r="C7691" s="72"/>
      <c r="G7691" s="77"/>
      <c r="H7691" s="77"/>
    </row>
    <row r="7692">
      <c r="C7692" s="72"/>
      <c r="G7692" s="77"/>
      <c r="H7692" s="77"/>
    </row>
    <row r="7693">
      <c r="C7693" s="72"/>
      <c r="G7693" s="77"/>
      <c r="H7693" s="77"/>
    </row>
    <row r="7694">
      <c r="C7694" s="72"/>
      <c r="G7694" s="77"/>
      <c r="H7694" s="77"/>
    </row>
    <row r="7695">
      <c r="C7695" s="72"/>
      <c r="G7695" s="77"/>
      <c r="H7695" s="77"/>
    </row>
    <row r="7696">
      <c r="C7696" s="72"/>
      <c r="G7696" s="77"/>
      <c r="H7696" s="77"/>
    </row>
    <row r="7697">
      <c r="C7697" s="72"/>
      <c r="G7697" s="77"/>
      <c r="H7697" s="77"/>
    </row>
    <row r="7698">
      <c r="C7698" s="72"/>
      <c r="G7698" s="77"/>
      <c r="H7698" s="77"/>
    </row>
    <row r="7699">
      <c r="C7699" s="72"/>
      <c r="G7699" s="77"/>
      <c r="H7699" s="77"/>
    </row>
    <row r="7700">
      <c r="C7700" s="72"/>
      <c r="G7700" s="77"/>
      <c r="H7700" s="77"/>
    </row>
    <row r="7701">
      <c r="C7701" s="72"/>
      <c r="G7701" s="77"/>
      <c r="H7701" s="77"/>
    </row>
    <row r="7702">
      <c r="C7702" s="72"/>
      <c r="G7702" s="77"/>
      <c r="H7702" s="77"/>
    </row>
    <row r="7703">
      <c r="C7703" s="72"/>
      <c r="G7703" s="77"/>
      <c r="H7703" s="77"/>
    </row>
    <row r="7704">
      <c r="C7704" s="72"/>
      <c r="G7704" s="77"/>
      <c r="H7704" s="77"/>
    </row>
    <row r="7705">
      <c r="C7705" s="72"/>
      <c r="G7705" s="77"/>
      <c r="H7705" s="77"/>
    </row>
    <row r="7706">
      <c r="C7706" s="72"/>
      <c r="G7706" s="77"/>
      <c r="H7706" s="77"/>
    </row>
    <row r="7707">
      <c r="C7707" s="72"/>
      <c r="G7707" s="77"/>
      <c r="H7707" s="77"/>
    </row>
    <row r="7708">
      <c r="C7708" s="72"/>
      <c r="G7708" s="77"/>
      <c r="H7708" s="77"/>
    </row>
    <row r="7709">
      <c r="C7709" s="72"/>
      <c r="G7709" s="77"/>
      <c r="H7709" s="77"/>
    </row>
    <row r="7710">
      <c r="C7710" s="72"/>
      <c r="G7710" s="77"/>
      <c r="H7710" s="77"/>
    </row>
    <row r="7711">
      <c r="C7711" s="72"/>
      <c r="G7711" s="77"/>
      <c r="H7711" s="77"/>
    </row>
    <row r="7712">
      <c r="C7712" s="72"/>
      <c r="G7712" s="77"/>
      <c r="H7712" s="77"/>
    </row>
    <row r="7713">
      <c r="C7713" s="72"/>
      <c r="G7713" s="77"/>
      <c r="H7713" s="77"/>
    </row>
    <row r="7714">
      <c r="C7714" s="72"/>
      <c r="G7714" s="77"/>
      <c r="H7714" s="77"/>
    </row>
    <row r="7715">
      <c r="C7715" s="72"/>
      <c r="G7715" s="77"/>
      <c r="H7715" s="77"/>
    </row>
    <row r="7716">
      <c r="C7716" s="72"/>
      <c r="G7716" s="77"/>
      <c r="H7716" s="77"/>
    </row>
    <row r="7717">
      <c r="C7717" s="72"/>
      <c r="G7717" s="77"/>
      <c r="H7717" s="77"/>
    </row>
    <row r="7718">
      <c r="C7718" s="72"/>
      <c r="G7718" s="77"/>
      <c r="H7718" s="77"/>
    </row>
    <row r="7719">
      <c r="C7719" s="72"/>
      <c r="G7719" s="77"/>
      <c r="H7719" s="77"/>
    </row>
    <row r="7720">
      <c r="C7720" s="72"/>
      <c r="G7720" s="77"/>
      <c r="H7720" s="77"/>
    </row>
    <row r="7721">
      <c r="C7721" s="72"/>
      <c r="G7721" s="77"/>
      <c r="H7721" s="77"/>
    </row>
    <row r="7722">
      <c r="C7722" s="72"/>
      <c r="G7722" s="77"/>
      <c r="H7722" s="77"/>
    </row>
    <row r="7723">
      <c r="C7723" s="72"/>
      <c r="G7723" s="77"/>
      <c r="H7723" s="77"/>
    </row>
    <row r="7724">
      <c r="C7724" s="72"/>
      <c r="G7724" s="77"/>
      <c r="H7724" s="77"/>
    </row>
    <row r="7725">
      <c r="C7725" s="72"/>
      <c r="G7725" s="77"/>
      <c r="H7725" s="77"/>
    </row>
    <row r="7726">
      <c r="C7726" s="72"/>
      <c r="G7726" s="77"/>
      <c r="H7726" s="77"/>
    </row>
    <row r="7727">
      <c r="C7727" s="72"/>
      <c r="G7727" s="77"/>
      <c r="H7727" s="77"/>
    </row>
    <row r="7728">
      <c r="C7728" s="72"/>
      <c r="G7728" s="77"/>
      <c r="H7728" s="77"/>
    </row>
    <row r="7729">
      <c r="C7729" s="72"/>
      <c r="G7729" s="77"/>
      <c r="H7729" s="77"/>
    </row>
    <row r="7730">
      <c r="C7730" s="72"/>
      <c r="G7730" s="77"/>
      <c r="H7730" s="77"/>
    </row>
    <row r="7731">
      <c r="C7731" s="72"/>
      <c r="G7731" s="77"/>
      <c r="H7731" s="77"/>
    </row>
    <row r="7732">
      <c r="C7732" s="72"/>
      <c r="G7732" s="77"/>
      <c r="H7732" s="77"/>
    </row>
    <row r="7733">
      <c r="C7733" s="72"/>
      <c r="G7733" s="77"/>
      <c r="H7733" s="77"/>
    </row>
    <row r="7734">
      <c r="C7734" s="72"/>
      <c r="G7734" s="77"/>
      <c r="H7734" s="77"/>
    </row>
    <row r="7735">
      <c r="C7735" s="72"/>
      <c r="G7735" s="77"/>
      <c r="H7735" s="77"/>
    </row>
    <row r="7736">
      <c r="C7736" s="72"/>
      <c r="G7736" s="77"/>
      <c r="H7736" s="77"/>
    </row>
    <row r="7737">
      <c r="C7737" s="72"/>
      <c r="G7737" s="77"/>
      <c r="H7737" s="77"/>
    </row>
    <row r="7738">
      <c r="C7738" s="72"/>
      <c r="G7738" s="77"/>
      <c r="H7738" s="77"/>
    </row>
    <row r="7739">
      <c r="C7739" s="72"/>
      <c r="G7739" s="77"/>
      <c r="H7739" s="77"/>
    </row>
    <row r="7740">
      <c r="C7740" s="72"/>
      <c r="G7740" s="77"/>
      <c r="H7740" s="77"/>
    </row>
    <row r="7741">
      <c r="C7741" s="72"/>
      <c r="G7741" s="77"/>
      <c r="H7741" s="77"/>
    </row>
    <row r="7742">
      <c r="C7742" s="72"/>
      <c r="G7742" s="77"/>
      <c r="H7742" s="77"/>
    </row>
    <row r="7743">
      <c r="C7743" s="72"/>
      <c r="G7743" s="77"/>
      <c r="H7743" s="77"/>
    </row>
    <row r="7744">
      <c r="C7744" s="72"/>
      <c r="G7744" s="77"/>
      <c r="H7744" s="77"/>
    </row>
    <row r="7745">
      <c r="C7745" s="72"/>
      <c r="G7745" s="77"/>
      <c r="H7745" s="77"/>
    </row>
    <row r="7746">
      <c r="C7746" s="72"/>
      <c r="G7746" s="77"/>
      <c r="H7746" s="77"/>
    </row>
    <row r="7747">
      <c r="C7747" s="72"/>
      <c r="G7747" s="77"/>
      <c r="H7747" s="77"/>
    </row>
    <row r="7748">
      <c r="C7748" s="72"/>
      <c r="G7748" s="77"/>
      <c r="H7748" s="77"/>
    </row>
    <row r="7749">
      <c r="C7749" s="72"/>
      <c r="G7749" s="77"/>
      <c r="H7749" s="77"/>
    </row>
    <row r="7750">
      <c r="C7750" s="72"/>
      <c r="G7750" s="77"/>
      <c r="H7750" s="77"/>
    </row>
    <row r="7751">
      <c r="C7751" s="72"/>
      <c r="G7751" s="77"/>
      <c r="H7751" s="77"/>
    </row>
    <row r="7752">
      <c r="C7752" s="72"/>
      <c r="G7752" s="77"/>
      <c r="H7752" s="77"/>
    </row>
    <row r="7753">
      <c r="C7753" s="72"/>
      <c r="G7753" s="77"/>
      <c r="H7753" s="77"/>
    </row>
    <row r="7754">
      <c r="C7754" s="72"/>
      <c r="G7754" s="77"/>
      <c r="H7754" s="77"/>
    </row>
    <row r="7755">
      <c r="C7755" s="72"/>
      <c r="G7755" s="77"/>
      <c r="H7755" s="77"/>
    </row>
    <row r="7756">
      <c r="C7756" s="72"/>
      <c r="G7756" s="77"/>
      <c r="H7756" s="77"/>
    </row>
    <row r="7757">
      <c r="C7757" s="72"/>
      <c r="G7757" s="77"/>
      <c r="H7757" s="77"/>
    </row>
    <row r="7758">
      <c r="C7758" s="72"/>
      <c r="G7758" s="77"/>
      <c r="H7758" s="77"/>
    </row>
    <row r="7759">
      <c r="C7759" s="72"/>
      <c r="G7759" s="77"/>
      <c r="H7759" s="77"/>
    </row>
    <row r="7760">
      <c r="C7760" s="72"/>
      <c r="G7760" s="77"/>
      <c r="H7760" s="77"/>
    </row>
    <row r="7761">
      <c r="C7761" s="72"/>
      <c r="G7761" s="77"/>
      <c r="H7761" s="77"/>
    </row>
    <row r="7762">
      <c r="C7762" s="72"/>
      <c r="G7762" s="77"/>
      <c r="H7762" s="77"/>
    </row>
    <row r="7763">
      <c r="C7763" s="72"/>
      <c r="G7763" s="77"/>
      <c r="H7763" s="77"/>
    </row>
    <row r="7764">
      <c r="C7764" s="72"/>
      <c r="G7764" s="77"/>
      <c r="H7764" s="77"/>
    </row>
    <row r="7765">
      <c r="C7765" s="72"/>
      <c r="G7765" s="77"/>
      <c r="H7765" s="77"/>
    </row>
    <row r="7766">
      <c r="C7766" s="72"/>
      <c r="G7766" s="77"/>
      <c r="H7766" s="77"/>
    </row>
    <row r="7767">
      <c r="C7767" s="72"/>
      <c r="G7767" s="77"/>
      <c r="H7767" s="77"/>
    </row>
    <row r="7768">
      <c r="C7768" s="72"/>
      <c r="G7768" s="77"/>
      <c r="H7768" s="77"/>
    </row>
    <row r="7769">
      <c r="C7769" s="72"/>
      <c r="G7769" s="77"/>
      <c r="H7769" s="77"/>
    </row>
    <row r="7770">
      <c r="C7770" s="72"/>
      <c r="G7770" s="77"/>
      <c r="H7770" s="77"/>
    </row>
    <row r="7771">
      <c r="C7771" s="72"/>
      <c r="G7771" s="77"/>
      <c r="H7771" s="77"/>
    </row>
    <row r="7772">
      <c r="C7772" s="72"/>
      <c r="G7772" s="77"/>
      <c r="H7772" s="77"/>
    </row>
    <row r="7773">
      <c r="C7773" s="72"/>
      <c r="G7773" s="77"/>
      <c r="H7773" s="77"/>
    </row>
    <row r="7774">
      <c r="C7774" s="72"/>
      <c r="G7774" s="77"/>
      <c r="H7774" s="77"/>
    </row>
    <row r="7775">
      <c r="C7775" s="72"/>
      <c r="G7775" s="77"/>
      <c r="H7775" s="77"/>
    </row>
    <row r="7776">
      <c r="C7776" s="72"/>
      <c r="G7776" s="77"/>
      <c r="H7776" s="77"/>
    </row>
    <row r="7777">
      <c r="C7777" s="72"/>
      <c r="G7777" s="77"/>
      <c r="H7777" s="77"/>
    </row>
    <row r="7778">
      <c r="C7778" s="72"/>
      <c r="G7778" s="77"/>
      <c r="H7778" s="77"/>
    </row>
    <row r="7779">
      <c r="C7779" s="72"/>
      <c r="G7779" s="77"/>
      <c r="H7779" s="77"/>
    </row>
    <row r="7780">
      <c r="C7780" s="72"/>
      <c r="G7780" s="77"/>
      <c r="H7780" s="77"/>
    </row>
    <row r="7781">
      <c r="C7781" s="72"/>
      <c r="G7781" s="77"/>
      <c r="H7781" s="77"/>
    </row>
    <row r="7782">
      <c r="C7782" s="72"/>
      <c r="G7782" s="77"/>
      <c r="H7782" s="77"/>
    </row>
    <row r="7783">
      <c r="C7783" s="72"/>
      <c r="G7783" s="77"/>
      <c r="H7783" s="77"/>
    </row>
    <row r="7784">
      <c r="C7784" s="72"/>
      <c r="G7784" s="77"/>
      <c r="H7784" s="77"/>
    </row>
    <row r="7785">
      <c r="C7785" s="72"/>
      <c r="G7785" s="77"/>
      <c r="H7785" s="77"/>
    </row>
    <row r="7786">
      <c r="C7786" s="72"/>
      <c r="G7786" s="77"/>
      <c r="H7786" s="77"/>
    </row>
    <row r="7787">
      <c r="C7787" s="72"/>
      <c r="G7787" s="77"/>
      <c r="H7787" s="77"/>
    </row>
    <row r="7788">
      <c r="C7788" s="72"/>
      <c r="G7788" s="77"/>
      <c r="H7788" s="77"/>
    </row>
    <row r="7789">
      <c r="C7789" s="72"/>
      <c r="G7789" s="77"/>
      <c r="H7789" s="77"/>
    </row>
    <row r="7790">
      <c r="C7790" s="72"/>
      <c r="G7790" s="77"/>
      <c r="H7790" s="77"/>
    </row>
    <row r="7791">
      <c r="C7791" s="72"/>
      <c r="G7791" s="77"/>
      <c r="H7791" s="77"/>
    </row>
    <row r="7792">
      <c r="C7792" s="72"/>
      <c r="G7792" s="77"/>
      <c r="H7792" s="77"/>
    </row>
    <row r="7793">
      <c r="C7793" s="72"/>
      <c r="G7793" s="77"/>
      <c r="H7793" s="77"/>
    </row>
    <row r="7794">
      <c r="C7794" s="72"/>
      <c r="G7794" s="77"/>
      <c r="H7794" s="77"/>
    </row>
    <row r="7795">
      <c r="C7795" s="72"/>
      <c r="G7795" s="77"/>
      <c r="H7795" s="77"/>
    </row>
    <row r="7796">
      <c r="C7796" s="72"/>
      <c r="G7796" s="77"/>
      <c r="H7796" s="77"/>
    </row>
  </sheetData>
  <dataValidations>
    <dataValidation type="list" allowBlank="1" sqref="J33:J569">
      <formula1>"BEBERLY"</formula1>
    </dataValidation>
    <dataValidation type="list" allowBlank="1" showErrorMessage="1" sqref="M2:M31 M570:M670">
      <formula1>"BCP,BBVA,SCOTIABANK,INTERBANK,EFECTIVO,YAPE,PLIN,EFECTIVO Y YAPE,POS,POWER PAY,YAPE Y PLIN "</formula1>
    </dataValidation>
    <dataValidation type="list" allowBlank="1" showErrorMessage="1" sqref="E17">
      <formula1>"BOTOX,RINOMODELACIÓN,HIDROLIPOCLASIA,HIDRALIPS,CABELLO,HEAD SPA,PIEL,CIRCUITO REDUCTOR,DEPILACION "</formula1>
    </dataValidation>
    <dataValidation type="list" allowBlank="1" showErrorMessage="1" sqref="F33:F569">
      <formula1>"ARMONIZACIÓN F/C,CAPILAR,CORPORAL,FACIAL,COWORKING,TINTE,PLAN INCIAL,PLAN EXITO TOTAL"</formula1>
    </dataValidation>
    <dataValidation type="list" allowBlank="1" showErrorMessage="1" sqref="F2:F31 F570:F670">
      <formula1>"ARMONIZACIÓN F/C,CAPILAR,CORPORAL,FACIAL,COWORKING,TINTE,PLAN INCIAL,PLAN EXITO TOTAL"</formula1>
    </dataValidation>
    <dataValidation type="list" allowBlank="1" showErrorMessage="1" sqref="E4">
      <formula1>"BOTOX,RINOMODELACIÓN,HIDROLIPOCLASIA,HIDRALIPS,CABELLO,HEAD SPA,COWORKING,DEPILACION LASER,MASAJE CONTRACTURANTE,BALAYAGUE"</formula1>
    </dataValidation>
    <dataValidation type="list" allowBlank="1" showErrorMessage="1" sqref="J2:J31 J570:J670">
      <formula1>"MAYLI"</formula1>
    </dataValidation>
    <dataValidation type="list" allowBlank="1" showErrorMessage="1" sqref="E2:E3 E5:E16 E18:E31 E570:E670">
      <formula1>"BOTOX,RINOMODELACIÓN,HIDROLIPOCLASIA,HIDRALIPS,CABELLO,HEAD SPA,COWORKING,DEPILACION LASER,MASAJES DESCONTRUCTURANTE,MASAJE RELAJANTE,LIMPIEZA FACIAL,EXOSOMAS,DEPILACION BIKINI,HEAD SPA THERAPY,EVALUACION JOHANA,LIMPIEZA PREMIUM,CONSULTA,DEPILACION AXILAS"&amp;",AUMENTO DE LABIOS,ELIMINACION TATUAJE,BAÑO DE COLOR,ENZIMAS LIOFILIZADAS,INKA MASAJE,ENZIMAS RECOMBINANTES,HOLLYWOOD PEEL ,PACK CEJAS ,PINK INTIMATE ,CIRCUITO REDUCTOR,CEPILLADO,BOTOX Y NUCLEOFILL,PEPTONAS,MORPHEUS 8,PLASMA RICO EN PLAQUETAS,POST OPERATO"&amp;"RIO,LIFTING DE PESTAÑAS,T.ANTICELULITIS,LACEADO,VITAMINA ENDOVENOSA,NUCLEOFILL STRONG,CAUTERIZACION LUNAR - FRIBROBLAST,PACK MIRADA CEJA Y LIFTING,INKA MASAJES,DIATERMIA PRO"</formula1>
    </dataValidation>
    <dataValidation type="list" allowBlank="1" sqref="I33:I569">
      <formula1>"FACEBOOK,INSTAGRAM ,TIKTOK,RECOMENDACIÓN BOCA A BOCA,RECOMENDACION DE INFLUENCER,VOLANTEO,CLIENTE ANTIGUO - REGULAR,CAMINANDO POR LOCAL,INTAGRAM Y TIK TOK ,ACTIVACION"</formula1>
    </dataValidation>
    <dataValidation type="list" allowBlank="1" showErrorMessage="1" sqref="I2:I31">
      <formula1>"FACEBOOK,INSTAGRAM ,TIKTOK,RECOMENDACIÓN BOCA A BOCA,RECOMENDACION DE INFLUENCER,VOLANTEO,CLIENTE ANTIGUO - REGULAR,CAMINANDO POR LOCAL"</formula1>
    </dataValidation>
    <dataValidation type="list" allowBlank="1" sqref="M33:M569">
      <formula1>"BCP,BBVA,SCOTIABANK,INTERBANK,EFECTIVO,YAPE,PLIN,EFECTIVO Y YAPE,POS,POWER PAY,YAPE Y PLIN ,POS Y YAPE"</formula1>
    </dataValidation>
    <dataValidation type="list" allowBlank="1" sqref="E33:E569">
      <formula1>"BOTOX,RINOMODELACIÓN,HIDROLIPOCLASIA,HIDRALIPS,CABELLO,HEAD SPA,COWORKING,DEPILACION LASER,MASAJES DESCONTRUCTURANTE,MASAJE RELAJANTE,LIMPIEZA FACIAL,EXOSOMAS,DEPILACION BIKINI,HEAD SPA THERAPY,EVALUACION JOHANA,LIMPIEZA PREMIUM,CONSULTA,DEPILACION AXILAS"&amp;",AUMENTO DE LABIOS,ELIMINACION TATUAJE,BAÑO DE COLOR,ENZIMAS LIOFILIZADAS,INKA MASAJE,ENZIMAS RECOMBINANTES,HOLLYWOOD PEEL ,PACK CEJAS ,PINK INTIMATE ,CIRCUITO REDUCTOR,CEPILLADO,BOTOX Y NUCLEOFILL,PEPTONAS,MORPHEUS 8,PLASMA RICO EN PLAQUETAS,POST OPERATO"&amp;"RIO,LIFTING DE PESTAÑAS,T.ANTICELULITIS,LACEADO,VITAMINA ENDOVENOSA,NUCLEOFILL STRONG,CAUTERIZACION LUNAR - FRIBROBLAST,PACK MIRADA CEJA Y LIFTING,INKA MASAJES,DIATERMIA PRO,RECUBRIMIENTO CANAS ,ARM. ACIDO HIALURONICO"</formula1>
    </dataValidation>
    <dataValidation type="custom" allowBlank="1" showDropDown="1" sqref="H33:H569">
      <formula1>AND(ISNUMBER(H33),(NOT(OR(NOT(ISERROR(DATEVALUE(H33))), AND(ISNUMBER(H33), LEFT(CELL("format", H33))="D")))))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hidden="1" min="5" max="11" width="12.63"/>
    <col customWidth="1" min="12" max="12" width="22.63"/>
    <col hidden="1" min="13" max="14" width="12.63"/>
    <col hidden="1" min="17" max="17" width="12.63"/>
  </cols>
  <sheetData>
    <row r="1">
      <c r="A1" s="78" t="s">
        <v>772</v>
      </c>
      <c r="B1" s="79" t="s">
        <v>773</v>
      </c>
      <c r="C1" s="79" t="s">
        <v>774</v>
      </c>
      <c r="D1" s="80" t="s">
        <v>775</v>
      </c>
      <c r="E1" s="80" t="s">
        <v>776</v>
      </c>
      <c r="F1" s="79" t="s">
        <v>777</v>
      </c>
      <c r="G1" s="79" t="s">
        <v>778</v>
      </c>
      <c r="H1" s="79" t="s">
        <v>779</v>
      </c>
      <c r="I1" s="79" t="s">
        <v>780</v>
      </c>
      <c r="J1" s="79" t="s">
        <v>781</v>
      </c>
      <c r="K1" s="79" t="s">
        <v>782</v>
      </c>
      <c r="L1" s="79" t="s">
        <v>783</v>
      </c>
      <c r="M1" s="79" t="s">
        <v>784</v>
      </c>
      <c r="N1" s="79" t="s">
        <v>785</v>
      </c>
      <c r="O1" s="79" t="s">
        <v>786</v>
      </c>
      <c r="P1" s="79" t="s">
        <v>787</v>
      </c>
      <c r="Q1" s="79" t="s">
        <v>788</v>
      </c>
      <c r="R1" s="79" t="s">
        <v>789</v>
      </c>
      <c r="S1" s="80" t="s">
        <v>790</v>
      </c>
      <c r="T1" s="81" t="s">
        <v>791</v>
      </c>
      <c r="U1" s="80" t="s">
        <v>790</v>
      </c>
      <c r="V1" s="80" t="s">
        <v>791</v>
      </c>
      <c r="W1" s="80" t="s">
        <v>792</v>
      </c>
      <c r="X1" s="82" t="s">
        <v>793</v>
      </c>
      <c r="Y1" s="80" t="s">
        <v>791</v>
      </c>
      <c r="Z1" s="83" t="s">
        <v>794</v>
      </c>
      <c r="AA1" s="80" t="s">
        <v>791</v>
      </c>
      <c r="AB1" s="83" t="s">
        <v>795</v>
      </c>
      <c r="AC1" s="80" t="s">
        <v>791</v>
      </c>
      <c r="AD1" s="80" t="s">
        <v>796</v>
      </c>
      <c r="AE1" s="84"/>
      <c r="AF1" s="84"/>
      <c r="AG1" s="84"/>
      <c r="AH1" s="84"/>
      <c r="AI1" s="84"/>
    </row>
    <row r="2">
      <c r="A2" s="85">
        <v>45870.65455402777</v>
      </c>
      <c r="B2" s="15" t="s">
        <v>797</v>
      </c>
      <c r="C2" s="15" t="s">
        <v>798</v>
      </c>
      <c r="D2" s="15">
        <v>5.1999194868E10</v>
      </c>
      <c r="E2" s="86" t="s">
        <v>799</v>
      </c>
      <c r="F2" s="15" t="s">
        <v>800</v>
      </c>
      <c r="G2" s="76" t="s">
        <v>801</v>
      </c>
      <c r="H2" s="76" t="s">
        <v>802</v>
      </c>
      <c r="I2" s="76" t="s">
        <v>30</v>
      </c>
      <c r="J2" s="76" t="s">
        <v>30</v>
      </c>
      <c r="K2" s="76" t="s">
        <v>803</v>
      </c>
      <c r="L2" s="15" t="s">
        <v>804</v>
      </c>
      <c r="M2" s="13">
        <v>45877.0</v>
      </c>
      <c r="N2" s="15">
        <v>54.0</v>
      </c>
      <c r="O2" s="87">
        <v>200.0</v>
      </c>
      <c r="P2" s="15" t="s">
        <v>805</v>
      </c>
      <c r="R2" s="15" t="s">
        <v>806</v>
      </c>
      <c r="S2" s="88" t="s">
        <v>807</v>
      </c>
      <c r="T2" s="89"/>
      <c r="U2" s="90"/>
      <c r="V2" s="84"/>
      <c r="W2" s="84"/>
      <c r="X2" s="91">
        <v>150.0</v>
      </c>
      <c r="Y2" s="92">
        <v>45891.0</v>
      </c>
      <c r="Z2" s="93"/>
      <c r="AA2" s="93"/>
      <c r="AB2" s="84"/>
      <c r="AC2" s="84"/>
      <c r="AD2" s="94">
        <f t="shared" ref="AD2:AD14" si="1">O2+X2+Z2+AB2</f>
        <v>350</v>
      </c>
      <c r="AE2" s="84"/>
      <c r="AF2" s="84"/>
      <c r="AG2" s="84"/>
      <c r="AH2" s="84"/>
      <c r="AI2" s="84"/>
    </row>
    <row r="3">
      <c r="A3" s="85">
        <v>45870.65754159722</v>
      </c>
      <c r="B3" s="95" t="s">
        <v>808</v>
      </c>
      <c r="C3" s="95" t="s">
        <v>809</v>
      </c>
      <c r="D3" s="95">
        <v>5.1956861023E10</v>
      </c>
      <c r="E3" s="96">
        <v>2.1552716E7</v>
      </c>
      <c r="F3" s="95" t="s">
        <v>810</v>
      </c>
      <c r="G3" s="75" t="s">
        <v>811</v>
      </c>
      <c r="H3" s="75" t="s">
        <v>812</v>
      </c>
      <c r="I3" s="75" t="s">
        <v>812</v>
      </c>
      <c r="J3" s="75" t="s">
        <v>812</v>
      </c>
      <c r="K3" s="75" t="s">
        <v>813</v>
      </c>
      <c r="L3" s="95" t="s">
        <v>814</v>
      </c>
      <c r="M3" s="13">
        <v>45879.0</v>
      </c>
      <c r="N3" s="15">
        <v>50.0</v>
      </c>
      <c r="O3" s="97">
        <v>100.0</v>
      </c>
      <c r="P3" s="15" t="s">
        <v>805</v>
      </c>
      <c r="R3" s="15" t="s">
        <v>815</v>
      </c>
      <c r="S3" s="88" t="s">
        <v>807</v>
      </c>
      <c r="T3" s="89"/>
      <c r="U3" s="90"/>
      <c r="V3" s="84"/>
      <c r="W3" s="84"/>
      <c r="X3" s="91">
        <v>299.0</v>
      </c>
      <c r="Y3" s="92">
        <v>45883.0</v>
      </c>
      <c r="Z3" s="93"/>
      <c r="AA3" s="93"/>
      <c r="AB3" s="84"/>
      <c r="AC3" s="84"/>
      <c r="AD3" s="94">
        <f t="shared" si="1"/>
        <v>399</v>
      </c>
      <c r="AE3" s="84"/>
      <c r="AF3" s="84"/>
      <c r="AG3" s="84"/>
      <c r="AH3" s="84"/>
      <c r="AI3" s="84"/>
    </row>
    <row r="4">
      <c r="A4" s="85">
        <v>45870.67119013889</v>
      </c>
      <c r="B4" s="98" t="s">
        <v>816</v>
      </c>
      <c r="C4" s="98" t="s">
        <v>817</v>
      </c>
      <c r="D4" s="98">
        <v>5.1956452996E10</v>
      </c>
      <c r="E4" s="98">
        <v>4.024221E7</v>
      </c>
      <c r="F4" s="98" t="s">
        <v>818</v>
      </c>
      <c r="G4" s="99" t="s">
        <v>819</v>
      </c>
      <c r="H4" s="99" t="s">
        <v>820</v>
      </c>
      <c r="I4" s="99" t="s">
        <v>812</v>
      </c>
      <c r="J4" s="99" t="s">
        <v>812</v>
      </c>
      <c r="K4" s="99" t="s">
        <v>821</v>
      </c>
      <c r="L4" s="98" t="s">
        <v>804</v>
      </c>
      <c r="M4" s="13">
        <v>45877.0</v>
      </c>
      <c r="N4" s="15">
        <v>46.0</v>
      </c>
      <c r="O4" s="97">
        <v>100.0</v>
      </c>
      <c r="P4" s="15" t="s">
        <v>805</v>
      </c>
      <c r="R4" s="15" t="s">
        <v>822</v>
      </c>
      <c r="S4" s="88" t="s">
        <v>807</v>
      </c>
      <c r="T4" s="89"/>
      <c r="U4" s="90"/>
      <c r="V4" s="84"/>
      <c r="W4" s="84"/>
      <c r="X4" s="91">
        <v>199.0</v>
      </c>
      <c r="Y4" s="92">
        <v>45876.0</v>
      </c>
      <c r="Z4" s="93"/>
      <c r="AA4" s="93"/>
      <c r="AB4" s="84"/>
      <c r="AD4" s="94">
        <f t="shared" si="1"/>
        <v>299</v>
      </c>
      <c r="AE4" s="84"/>
      <c r="AF4" s="84"/>
      <c r="AG4" s="84"/>
      <c r="AH4" s="84"/>
      <c r="AI4" s="84"/>
    </row>
    <row r="5">
      <c r="A5" s="85">
        <v>45870.76369633102</v>
      </c>
      <c r="B5" s="100" t="s">
        <v>823</v>
      </c>
      <c r="C5" s="100" t="s">
        <v>824</v>
      </c>
      <c r="D5" s="101">
        <v>5.1940190925E10</v>
      </c>
      <c r="E5" s="101">
        <v>7.1034214E7</v>
      </c>
      <c r="F5" s="101" t="s">
        <v>825</v>
      </c>
      <c r="G5" s="100" t="s">
        <v>826</v>
      </c>
      <c r="H5" s="100" t="s">
        <v>827</v>
      </c>
      <c r="I5" s="100" t="s">
        <v>828</v>
      </c>
      <c r="J5" s="100" t="s">
        <v>827</v>
      </c>
      <c r="K5" s="100" t="s">
        <v>829</v>
      </c>
      <c r="L5" s="101" t="s">
        <v>830</v>
      </c>
      <c r="M5" s="13">
        <v>45882.0</v>
      </c>
      <c r="N5" s="15">
        <v>31.0</v>
      </c>
      <c r="O5" s="97">
        <v>150.0</v>
      </c>
      <c r="P5" s="15" t="s">
        <v>805</v>
      </c>
      <c r="R5" s="15" t="s">
        <v>831</v>
      </c>
      <c r="S5" s="88" t="s">
        <v>807</v>
      </c>
      <c r="T5" s="89"/>
      <c r="U5" s="90"/>
      <c r="V5" s="84"/>
      <c r="W5" s="84"/>
      <c r="X5" s="91">
        <v>199.0</v>
      </c>
      <c r="Y5" s="92">
        <v>45881.0</v>
      </c>
      <c r="Z5" s="93"/>
      <c r="AA5" s="93"/>
      <c r="AB5" s="84"/>
      <c r="AC5" s="84"/>
      <c r="AD5" s="94">
        <f t="shared" si="1"/>
        <v>349</v>
      </c>
      <c r="AE5" s="84"/>
      <c r="AF5" s="84"/>
      <c r="AG5" s="84"/>
      <c r="AH5" s="84"/>
      <c r="AI5" s="84"/>
    </row>
    <row r="6">
      <c r="A6" s="85">
        <v>45870.79734722222</v>
      </c>
      <c r="B6" s="100" t="s">
        <v>832</v>
      </c>
      <c r="C6" s="100" t="s">
        <v>833</v>
      </c>
      <c r="D6" s="101">
        <v>5.1943358692E10</v>
      </c>
      <c r="E6" s="101">
        <v>4.1790183E7</v>
      </c>
      <c r="F6" s="101" t="s">
        <v>834</v>
      </c>
      <c r="G6" s="100" t="s">
        <v>835</v>
      </c>
      <c r="H6" s="100" t="s">
        <v>836</v>
      </c>
      <c r="I6" s="100" t="s">
        <v>837</v>
      </c>
      <c r="J6" s="100" t="s">
        <v>838</v>
      </c>
      <c r="K6" s="100" t="s">
        <v>821</v>
      </c>
      <c r="L6" s="101" t="s">
        <v>830</v>
      </c>
      <c r="M6" s="13">
        <v>45882.0</v>
      </c>
      <c r="N6" s="15">
        <v>41.0</v>
      </c>
      <c r="O6" s="97">
        <v>100.0</v>
      </c>
      <c r="P6" s="15" t="s">
        <v>805</v>
      </c>
      <c r="R6" s="15" t="s">
        <v>831</v>
      </c>
      <c r="S6" s="88" t="s">
        <v>807</v>
      </c>
      <c r="T6" s="89"/>
      <c r="U6" s="90"/>
      <c r="V6" s="84"/>
      <c r="W6" s="84"/>
      <c r="X6" s="91">
        <v>249.0</v>
      </c>
      <c r="Y6" s="92">
        <v>45889.0</v>
      </c>
      <c r="Z6" s="93"/>
      <c r="AA6" s="93"/>
      <c r="AB6" s="84"/>
      <c r="AC6" s="84"/>
      <c r="AD6" s="94">
        <f t="shared" si="1"/>
        <v>349</v>
      </c>
      <c r="AE6" s="84"/>
      <c r="AF6" s="84"/>
      <c r="AG6" s="84"/>
      <c r="AH6" s="84"/>
      <c r="AI6" s="84"/>
    </row>
    <row r="7">
      <c r="A7" s="85">
        <v>45870.88825488426</v>
      </c>
      <c r="B7" s="75" t="s">
        <v>839</v>
      </c>
      <c r="C7" s="75" t="s">
        <v>840</v>
      </c>
      <c r="D7" s="95">
        <v>5.1947446727E10</v>
      </c>
      <c r="E7" s="102" t="s">
        <v>841</v>
      </c>
      <c r="F7" s="95" t="s">
        <v>842</v>
      </c>
      <c r="G7" s="75" t="s">
        <v>843</v>
      </c>
      <c r="H7" s="75" t="s">
        <v>844</v>
      </c>
      <c r="I7" s="75" t="s">
        <v>845</v>
      </c>
      <c r="J7" s="75" t="s">
        <v>846</v>
      </c>
      <c r="K7" s="75" t="s">
        <v>847</v>
      </c>
      <c r="L7" s="95" t="s">
        <v>848</v>
      </c>
      <c r="M7" s="13">
        <v>45871.0</v>
      </c>
      <c r="N7" s="15">
        <v>53.0</v>
      </c>
      <c r="O7" s="97">
        <v>1200.0</v>
      </c>
      <c r="P7" s="15" t="s">
        <v>805</v>
      </c>
      <c r="R7" s="15" t="s">
        <v>806</v>
      </c>
      <c r="S7" s="88" t="s">
        <v>807</v>
      </c>
      <c r="T7" s="89"/>
      <c r="U7" s="90"/>
      <c r="V7" s="84"/>
      <c r="W7" s="84"/>
      <c r="X7" s="103">
        <v>1200.0</v>
      </c>
      <c r="Y7" s="92">
        <v>45887.0</v>
      </c>
      <c r="Z7" s="93"/>
      <c r="AA7" s="93"/>
      <c r="AB7" s="84"/>
      <c r="AC7" s="84"/>
      <c r="AD7" s="94">
        <f t="shared" si="1"/>
        <v>2400</v>
      </c>
      <c r="AE7" s="84"/>
      <c r="AF7" s="84"/>
      <c r="AG7" s="84"/>
      <c r="AH7" s="84"/>
      <c r="AI7" s="84"/>
    </row>
    <row r="8">
      <c r="A8" s="85">
        <v>45871.472435081014</v>
      </c>
      <c r="B8" s="75" t="s">
        <v>849</v>
      </c>
      <c r="C8" s="75" t="s">
        <v>850</v>
      </c>
      <c r="D8" s="95">
        <v>5.1913099467E10</v>
      </c>
      <c r="E8" s="95">
        <v>7.0099584E7</v>
      </c>
      <c r="F8" s="95" t="s">
        <v>851</v>
      </c>
      <c r="G8" s="75" t="s">
        <v>852</v>
      </c>
      <c r="H8" s="75" t="s">
        <v>853</v>
      </c>
      <c r="I8" s="75" t="s">
        <v>854</v>
      </c>
      <c r="J8" s="75" t="s">
        <v>855</v>
      </c>
      <c r="K8" s="75" t="s">
        <v>847</v>
      </c>
      <c r="L8" s="95" t="s">
        <v>848</v>
      </c>
      <c r="M8" s="13">
        <v>45871.0</v>
      </c>
      <c r="N8" s="15">
        <v>31.0</v>
      </c>
      <c r="O8" s="97">
        <v>700.0</v>
      </c>
      <c r="P8" s="15" t="s">
        <v>805</v>
      </c>
      <c r="R8" s="15" t="s">
        <v>815</v>
      </c>
      <c r="S8" s="88" t="s">
        <v>807</v>
      </c>
      <c r="T8" s="89"/>
      <c r="U8" s="90"/>
      <c r="V8" s="84"/>
      <c r="W8" s="84"/>
      <c r="X8" s="103">
        <v>700.0</v>
      </c>
      <c r="Y8" s="92">
        <v>45902.0</v>
      </c>
      <c r="Z8" s="103">
        <v>700.0</v>
      </c>
      <c r="AA8" s="92">
        <v>45932.0</v>
      </c>
      <c r="AB8" s="103">
        <v>700.0</v>
      </c>
      <c r="AC8" s="92">
        <v>45963.0</v>
      </c>
      <c r="AD8" s="94">
        <f t="shared" si="1"/>
        <v>2800</v>
      </c>
      <c r="AE8" s="84"/>
      <c r="AF8" s="84"/>
      <c r="AG8" s="84"/>
      <c r="AH8" s="84"/>
      <c r="AI8" s="84"/>
    </row>
    <row r="9">
      <c r="A9" s="85">
        <v>45871.54024912037</v>
      </c>
      <c r="B9" s="95" t="s">
        <v>856</v>
      </c>
      <c r="C9" s="95" t="s">
        <v>857</v>
      </c>
      <c r="D9" s="95">
        <v>5.1987888124E10</v>
      </c>
      <c r="E9" s="95">
        <v>4.0348123E7</v>
      </c>
      <c r="F9" s="95" t="s">
        <v>858</v>
      </c>
      <c r="G9" s="95" t="s">
        <v>859</v>
      </c>
      <c r="H9" s="95" t="s">
        <v>860</v>
      </c>
      <c r="I9" s="95" t="s">
        <v>30</v>
      </c>
      <c r="J9" s="95" t="s">
        <v>30</v>
      </c>
      <c r="K9" s="95" t="s">
        <v>861</v>
      </c>
      <c r="L9" s="95" t="s">
        <v>848</v>
      </c>
      <c r="M9" s="13">
        <v>45871.0</v>
      </c>
      <c r="N9" s="15">
        <v>46.0</v>
      </c>
      <c r="O9" s="97">
        <v>800.0</v>
      </c>
      <c r="P9" s="15" t="s">
        <v>805</v>
      </c>
      <c r="R9" s="15" t="s">
        <v>822</v>
      </c>
      <c r="S9" s="88" t="s">
        <v>807</v>
      </c>
      <c r="T9" s="89"/>
      <c r="U9" s="90"/>
      <c r="V9" s="84"/>
      <c r="W9" s="84"/>
      <c r="X9" s="91">
        <v>1600.0</v>
      </c>
      <c r="Y9" s="92">
        <v>45884.0</v>
      </c>
      <c r="Z9" s="93"/>
      <c r="AA9" s="93"/>
      <c r="AB9" s="84"/>
      <c r="AC9" s="84"/>
      <c r="AD9" s="94">
        <f t="shared" si="1"/>
        <v>2400</v>
      </c>
      <c r="AE9" s="84"/>
      <c r="AF9" s="84"/>
      <c r="AG9" s="84"/>
      <c r="AH9" s="84"/>
      <c r="AI9" s="84"/>
    </row>
    <row r="10">
      <c r="A10" s="85">
        <v>45871.57058162037</v>
      </c>
      <c r="B10" s="76" t="s">
        <v>862</v>
      </c>
      <c r="C10" s="76" t="s">
        <v>863</v>
      </c>
      <c r="D10" s="15">
        <v>5.1946849912E10</v>
      </c>
      <c r="E10" s="15">
        <v>4.6266477E7</v>
      </c>
      <c r="F10" s="15" t="s">
        <v>864</v>
      </c>
      <c r="G10" s="76" t="s">
        <v>865</v>
      </c>
      <c r="H10" s="76" t="s">
        <v>866</v>
      </c>
      <c r="I10" s="76" t="s">
        <v>866</v>
      </c>
      <c r="J10" s="76" t="s">
        <v>867</v>
      </c>
      <c r="K10" s="76" t="s">
        <v>813</v>
      </c>
      <c r="L10" s="15" t="s">
        <v>830</v>
      </c>
      <c r="M10" s="13">
        <v>45882.0</v>
      </c>
      <c r="N10" s="15">
        <v>35.0</v>
      </c>
      <c r="O10" s="97">
        <v>200.0</v>
      </c>
      <c r="P10" s="15" t="s">
        <v>805</v>
      </c>
      <c r="R10" s="15" t="s">
        <v>831</v>
      </c>
      <c r="S10" s="88" t="s">
        <v>807</v>
      </c>
      <c r="T10" s="89"/>
      <c r="U10" s="90"/>
      <c r="V10" s="84"/>
      <c r="W10" s="84"/>
      <c r="X10" s="91">
        <v>149.0</v>
      </c>
      <c r="Y10" s="92">
        <v>45881.0</v>
      </c>
      <c r="Z10" s="93"/>
      <c r="AA10" s="93"/>
      <c r="AB10" s="84"/>
      <c r="AC10" s="84"/>
      <c r="AD10" s="94">
        <f t="shared" si="1"/>
        <v>349</v>
      </c>
      <c r="AE10" s="84"/>
      <c r="AF10" s="84"/>
      <c r="AG10" s="84"/>
      <c r="AH10" s="84"/>
      <c r="AI10" s="84"/>
    </row>
    <row r="11">
      <c r="A11" s="85">
        <v>45873.71457847222</v>
      </c>
      <c r="B11" s="100" t="s">
        <v>868</v>
      </c>
      <c r="C11" s="100" t="s">
        <v>869</v>
      </c>
      <c r="D11" s="101">
        <v>5.1956531069E10</v>
      </c>
      <c r="E11" s="101">
        <v>7.4449659E7</v>
      </c>
      <c r="F11" s="101" t="s">
        <v>870</v>
      </c>
      <c r="G11" s="100" t="s">
        <v>871</v>
      </c>
      <c r="H11" s="100" t="s">
        <v>872</v>
      </c>
      <c r="I11" s="100" t="s">
        <v>873</v>
      </c>
      <c r="J11" s="100" t="s">
        <v>874</v>
      </c>
      <c r="K11" s="100" t="s">
        <v>875</v>
      </c>
      <c r="L11" s="101" t="s">
        <v>876</v>
      </c>
      <c r="M11" s="13">
        <v>45883.0</v>
      </c>
      <c r="N11" s="15">
        <v>28.0</v>
      </c>
      <c r="O11" s="97">
        <v>100.0</v>
      </c>
      <c r="P11" s="15" t="s">
        <v>805</v>
      </c>
      <c r="R11" s="15" t="s">
        <v>831</v>
      </c>
      <c r="S11" s="88" t="s">
        <v>807</v>
      </c>
      <c r="T11" s="89"/>
      <c r="U11" s="90"/>
      <c r="V11" s="84"/>
      <c r="W11" s="84"/>
      <c r="X11" s="91">
        <v>249.0</v>
      </c>
      <c r="Y11" s="92">
        <v>45883.0</v>
      </c>
      <c r="Z11" s="103">
        <v>100.0</v>
      </c>
      <c r="AA11" s="92">
        <v>45889.0</v>
      </c>
      <c r="AB11" s="84"/>
      <c r="AC11" s="84"/>
      <c r="AD11" s="94">
        <f t="shared" si="1"/>
        <v>449</v>
      </c>
      <c r="AE11" s="84"/>
      <c r="AF11" s="84"/>
      <c r="AG11" s="84"/>
      <c r="AH11" s="84"/>
      <c r="AI11" s="84"/>
    </row>
    <row r="12">
      <c r="A12" s="85">
        <v>45873.750793935185</v>
      </c>
      <c r="B12" s="99" t="s">
        <v>877</v>
      </c>
      <c r="C12" s="99" t="s">
        <v>878</v>
      </c>
      <c r="D12" s="98">
        <v>5.1973454955E10</v>
      </c>
      <c r="E12" s="98">
        <v>7.7433558E7</v>
      </c>
      <c r="F12" s="98" t="s">
        <v>879</v>
      </c>
      <c r="G12" s="99" t="s">
        <v>880</v>
      </c>
      <c r="H12" s="99" t="s">
        <v>880</v>
      </c>
      <c r="I12" s="99" t="s">
        <v>881</v>
      </c>
      <c r="J12" s="99" t="s">
        <v>882</v>
      </c>
      <c r="K12" s="99" t="s">
        <v>883</v>
      </c>
      <c r="L12" s="98" t="s">
        <v>884</v>
      </c>
      <c r="M12" s="13">
        <v>45877.0</v>
      </c>
      <c r="N12" s="15">
        <v>24.0</v>
      </c>
      <c r="O12" s="97">
        <v>100.0</v>
      </c>
      <c r="P12" s="15" t="s">
        <v>805</v>
      </c>
      <c r="R12" s="15" t="s">
        <v>822</v>
      </c>
      <c r="S12" s="88" t="s">
        <v>807</v>
      </c>
      <c r="T12" s="89"/>
      <c r="U12" s="90"/>
      <c r="V12" s="84"/>
      <c r="W12" s="84"/>
      <c r="X12" s="91">
        <v>299.0</v>
      </c>
      <c r="Y12" s="92">
        <v>45877.0</v>
      </c>
      <c r="Z12" s="93"/>
      <c r="AA12" s="93"/>
      <c r="AB12" s="84"/>
      <c r="AC12" s="84"/>
      <c r="AD12" s="94">
        <f t="shared" si="1"/>
        <v>399</v>
      </c>
      <c r="AE12" s="84"/>
      <c r="AF12" s="84"/>
      <c r="AG12" s="84"/>
      <c r="AH12" s="84"/>
      <c r="AI12" s="84"/>
    </row>
    <row r="13">
      <c r="A13" s="85">
        <v>45873.81707405092</v>
      </c>
      <c r="B13" s="100" t="s">
        <v>885</v>
      </c>
      <c r="C13" s="100" t="s">
        <v>886</v>
      </c>
      <c r="D13" s="101">
        <v>5.193591176E10</v>
      </c>
      <c r="E13" s="101">
        <v>8.0668623E7</v>
      </c>
      <c r="F13" s="101" t="s">
        <v>887</v>
      </c>
      <c r="G13" s="100" t="s">
        <v>888</v>
      </c>
      <c r="H13" s="100" t="s">
        <v>889</v>
      </c>
      <c r="I13" s="100" t="s">
        <v>890</v>
      </c>
      <c r="J13" s="100" t="s">
        <v>891</v>
      </c>
      <c r="K13" s="100" t="s">
        <v>892</v>
      </c>
      <c r="L13" s="101" t="s">
        <v>893</v>
      </c>
      <c r="M13" s="13">
        <v>45875.0</v>
      </c>
      <c r="N13" s="15">
        <v>45.0</v>
      </c>
      <c r="O13" s="97">
        <v>100.0</v>
      </c>
      <c r="P13" s="15" t="s">
        <v>805</v>
      </c>
      <c r="R13" s="15" t="s">
        <v>831</v>
      </c>
      <c r="S13" s="88" t="s">
        <v>807</v>
      </c>
      <c r="T13" s="89"/>
      <c r="U13" s="90"/>
      <c r="V13" s="84"/>
      <c r="W13" s="84"/>
      <c r="X13" s="91">
        <v>349.0</v>
      </c>
      <c r="Y13" s="92">
        <v>45894.0</v>
      </c>
      <c r="Z13" s="93"/>
      <c r="AA13" s="93"/>
      <c r="AB13" s="84"/>
      <c r="AC13" s="84"/>
      <c r="AD13" s="94">
        <f t="shared" si="1"/>
        <v>449</v>
      </c>
      <c r="AE13" s="84"/>
      <c r="AF13" s="84"/>
      <c r="AG13" s="84"/>
      <c r="AH13" s="84"/>
      <c r="AI13" s="84"/>
    </row>
    <row r="14">
      <c r="A14" s="85">
        <v>45874.532830324075</v>
      </c>
      <c r="B14" s="75" t="s">
        <v>894</v>
      </c>
      <c r="C14" s="75" t="s">
        <v>895</v>
      </c>
      <c r="D14" s="95">
        <v>5.191886791E10</v>
      </c>
      <c r="E14" s="95">
        <v>4.5816926E7</v>
      </c>
      <c r="F14" s="95" t="s">
        <v>896</v>
      </c>
      <c r="G14" s="75" t="s">
        <v>897</v>
      </c>
      <c r="H14" s="75" t="s">
        <v>898</v>
      </c>
      <c r="I14" s="75" t="s">
        <v>899</v>
      </c>
      <c r="J14" s="75" t="s">
        <v>899</v>
      </c>
      <c r="K14" s="75" t="s">
        <v>900</v>
      </c>
      <c r="L14" s="95" t="s">
        <v>884</v>
      </c>
      <c r="M14" s="13">
        <v>45878.0</v>
      </c>
      <c r="N14" s="15">
        <v>36.0</v>
      </c>
      <c r="O14" s="97">
        <v>250.0</v>
      </c>
      <c r="P14" s="15" t="s">
        <v>805</v>
      </c>
      <c r="R14" s="15" t="s">
        <v>806</v>
      </c>
      <c r="S14" s="88" t="s">
        <v>807</v>
      </c>
      <c r="T14" s="89"/>
      <c r="U14" s="90"/>
      <c r="V14" s="84"/>
      <c r="W14" s="84"/>
      <c r="X14" s="103">
        <v>250.0</v>
      </c>
      <c r="Y14" s="92">
        <v>45894.0</v>
      </c>
      <c r="Z14" s="93"/>
      <c r="AA14" s="93"/>
      <c r="AB14" s="84"/>
      <c r="AC14" s="84"/>
      <c r="AD14" s="94">
        <f t="shared" si="1"/>
        <v>500</v>
      </c>
      <c r="AE14" s="84"/>
      <c r="AF14" s="84"/>
      <c r="AG14" s="84"/>
      <c r="AH14" s="84"/>
      <c r="AI14" s="84"/>
    </row>
    <row r="15">
      <c r="A15" s="85">
        <v>45874.79576267361</v>
      </c>
      <c r="B15" s="75" t="s">
        <v>901</v>
      </c>
      <c r="C15" s="75" t="s">
        <v>902</v>
      </c>
      <c r="D15" s="95">
        <v>5.1983898336E10</v>
      </c>
      <c r="E15" s="95">
        <v>4.8197241E7</v>
      </c>
      <c r="F15" s="95" t="s">
        <v>903</v>
      </c>
      <c r="G15" s="75" t="s">
        <v>904</v>
      </c>
      <c r="H15" s="75" t="s">
        <v>880</v>
      </c>
      <c r="I15" s="75" t="s">
        <v>881</v>
      </c>
      <c r="J15" s="75" t="s">
        <v>905</v>
      </c>
      <c r="K15" s="75" t="s">
        <v>906</v>
      </c>
      <c r="L15" s="95" t="s">
        <v>830</v>
      </c>
      <c r="M15" s="13">
        <v>45882.0</v>
      </c>
      <c r="N15" s="15">
        <v>34.0</v>
      </c>
      <c r="O15" s="97">
        <v>50.0</v>
      </c>
      <c r="P15" s="15" t="s">
        <v>805</v>
      </c>
      <c r="R15" s="15" t="s">
        <v>831</v>
      </c>
      <c r="S15" s="88" t="s">
        <v>807</v>
      </c>
      <c r="T15" s="89"/>
      <c r="U15" s="90"/>
      <c r="V15" s="84"/>
      <c r="W15" s="84"/>
      <c r="X15" s="91">
        <v>299.0</v>
      </c>
      <c r="Y15" s="92">
        <v>45881.0</v>
      </c>
      <c r="Z15" s="93"/>
      <c r="AA15" s="93"/>
      <c r="AB15" s="84"/>
      <c r="AC15" s="84"/>
      <c r="AD15" s="94"/>
      <c r="AE15" s="84"/>
      <c r="AF15" s="84"/>
      <c r="AG15" s="84"/>
      <c r="AH15" s="84"/>
      <c r="AI15" s="84"/>
    </row>
    <row r="16">
      <c r="A16" s="85">
        <v>45874.79578703704</v>
      </c>
      <c r="B16" s="75" t="s">
        <v>448</v>
      </c>
      <c r="C16" s="75" t="s">
        <v>907</v>
      </c>
      <c r="D16" s="95">
        <v>5.194384892E10</v>
      </c>
      <c r="E16" s="95">
        <v>2.7749662E7</v>
      </c>
      <c r="F16" s="95" t="s">
        <v>908</v>
      </c>
      <c r="G16" s="75" t="s">
        <v>909</v>
      </c>
      <c r="H16" s="75" t="s">
        <v>910</v>
      </c>
      <c r="I16" s="75" t="s">
        <v>911</v>
      </c>
      <c r="J16" s="75" t="s">
        <v>912</v>
      </c>
      <c r="K16" s="75" t="s">
        <v>913</v>
      </c>
      <c r="L16" s="95" t="s">
        <v>814</v>
      </c>
      <c r="M16" s="13">
        <v>45848.0</v>
      </c>
      <c r="N16" s="15">
        <v>76.0</v>
      </c>
      <c r="O16" s="97">
        <v>100.0</v>
      </c>
      <c r="P16" s="15" t="s">
        <v>805</v>
      </c>
      <c r="R16" s="15" t="s">
        <v>831</v>
      </c>
      <c r="S16" s="88" t="s">
        <v>807</v>
      </c>
      <c r="T16" s="89"/>
      <c r="U16" s="90"/>
      <c r="V16" s="84"/>
      <c r="W16" s="84"/>
      <c r="X16" s="91">
        <v>319.0</v>
      </c>
      <c r="Y16" s="92">
        <v>45881.0</v>
      </c>
      <c r="Z16" s="93"/>
      <c r="AA16" s="93"/>
      <c r="AB16" s="84"/>
      <c r="AC16" s="84"/>
      <c r="AD16" s="94"/>
      <c r="AE16" s="84"/>
      <c r="AF16" s="84"/>
      <c r="AG16" s="84"/>
      <c r="AH16" s="84"/>
      <c r="AI16" s="84"/>
    </row>
    <row r="17">
      <c r="A17" s="85">
        <v>45874.79582175926</v>
      </c>
      <c r="B17" s="75" t="s">
        <v>914</v>
      </c>
      <c r="C17" s="75" t="s">
        <v>915</v>
      </c>
      <c r="D17" s="95">
        <v>5.1997060021E10</v>
      </c>
      <c r="E17" s="95">
        <v>1.0751595E7</v>
      </c>
      <c r="F17" s="95" t="s">
        <v>916</v>
      </c>
      <c r="G17" s="75" t="s">
        <v>917</v>
      </c>
      <c r="H17" s="75" t="s">
        <v>918</v>
      </c>
      <c r="I17" s="75" t="s">
        <v>30</v>
      </c>
      <c r="J17" s="75" t="s">
        <v>30</v>
      </c>
      <c r="K17" s="75" t="s">
        <v>919</v>
      </c>
      <c r="L17" s="95" t="s">
        <v>893</v>
      </c>
      <c r="M17" s="13">
        <v>45875.0</v>
      </c>
      <c r="N17" s="15">
        <v>47.0</v>
      </c>
      <c r="O17" s="97">
        <v>200.0</v>
      </c>
      <c r="P17" s="15" t="s">
        <v>920</v>
      </c>
      <c r="Q17" s="15">
        <v>2.0609119102E10</v>
      </c>
      <c r="R17" s="15" t="s">
        <v>815</v>
      </c>
      <c r="S17" s="88" t="s">
        <v>807</v>
      </c>
      <c r="T17" s="89"/>
      <c r="U17" s="90"/>
      <c r="V17" s="84"/>
      <c r="W17" s="84"/>
      <c r="X17" s="103">
        <v>199.0</v>
      </c>
      <c r="Y17" s="92">
        <v>45884.0</v>
      </c>
      <c r="Z17" s="93"/>
      <c r="AA17" s="93"/>
      <c r="AB17" s="84"/>
      <c r="AC17" s="84"/>
      <c r="AD17" s="94"/>
      <c r="AE17" s="84"/>
      <c r="AF17" s="84"/>
      <c r="AG17" s="84"/>
      <c r="AH17" s="84"/>
      <c r="AI17" s="84"/>
    </row>
    <row r="18">
      <c r="A18" s="85">
        <v>45876.64427048611</v>
      </c>
      <c r="B18" s="95" t="s">
        <v>921</v>
      </c>
      <c r="C18" s="95" t="s">
        <v>922</v>
      </c>
      <c r="D18" s="95">
        <v>5.1999498209E10</v>
      </c>
      <c r="E18" s="95">
        <v>7.31431E7</v>
      </c>
      <c r="F18" s="95" t="s">
        <v>923</v>
      </c>
      <c r="G18" s="95" t="s">
        <v>924</v>
      </c>
      <c r="H18" s="95" t="s">
        <v>925</v>
      </c>
      <c r="I18" s="95" t="s">
        <v>926</v>
      </c>
      <c r="J18" s="95" t="s">
        <v>905</v>
      </c>
      <c r="K18" s="95" t="s">
        <v>927</v>
      </c>
      <c r="L18" s="95" t="s">
        <v>830</v>
      </c>
      <c r="M18" s="13">
        <v>45882.0</v>
      </c>
      <c r="N18" s="15">
        <v>23.0</v>
      </c>
      <c r="O18" s="97">
        <v>100.0</v>
      </c>
      <c r="P18" s="15" t="s">
        <v>805</v>
      </c>
      <c r="R18" s="15" t="s">
        <v>831</v>
      </c>
      <c r="S18" s="88" t="s">
        <v>807</v>
      </c>
      <c r="T18" s="89"/>
      <c r="U18" s="90"/>
      <c r="V18" s="84"/>
      <c r="W18" s="84"/>
      <c r="X18" s="91">
        <v>249.0</v>
      </c>
      <c r="Y18" s="92">
        <v>45881.0</v>
      </c>
      <c r="Z18" s="93"/>
      <c r="AA18" s="93"/>
      <c r="AB18" s="84"/>
      <c r="AC18" s="84"/>
      <c r="AD18" s="94"/>
      <c r="AE18" s="84"/>
      <c r="AF18" s="84"/>
      <c r="AG18" s="84"/>
      <c r="AH18" s="84"/>
      <c r="AI18" s="84"/>
    </row>
    <row r="19">
      <c r="A19" s="85">
        <v>45876.72878643518</v>
      </c>
      <c r="B19" s="95" t="s">
        <v>928</v>
      </c>
      <c r="C19" s="95" t="s">
        <v>929</v>
      </c>
      <c r="D19" s="95">
        <v>5.1966109999E10</v>
      </c>
      <c r="E19" s="95">
        <v>4.5102849E7</v>
      </c>
      <c r="F19" s="95" t="s">
        <v>930</v>
      </c>
      <c r="G19" s="75" t="s">
        <v>931</v>
      </c>
      <c r="H19" s="95" t="s">
        <v>932</v>
      </c>
      <c r="I19" s="95" t="s">
        <v>933</v>
      </c>
      <c r="J19" s="95" t="s">
        <v>932</v>
      </c>
      <c r="K19" s="95" t="s">
        <v>847</v>
      </c>
      <c r="L19" s="95" t="s">
        <v>848</v>
      </c>
      <c r="M19" s="13">
        <v>45878.0</v>
      </c>
      <c r="N19" s="15">
        <v>36.0</v>
      </c>
      <c r="O19" s="97">
        <v>1400.0</v>
      </c>
      <c r="P19" s="15" t="s">
        <v>805</v>
      </c>
      <c r="R19" s="15" t="s">
        <v>822</v>
      </c>
      <c r="S19" s="88" t="s">
        <v>807</v>
      </c>
      <c r="T19" s="89"/>
      <c r="U19" s="90"/>
      <c r="V19" s="84"/>
      <c r="W19" s="84"/>
      <c r="X19" s="91">
        <v>1000.0</v>
      </c>
      <c r="Y19" s="92">
        <v>45899.0</v>
      </c>
      <c r="Z19" s="93"/>
      <c r="AA19" s="93"/>
      <c r="AB19" s="84"/>
      <c r="AC19" s="84"/>
      <c r="AD19" s="94"/>
      <c r="AE19" s="84"/>
      <c r="AF19" s="84"/>
      <c r="AG19" s="84"/>
      <c r="AH19" s="84"/>
      <c r="AI19" s="84"/>
    </row>
    <row r="20">
      <c r="A20" s="85">
        <v>45877.38577386574</v>
      </c>
      <c r="B20" s="76" t="s">
        <v>934</v>
      </c>
      <c r="C20" s="76" t="s">
        <v>935</v>
      </c>
      <c r="D20" s="15">
        <v>5.1934946001E10</v>
      </c>
      <c r="E20" s="15">
        <v>7.0243686E7</v>
      </c>
      <c r="F20" s="15" t="s">
        <v>936</v>
      </c>
      <c r="G20" s="76" t="s">
        <v>937</v>
      </c>
      <c r="H20" s="76" t="s">
        <v>938</v>
      </c>
      <c r="I20" s="76" t="s">
        <v>867</v>
      </c>
      <c r="J20" s="76" t="s">
        <v>938</v>
      </c>
      <c r="K20" s="76" t="s">
        <v>821</v>
      </c>
      <c r="L20" s="15" t="s">
        <v>814</v>
      </c>
      <c r="M20" s="13">
        <v>45879.0</v>
      </c>
      <c r="N20" s="15">
        <v>31.0</v>
      </c>
      <c r="O20" s="97">
        <v>200.0</v>
      </c>
      <c r="P20" s="15" t="s">
        <v>920</v>
      </c>
      <c r="Q20" s="15">
        <v>1.0702436864E10</v>
      </c>
      <c r="R20" s="15" t="s">
        <v>806</v>
      </c>
      <c r="S20" s="88" t="s">
        <v>807</v>
      </c>
      <c r="T20" s="89"/>
      <c r="U20" s="90"/>
      <c r="V20" s="84"/>
      <c r="W20" s="84"/>
      <c r="X20" s="103">
        <v>249.0</v>
      </c>
      <c r="Y20" s="92">
        <v>45897.0</v>
      </c>
      <c r="Z20" s="93"/>
      <c r="AA20" s="93"/>
      <c r="AB20" s="84"/>
      <c r="AC20" s="84"/>
      <c r="AD20" s="94"/>
      <c r="AE20" s="84"/>
      <c r="AF20" s="84"/>
      <c r="AG20" s="84"/>
      <c r="AH20" s="84"/>
      <c r="AI20" s="84"/>
    </row>
    <row r="21">
      <c r="A21" s="85">
        <v>45877.703509212966</v>
      </c>
      <c r="B21" s="100" t="s">
        <v>939</v>
      </c>
      <c r="C21" s="100" t="s">
        <v>940</v>
      </c>
      <c r="D21" s="101">
        <v>5.1931945126E10</v>
      </c>
      <c r="E21" s="101">
        <v>4.4718577E7</v>
      </c>
      <c r="F21" s="101" t="s">
        <v>941</v>
      </c>
      <c r="G21" s="100" t="s">
        <v>942</v>
      </c>
      <c r="H21" s="100" t="s">
        <v>943</v>
      </c>
      <c r="I21" s="100" t="s">
        <v>944</v>
      </c>
      <c r="J21" s="100" t="s">
        <v>905</v>
      </c>
      <c r="K21" s="100" t="s">
        <v>913</v>
      </c>
      <c r="L21" s="15" t="s">
        <v>945</v>
      </c>
      <c r="M21" s="13">
        <v>45890.0</v>
      </c>
      <c r="N21" s="15">
        <v>37.0</v>
      </c>
      <c r="O21" s="97">
        <v>50.0</v>
      </c>
      <c r="P21" s="15" t="s">
        <v>805</v>
      </c>
      <c r="R21" s="15" t="s">
        <v>831</v>
      </c>
      <c r="S21" s="88" t="s">
        <v>807</v>
      </c>
      <c r="T21" s="89"/>
      <c r="U21" s="90"/>
      <c r="V21" s="84"/>
      <c r="W21" s="84"/>
      <c r="X21" s="103">
        <v>299.0</v>
      </c>
      <c r="Y21" s="92">
        <v>45884.0</v>
      </c>
      <c r="Z21" s="93"/>
      <c r="AA21" s="93"/>
      <c r="AB21" s="84"/>
      <c r="AC21" s="84"/>
      <c r="AD21" s="94"/>
      <c r="AE21" s="84"/>
      <c r="AF21" s="84"/>
      <c r="AG21" s="84"/>
      <c r="AH21" s="84"/>
      <c r="AI21" s="84"/>
    </row>
    <row r="22">
      <c r="A22" s="85">
        <v>45877.72848016204</v>
      </c>
      <c r="B22" s="101" t="s">
        <v>946</v>
      </c>
      <c r="C22" s="101" t="s">
        <v>947</v>
      </c>
      <c r="D22" s="101">
        <v>5.1930167105E10</v>
      </c>
      <c r="E22" s="101">
        <v>4.2722605E7</v>
      </c>
      <c r="F22" s="101" t="s">
        <v>948</v>
      </c>
      <c r="G22" s="100" t="s">
        <v>949</v>
      </c>
      <c r="H22" s="100" t="s">
        <v>949</v>
      </c>
      <c r="I22" s="100" t="s">
        <v>950</v>
      </c>
      <c r="J22" s="100" t="s">
        <v>951</v>
      </c>
      <c r="K22" s="100" t="s">
        <v>952</v>
      </c>
      <c r="L22" s="15" t="s">
        <v>945</v>
      </c>
      <c r="M22" s="13">
        <v>45890.0</v>
      </c>
      <c r="N22" s="15">
        <v>30.0</v>
      </c>
      <c r="O22" s="97">
        <v>100.0</v>
      </c>
      <c r="P22" s="15" t="s">
        <v>805</v>
      </c>
      <c r="R22" s="15" t="s">
        <v>831</v>
      </c>
      <c r="S22" s="88" t="s">
        <v>807</v>
      </c>
      <c r="T22" s="89"/>
      <c r="U22" s="90"/>
      <c r="V22" s="84"/>
      <c r="W22" s="84"/>
      <c r="X22" s="91">
        <v>249.0</v>
      </c>
      <c r="Y22" s="92">
        <v>45890.0</v>
      </c>
      <c r="Z22" s="93"/>
      <c r="AA22" s="93"/>
      <c r="AB22" s="84"/>
      <c r="AC22" s="84"/>
      <c r="AD22" s="94"/>
      <c r="AE22" s="84"/>
      <c r="AF22" s="84"/>
      <c r="AG22" s="84"/>
      <c r="AH22" s="84"/>
      <c r="AI22" s="84"/>
    </row>
    <row r="23">
      <c r="A23" s="85">
        <v>45877.73866791667</v>
      </c>
      <c r="B23" s="98" t="s">
        <v>953</v>
      </c>
      <c r="C23" s="98" t="s">
        <v>954</v>
      </c>
      <c r="D23" s="98">
        <v>5.1979137312E10</v>
      </c>
      <c r="E23" s="98">
        <v>7.0117751E7</v>
      </c>
      <c r="F23" s="98" t="s">
        <v>955</v>
      </c>
      <c r="G23" s="98" t="s">
        <v>956</v>
      </c>
      <c r="H23" s="98" t="s">
        <v>957</v>
      </c>
      <c r="I23" s="98" t="s">
        <v>838</v>
      </c>
      <c r="J23" s="98" t="s">
        <v>838</v>
      </c>
      <c r="K23" s="98" t="s">
        <v>958</v>
      </c>
      <c r="L23" s="98" t="s">
        <v>804</v>
      </c>
      <c r="M23" s="13">
        <v>45877.0</v>
      </c>
      <c r="N23" s="15">
        <v>25.0</v>
      </c>
      <c r="O23" s="97">
        <v>50.0</v>
      </c>
      <c r="P23" s="15" t="s">
        <v>920</v>
      </c>
      <c r="Q23" s="15">
        <v>1.0701177512E10</v>
      </c>
      <c r="R23" s="15" t="s">
        <v>815</v>
      </c>
      <c r="S23" s="88" t="s">
        <v>807</v>
      </c>
      <c r="T23" s="89"/>
      <c r="U23" s="90"/>
      <c r="V23" s="84"/>
      <c r="W23" s="84"/>
      <c r="X23" s="91">
        <v>270.0</v>
      </c>
      <c r="Y23" s="92">
        <v>45883.0</v>
      </c>
      <c r="Z23" s="93"/>
      <c r="AA23" s="93"/>
      <c r="AB23" s="84"/>
      <c r="AC23" s="84"/>
      <c r="AD23" s="94"/>
      <c r="AE23" s="84"/>
      <c r="AF23" s="84"/>
      <c r="AG23" s="84"/>
      <c r="AH23" s="84"/>
      <c r="AI23" s="84"/>
    </row>
    <row r="24">
      <c r="A24" s="85">
        <v>45877.751966446755</v>
      </c>
      <c r="B24" s="15" t="s">
        <v>959</v>
      </c>
      <c r="C24" s="15" t="s">
        <v>960</v>
      </c>
      <c r="D24" s="15">
        <v>5.1967055545E10</v>
      </c>
      <c r="E24" s="15">
        <v>7.1256053E7</v>
      </c>
      <c r="F24" s="15" t="s">
        <v>961</v>
      </c>
      <c r="G24" s="15" t="s">
        <v>962</v>
      </c>
      <c r="H24" s="15" t="s">
        <v>963</v>
      </c>
      <c r="I24" s="15" t="s">
        <v>963</v>
      </c>
      <c r="J24" s="15" t="s">
        <v>964</v>
      </c>
      <c r="K24" s="15" t="s">
        <v>965</v>
      </c>
      <c r="L24" s="15" t="s">
        <v>884</v>
      </c>
      <c r="M24" s="13">
        <v>45878.0</v>
      </c>
      <c r="N24" s="15">
        <v>26.0</v>
      </c>
      <c r="O24" s="97">
        <v>300.0</v>
      </c>
      <c r="P24" s="15" t="s">
        <v>920</v>
      </c>
      <c r="Q24" s="15">
        <v>2.0614131226E10</v>
      </c>
      <c r="R24" s="15" t="s">
        <v>806</v>
      </c>
      <c r="S24" s="88" t="s">
        <v>807</v>
      </c>
      <c r="T24" s="89"/>
      <c r="U24" s="90"/>
      <c r="V24" s="84"/>
      <c r="W24" s="84"/>
      <c r="X24" s="91">
        <v>200.0</v>
      </c>
      <c r="Y24" s="92">
        <v>45884.0</v>
      </c>
      <c r="Z24" s="93"/>
      <c r="AA24" s="93"/>
      <c r="AB24" s="84"/>
      <c r="AC24" s="84"/>
      <c r="AD24" s="94"/>
      <c r="AE24" s="84"/>
      <c r="AF24" s="84"/>
      <c r="AG24" s="84"/>
      <c r="AH24" s="84"/>
      <c r="AI24" s="84"/>
    </row>
    <row r="25">
      <c r="A25" s="85">
        <v>45877.77809148148</v>
      </c>
      <c r="B25" s="95" t="s">
        <v>966</v>
      </c>
      <c r="C25" s="95" t="s">
        <v>967</v>
      </c>
      <c r="D25" s="95">
        <v>5.1989027771E10</v>
      </c>
      <c r="E25" s="95">
        <v>4.4578602E7</v>
      </c>
      <c r="F25" s="95" t="s">
        <v>968</v>
      </c>
      <c r="G25" s="75" t="s">
        <v>969</v>
      </c>
      <c r="H25" s="75" t="s">
        <v>970</v>
      </c>
      <c r="I25" s="75" t="s">
        <v>971</v>
      </c>
      <c r="J25" s="75" t="s">
        <v>972</v>
      </c>
      <c r="K25" s="75" t="s">
        <v>813</v>
      </c>
      <c r="L25" s="95" t="s">
        <v>830</v>
      </c>
      <c r="M25" s="13">
        <v>45882.0</v>
      </c>
      <c r="N25" s="15">
        <v>37.0</v>
      </c>
      <c r="O25" s="97">
        <v>100.0</v>
      </c>
      <c r="P25" s="15" t="s">
        <v>805</v>
      </c>
      <c r="R25" s="15" t="s">
        <v>831</v>
      </c>
      <c r="S25" s="88" t="s">
        <v>807</v>
      </c>
      <c r="T25" s="89"/>
      <c r="U25" s="90"/>
      <c r="V25" s="84"/>
      <c r="W25" s="84"/>
      <c r="X25" s="91">
        <v>249.0</v>
      </c>
      <c r="Y25" s="92">
        <v>45882.0</v>
      </c>
      <c r="Z25" s="93"/>
      <c r="AA25" s="93"/>
      <c r="AB25" s="84"/>
      <c r="AC25" s="84"/>
      <c r="AD25" s="94"/>
      <c r="AE25" s="84"/>
      <c r="AF25" s="84"/>
      <c r="AG25" s="84"/>
      <c r="AH25" s="84"/>
      <c r="AI25" s="84"/>
    </row>
    <row r="26">
      <c r="A26" s="85">
        <v>45878.45467732639</v>
      </c>
      <c r="B26" s="76" t="s">
        <v>973</v>
      </c>
      <c r="C26" s="76" t="s">
        <v>974</v>
      </c>
      <c r="D26" s="15">
        <v>5.1947629721E10</v>
      </c>
      <c r="E26" s="15">
        <v>7.1345733E7</v>
      </c>
      <c r="F26" s="15" t="s">
        <v>975</v>
      </c>
      <c r="G26" s="76" t="s">
        <v>976</v>
      </c>
      <c r="H26" s="76" t="s">
        <v>977</v>
      </c>
      <c r="I26" s="76" t="s">
        <v>978</v>
      </c>
      <c r="J26" s="76" t="s">
        <v>979</v>
      </c>
      <c r="K26" s="76" t="s">
        <v>980</v>
      </c>
      <c r="L26" s="15" t="s">
        <v>830</v>
      </c>
      <c r="M26" s="13">
        <v>45882.0</v>
      </c>
      <c r="N26" s="15">
        <v>26.0</v>
      </c>
      <c r="O26" s="97">
        <v>100.0</v>
      </c>
      <c r="P26" s="15" t="s">
        <v>805</v>
      </c>
      <c r="R26" s="15" t="s">
        <v>831</v>
      </c>
      <c r="S26" s="88" t="s">
        <v>807</v>
      </c>
      <c r="T26" s="89"/>
      <c r="U26" s="90"/>
      <c r="V26" s="84"/>
      <c r="W26" s="84"/>
      <c r="X26" s="91">
        <v>249.0</v>
      </c>
      <c r="Y26" s="92">
        <v>45882.0</v>
      </c>
      <c r="Z26" s="93"/>
      <c r="AA26" s="93"/>
      <c r="AB26" s="84"/>
      <c r="AC26" s="84"/>
      <c r="AD26" s="94"/>
      <c r="AE26" s="84"/>
      <c r="AF26" s="84"/>
      <c r="AG26" s="84"/>
      <c r="AH26" s="84"/>
      <c r="AI26" s="84"/>
    </row>
    <row r="27">
      <c r="A27" s="85">
        <v>45878.53199923611</v>
      </c>
      <c r="B27" s="15" t="s">
        <v>981</v>
      </c>
      <c r="C27" s="15" t="s">
        <v>982</v>
      </c>
      <c r="D27" s="15">
        <v>5.1972222967E10</v>
      </c>
      <c r="E27" s="15">
        <v>4.5432456E7</v>
      </c>
      <c r="F27" s="15" t="s">
        <v>983</v>
      </c>
      <c r="G27" s="76" t="s">
        <v>984</v>
      </c>
      <c r="H27" s="76" t="s">
        <v>985</v>
      </c>
      <c r="I27" s="76" t="s">
        <v>986</v>
      </c>
      <c r="J27" s="76" t="s">
        <v>867</v>
      </c>
      <c r="K27" s="76" t="s">
        <v>987</v>
      </c>
      <c r="L27" s="15" t="s">
        <v>848</v>
      </c>
      <c r="M27" s="13">
        <v>45878.0</v>
      </c>
      <c r="N27" s="15">
        <v>35.0</v>
      </c>
      <c r="O27" s="97">
        <v>400.0</v>
      </c>
      <c r="P27" s="15" t="s">
        <v>920</v>
      </c>
      <c r="Q27" s="15">
        <v>2.0608377787E10</v>
      </c>
      <c r="R27" s="15" t="s">
        <v>988</v>
      </c>
      <c r="S27" s="88" t="s">
        <v>807</v>
      </c>
      <c r="T27" s="89"/>
      <c r="U27" s="90"/>
      <c r="V27" s="84"/>
      <c r="W27" s="84"/>
      <c r="X27" s="103">
        <v>400.0</v>
      </c>
      <c r="Y27" s="92">
        <v>45899.0</v>
      </c>
      <c r="Z27" s="103">
        <v>800.0</v>
      </c>
      <c r="AA27" s="92">
        <v>45930.0</v>
      </c>
      <c r="AB27" s="103">
        <v>800.0</v>
      </c>
      <c r="AC27" s="92">
        <v>45960.0</v>
      </c>
      <c r="AD27" s="103">
        <v>800.0</v>
      </c>
      <c r="AE27" s="92">
        <v>45991.0</v>
      </c>
      <c r="AF27" s="84"/>
      <c r="AG27" s="84"/>
      <c r="AH27" s="84"/>
      <c r="AI27" s="84"/>
    </row>
    <row r="28">
      <c r="A28" s="85">
        <v>45878.559006261574</v>
      </c>
      <c r="B28" s="15" t="s">
        <v>989</v>
      </c>
      <c r="C28" s="15" t="s">
        <v>990</v>
      </c>
      <c r="D28" s="15">
        <v>5.192055759E10</v>
      </c>
      <c r="E28" s="15">
        <v>7.0233627E7</v>
      </c>
      <c r="F28" s="15" t="s">
        <v>991</v>
      </c>
      <c r="G28" s="15" t="s">
        <v>992</v>
      </c>
      <c r="H28" s="15" t="s">
        <v>993</v>
      </c>
      <c r="I28" s="15" t="s">
        <v>994</v>
      </c>
      <c r="J28" s="15" t="s">
        <v>905</v>
      </c>
      <c r="K28" s="15" t="s">
        <v>995</v>
      </c>
      <c r="L28" s="15" t="s">
        <v>848</v>
      </c>
      <c r="M28" s="13">
        <v>45878.0</v>
      </c>
      <c r="N28" s="15">
        <v>32.0</v>
      </c>
      <c r="O28" s="97">
        <v>500.0</v>
      </c>
      <c r="P28" s="15" t="s">
        <v>805</v>
      </c>
      <c r="R28" s="15" t="s">
        <v>831</v>
      </c>
      <c r="S28" s="88" t="s">
        <v>807</v>
      </c>
      <c r="T28" s="89"/>
      <c r="U28" s="90"/>
      <c r="V28" s="84"/>
      <c r="W28" s="84"/>
      <c r="X28" s="103">
        <v>850.0</v>
      </c>
      <c r="Y28" s="92">
        <v>45899.0</v>
      </c>
      <c r="Z28" s="103">
        <v>675.0</v>
      </c>
      <c r="AA28" s="92">
        <v>45915.0</v>
      </c>
      <c r="AB28" s="103">
        <v>675.0</v>
      </c>
      <c r="AC28" s="92">
        <v>45930.0</v>
      </c>
      <c r="AD28" s="94">
        <f>O27+X28+Z28+AB28</f>
        <v>2600</v>
      </c>
      <c r="AE28" s="84"/>
      <c r="AF28" s="84"/>
      <c r="AG28" s="84"/>
      <c r="AH28" s="84"/>
      <c r="AI28" s="84"/>
    </row>
    <row r="29">
      <c r="A29" s="85">
        <v>45881.70408752315</v>
      </c>
      <c r="B29" s="95" t="s">
        <v>996</v>
      </c>
      <c r="C29" s="95" t="s">
        <v>997</v>
      </c>
      <c r="D29" s="95">
        <v>5.1916665755E10</v>
      </c>
      <c r="E29" s="95">
        <v>4.6971912E7</v>
      </c>
      <c r="F29" s="95" t="s">
        <v>998</v>
      </c>
      <c r="G29" s="75" t="s">
        <v>999</v>
      </c>
      <c r="H29" s="75" t="s">
        <v>1000</v>
      </c>
      <c r="I29" s="75" t="s">
        <v>1001</v>
      </c>
      <c r="J29" s="75" t="s">
        <v>1002</v>
      </c>
      <c r="K29" s="75" t="s">
        <v>813</v>
      </c>
      <c r="L29" s="75" t="s">
        <v>814</v>
      </c>
      <c r="M29" s="13">
        <v>45884.0</v>
      </c>
      <c r="N29" s="15">
        <v>33.0</v>
      </c>
      <c r="O29" s="97">
        <v>50.0</v>
      </c>
      <c r="P29" s="15" t="s">
        <v>805</v>
      </c>
      <c r="R29" s="15" t="s">
        <v>831</v>
      </c>
      <c r="S29" s="88" t="s">
        <v>807</v>
      </c>
      <c r="T29" s="89"/>
      <c r="U29" s="90"/>
      <c r="V29" s="84"/>
      <c r="W29" s="84"/>
      <c r="X29" s="91">
        <v>319.0</v>
      </c>
      <c r="Y29" s="92">
        <v>45899.0</v>
      </c>
      <c r="Z29" s="91">
        <v>50.0</v>
      </c>
      <c r="AA29" s="92">
        <v>45903.0</v>
      </c>
      <c r="AB29" s="84"/>
      <c r="AC29" s="84"/>
      <c r="AD29" s="94">
        <f>O29+X29+Z29+AB29</f>
        <v>419</v>
      </c>
      <c r="AE29" s="84"/>
      <c r="AF29" s="84"/>
      <c r="AG29" s="84"/>
      <c r="AH29" s="84"/>
      <c r="AI29" s="84"/>
    </row>
    <row r="30">
      <c r="A30" s="85">
        <v>45881.789624502315</v>
      </c>
      <c r="B30" s="99" t="s">
        <v>1003</v>
      </c>
      <c r="C30" s="99" t="s">
        <v>1004</v>
      </c>
      <c r="D30" s="98">
        <v>5.1947527428E10</v>
      </c>
      <c r="E30" s="104" t="s">
        <v>1005</v>
      </c>
      <c r="F30" s="98" t="s">
        <v>1006</v>
      </c>
      <c r="G30" s="99" t="s">
        <v>1007</v>
      </c>
      <c r="H30" s="99" t="s">
        <v>1008</v>
      </c>
      <c r="I30" s="99" t="s">
        <v>1008</v>
      </c>
      <c r="J30" s="99" t="s">
        <v>1009</v>
      </c>
      <c r="K30" s="99" t="s">
        <v>847</v>
      </c>
      <c r="L30" s="98" t="s">
        <v>814</v>
      </c>
      <c r="M30" s="13">
        <v>45884.0</v>
      </c>
      <c r="N30" s="15">
        <v>63.0</v>
      </c>
      <c r="O30" s="97">
        <v>100.0</v>
      </c>
      <c r="P30" s="15" t="s">
        <v>805</v>
      </c>
      <c r="R30" s="15" t="s">
        <v>822</v>
      </c>
      <c r="S30" s="88" t="s">
        <v>807</v>
      </c>
      <c r="T30" s="89"/>
      <c r="U30" s="90"/>
      <c r="V30" s="84"/>
      <c r="W30" s="84"/>
      <c r="X30" s="91">
        <v>100.0</v>
      </c>
      <c r="Y30" s="92">
        <v>45884.0</v>
      </c>
      <c r="Z30" s="91">
        <v>199.0</v>
      </c>
      <c r="AA30" s="92">
        <v>45891.0</v>
      </c>
      <c r="AB30" s="84"/>
      <c r="AC30" s="84"/>
      <c r="AD30" s="94"/>
      <c r="AE30" s="84"/>
      <c r="AF30" s="84"/>
      <c r="AG30" s="84"/>
      <c r="AH30" s="84"/>
      <c r="AI30" s="84"/>
    </row>
    <row r="31">
      <c r="A31" s="85">
        <v>45882.517439641204</v>
      </c>
      <c r="B31" s="76" t="s">
        <v>1010</v>
      </c>
      <c r="C31" s="76" t="s">
        <v>1011</v>
      </c>
      <c r="D31" s="15">
        <v>5.19577635E10</v>
      </c>
      <c r="E31" s="15">
        <v>4.0436942E7</v>
      </c>
      <c r="F31" s="15" t="s">
        <v>1012</v>
      </c>
      <c r="G31" s="76" t="s">
        <v>1013</v>
      </c>
      <c r="H31" s="76" t="s">
        <v>1014</v>
      </c>
      <c r="I31" s="76" t="s">
        <v>1015</v>
      </c>
      <c r="J31" s="76" t="s">
        <v>891</v>
      </c>
      <c r="K31" s="76" t="s">
        <v>1016</v>
      </c>
      <c r="L31" s="15" t="s">
        <v>804</v>
      </c>
      <c r="M31" s="13">
        <v>45891.0</v>
      </c>
      <c r="N31" s="15">
        <v>44.0</v>
      </c>
      <c r="O31" s="97">
        <v>100.0</v>
      </c>
      <c r="P31" s="15" t="s">
        <v>920</v>
      </c>
      <c r="Q31" s="15" t="s">
        <v>1017</v>
      </c>
      <c r="R31" s="15" t="s">
        <v>1018</v>
      </c>
      <c r="S31" s="88" t="s">
        <v>807</v>
      </c>
      <c r="T31" s="89"/>
      <c r="U31" s="90"/>
      <c r="V31" s="84"/>
      <c r="W31" s="84"/>
      <c r="X31" s="91">
        <v>249.0</v>
      </c>
      <c r="Y31" s="92">
        <v>45885.0</v>
      </c>
      <c r="Z31" s="93"/>
      <c r="AA31" s="93"/>
      <c r="AB31" s="84"/>
      <c r="AC31" s="84"/>
      <c r="AD31" s="94"/>
      <c r="AE31" s="84"/>
      <c r="AF31" s="84"/>
      <c r="AG31" s="84"/>
      <c r="AH31" s="84"/>
      <c r="AI31" s="84"/>
    </row>
    <row r="32">
      <c r="A32" s="85">
        <v>45882.546049895835</v>
      </c>
      <c r="B32" s="15" t="s">
        <v>1019</v>
      </c>
      <c r="C32" s="15" t="s">
        <v>1020</v>
      </c>
      <c r="D32" s="15">
        <v>5.1939126901E10</v>
      </c>
      <c r="E32" s="15">
        <v>4.6101302E7</v>
      </c>
      <c r="F32" s="15" t="s">
        <v>1021</v>
      </c>
      <c r="G32" s="15" t="s">
        <v>1022</v>
      </c>
      <c r="H32" s="15" t="s">
        <v>1023</v>
      </c>
      <c r="I32" s="15" t="s">
        <v>1024</v>
      </c>
      <c r="J32" s="15" t="s">
        <v>951</v>
      </c>
      <c r="K32" s="15" t="s">
        <v>1025</v>
      </c>
      <c r="L32" s="15" t="s">
        <v>876</v>
      </c>
      <c r="M32" s="13">
        <v>45883.0</v>
      </c>
      <c r="N32" s="15">
        <v>38.0</v>
      </c>
      <c r="O32" s="97">
        <v>100.0</v>
      </c>
      <c r="P32" s="15" t="s">
        <v>920</v>
      </c>
      <c r="Q32" s="15">
        <v>2.0542101912E10</v>
      </c>
      <c r="R32" s="15" t="s">
        <v>806</v>
      </c>
      <c r="S32" s="88" t="s">
        <v>807</v>
      </c>
      <c r="T32" s="89"/>
      <c r="U32" s="90"/>
      <c r="V32" s="84"/>
      <c r="W32" s="84"/>
      <c r="X32" s="103">
        <v>299.0</v>
      </c>
      <c r="Y32" s="92">
        <v>45915.0</v>
      </c>
      <c r="Z32" s="93"/>
      <c r="AA32" s="93"/>
      <c r="AB32" s="84"/>
      <c r="AC32" s="84"/>
      <c r="AD32" s="94"/>
      <c r="AE32" s="84"/>
      <c r="AF32" s="84"/>
      <c r="AG32" s="84"/>
      <c r="AH32" s="84"/>
      <c r="AI32" s="84"/>
    </row>
    <row r="33">
      <c r="A33" s="85">
        <v>45882.68479381944</v>
      </c>
      <c r="B33" s="95" t="s">
        <v>1026</v>
      </c>
      <c r="C33" s="75" t="s">
        <v>1027</v>
      </c>
      <c r="D33" s="95">
        <v>5.1937647192E10</v>
      </c>
      <c r="E33" s="95">
        <v>2.8237033E7</v>
      </c>
      <c r="F33" s="95" t="s">
        <v>1028</v>
      </c>
      <c r="G33" s="75" t="s">
        <v>1029</v>
      </c>
      <c r="H33" s="75" t="s">
        <v>932</v>
      </c>
      <c r="I33" s="75" t="s">
        <v>933</v>
      </c>
      <c r="J33" s="75" t="s">
        <v>932</v>
      </c>
      <c r="K33" s="75" t="s">
        <v>1030</v>
      </c>
      <c r="L33" s="95" t="s">
        <v>830</v>
      </c>
      <c r="M33" s="13">
        <v>45882.0</v>
      </c>
      <c r="N33" s="15">
        <v>55.0</v>
      </c>
      <c r="O33" s="97">
        <v>100.0</v>
      </c>
      <c r="P33" s="15" t="s">
        <v>805</v>
      </c>
      <c r="R33" s="15" t="s">
        <v>831</v>
      </c>
      <c r="S33" s="88" t="s">
        <v>807</v>
      </c>
      <c r="T33" s="105"/>
      <c r="U33" s="90"/>
      <c r="V33" s="84"/>
      <c r="W33" s="84"/>
      <c r="X33" s="91">
        <v>149.0</v>
      </c>
      <c r="Y33" s="92">
        <v>45889.0</v>
      </c>
      <c r="Z33" s="91">
        <v>100.0</v>
      </c>
      <c r="AA33" s="92">
        <v>45889.0</v>
      </c>
      <c r="AB33" s="84"/>
      <c r="AC33" s="84"/>
      <c r="AD33" s="94"/>
      <c r="AE33" s="84"/>
      <c r="AF33" s="84"/>
      <c r="AG33" s="84"/>
      <c r="AH33" s="84"/>
      <c r="AI33" s="84"/>
    </row>
    <row r="34">
      <c r="A34" s="85">
        <v>45882.69852416667</v>
      </c>
      <c r="B34" s="95" t="s">
        <v>620</v>
      </c>
      <c r="C34" s="95" t="s">
        <v>1031</v>
      </c>
      <c r="D34" s="95">
        <v>5.1940062541E10</v>
      </c>
      <c r="E34" s="95">
        <v>7.2148615E7</v>
      </c>
      <c r="F34" s="95" t="s">
        <v>1032</v>
      </c>
      <c r="G34" s="95" t="s">
        <v>1033</v>
      </c>
      <c r="H34" s="95" t="s">
        <v>1034</v>
      </c>
      <c r="I34" s="95" t="s">
        <v>1035</v>
      </c>
      <c r="J34" s="95" t="s">
        <v>1036</v>
      </c>
      <c r="K34" s="95" t="s">
        <v>927</v>
      </c>
      <c r="L34" s="95" t="s">
        <v>830</v>
      </c>
      <c r="M34" s="13">
        <v>45882.0</v>
      </c>
      <c r="N34" s="15">
        <v>29.0</v>
      </c>
      <c r="O34" s="97">
        <v>150.0</v>
      </c>
      <c r="P34" s="15" t="s">
        <v>805</v>
      </c>
      <c r="R34" s="15" t="s">
        <v>815</v>
      </c>
      <c r="S34" s="88" t="s">
        <v>807</v>
      </c>
      <c r="T34" s="105"/>
      <c r="U34" s="90"/>
      <c r="V34" s="84"/>
      <c r="W34" s="84"/>
      <c r="X34" s="103">
        <v>150.0</v>
      </c>
      <c r="Y34" s="92">
        <v>45894.0</v>
      </c>
      <c r="Z34" s="93"/>
      <c r="AA34" s="93"/>
      <c r="AB34" s="84"/>
      <c r="AC34" s="84"/>
      <c r="AD34" s="94"/>
      <c r="AE34" s="84"/>
      <c r="AF34" s="84"/>
      <c r="AG34" s="84"/>
      <c r="AH34" s="84"/>
      <c r="AI34" s="84"/>
    </row>
    <row r="35">
      <c r="A35" s="85">
        <v>45882.72920107639</v>
      </c>
      <c r="B35" s="95" t="s">
        <v>1037</v>
      </c>
      <c r="C35" s="15" t="s">
        <v>1038</v>
      </c>
      <c r="D35" s="15">
        <v>5.1976746479E10</v>
      </c>
      <c r="E35" s="15">
        <v>4.5525761E7</v>
      </c>
      <c r="F35" s="15" t="s">
        <v>1039</v>
      </c>
      <c r="G35" s="76" t="s">
        <v>1040</v>
      </c>
      <c r="H35" s="76" t="s">
        <v>1041</v>
      </c>
      <c r="I35" s="76" t="s">
        <v>1042</v>
      </c>
      <c r="J35" s="76" t="s">
        <v>972</v>
      </c>
      <c r="K35" s="76" t="s">
        <v>847</v>
      </c>
      <c r="L35" s="15" t="s">
        <v>814</v>
      </c>
      <c r="M35" s="13">
        <v>45884.0</v>
      </c>
      <c r="N35" s="15">
        <v>38.0</v>
      </c>
      <c r="O35" s="97">
        <v>200.0</v>
      </c>
      <c r="P35" s="15" t="s">
        <v>920</v>
      </c>
      <c r="Q35" s="15">
        <v>2.0611242124E10</v>
      </c>
      <c r="R35" s="15" t="s">
        <v>815</v>
      </c>
      <c r="S35" s="88" t="s">
        <v>807</v>
      </c>
      <c r="T35" s="105"/>
      <c r="U35" s="90"/>
      <c r="V35" s="84"/>
      <c r="W35" s="84"/>
      <c r="X35" s="91">
        <v>199.0</v>
      </c>
      <c r="Y35" s="92">
        <v>45895.0</v>
      </c>
      <c r="Z35" s="93"/>
      <c r="AA35" s="93"/>
      <c r="AB35" s="84"/>
      <c r="AC35" s="84"/>
      <c r="AD35" s="94"/>
      <c r="AE35" s="84"/>
      <c r="AF35" s="84"/>
      <c r="AG35" s="84"/>
      <c r="AH35" s="84"/>
      <c r="AI35" s="84"/>
    </row>
    <row r="36">
      <c r="A36" s="85">
        <v>45882.76228693287</v>
      </c>
      <c r="B36" s="15" t="s">
        <v>1043</v>
      </c>
      <c r="C36" s="15" t="s">
        <v>1044</v>
      </c>
      <c r="D36" s="15">
        <v>5.1983601675E10</v>
      </c>
      <c r="E36" s="15">
        <v>4.1508565E7</v>
      </c>
      <c r="F36" s="15" t="s">
        <v>1045</v>
      </c>
      <c r="G36" s="76" t="s">
        <v>1046</v>
      </c>
      <c r="H36" s="76" t="s">
        <v>1047</v>
      </c>
      <c r="I36" s="76" t="s">
        <v>1048</v>
      </c>
      <c r="J36" s="76" t="s">
        <v>938</v>
      </c>
      <c r="K36" s="15" t="s">
        <v>1049</v>
      </c>
      <c r="L36" s="15" t="s">
        <v>814</v>
      </c>
      <c r="M36" s="13">
        <v>45884.0</v>
      </c>
      <c r="N36" s="15">
        <v>42.0</v>
      </c>
      <c r="O36" s="97">
        <v>150.0</v>
      </c>
      <c r="P36" s="15" t="s">
        <v>805</v>
      </c>
      <c r="R36" s="15" t="s">
        <v>1018</v>
      </c>
      <c r="S36" s="88" t="s">
        <v>807</v>
      </c>
      <c r="T36" s="105"/>
      <c r="U36" s="90"/>
      <c r="V36" s="84"/>
      <c r="W36" s="84"/>
      <c r="X36" s="103">
        <v>150.0</v>
      </c>
      <c r="Y36" s="92">
        <v>45897.0</v>
      </c>
      <c r="Z36" s="93"/>
      <c r="AA36" s="93"/>
      <c r="AB36" s="84"/>
      <c r="AC36" s="84"/>
      <c r="AD36" s="94"/>
      <c r="AE36" s="84"/>
      <c r="AF36" s="84"/>
      <c r="AG36" s="84"/>
      <c r="AH36" s="84"/>
      <c r="AI36" s="84"/>
    </row>
    <row r="37">
      <c r="A37" s="85">
        <v>45883.398302685186</v>
      </c>
      <c r="B37" s="75" t="s">
        <v>1050</v>
      </c>
      <c r="C37" s="75" t="s">
        <v>1051</v>
      </c>
      <c r="D37" s="95">
        <v>5.197094888E10</v>
      </c>
      <c r="E37" s="106" t="s">
        <v>1052</v>
      </c>
      <c r="F37" s="95" t="s">
        <v>1053</v>
      </c>
      <c r="G37" s="75" t="s">
        <v>1054</v>
      </c>
      <c r="H37" s="75" t="s">
        <v>1055</v>
      </c>
      <c r="I37" s="75" t="s">
        <v>1055</v>
      </c>
      <c r="J37" s="75" t="s">
        <v>1055</v>
      </c>
      <c r="K37" s="75" t="s">
        <v>1056</v>
      </c>
      <c r="L37" s="95" t="s">
        <v>804</v>
      </c>
      <c r="M37" s="13">
        <v>45891.0</v>
      </c>
      <c r="N37" s="15">
        <v>69.0</v>
      </c>
      <c r="O37" s="97">
        <v>200.0</v>
      </c>
      <c r="P37" s="15" t="s">
        <v>805</v>
      </c>
      <c r="R37" s="15" t="s">
        <v>806</v>
      </c>
      <c r="S37" s="88" t="s">
        <v>807</v>
      </c>
      <c r="T37" s="105"/>
      <c r="U37" s="90"/>
      <c r="V37" s="84"/>
      <c r="W37" s="84"/>
      <c r="X37" s="103">
        <v>150.0</v>
      </c>
      <c r="Y37" s="92">
        <v>45897.0</v>
      </c>
      <c r="Z37" s="93"/>
      <c r="AA37" s="93"/>
      <c r="AB37" s="84"/>
      <c r="AC37" s="84"/>
      <c r="AD37" s="94"/>
      <c r="AE37" s="84"/>
      <c r="AF37" s="84"/>
      <c r="AG37" s="84"/>
      <c r="AH37" s="84"/>
      <c r="AI37" s="84"/>
    </row>
    <row r="38">
      <c r="A38" s="85">
        <v>45883.432826296295</v>
      </c>
      <c r="B38" s="75" t="s">
        <v>1057</v>
      </c>
      <c r="C38" s="75" t="s">
        <v>1058</v>
      </c>
      <c r="D38" s="95">
        <v>5.1951964928E10</v>
      </c>
      <c r="E38" s="106" t="s">
        <v>1059</v>
      </c>
      <c r="F38" s="95" t="s">
        <v>1060</v>
      </c>
      <c r="G38" s="75" t="s">
        <v>1061</v>
      </c>
      <c r="H38" s="75" t="s">
        <v>1014</v>
      </c>
      <c r="I38" s="75" t="s">
        <v>1015</v>
      </c>
      <c r="J38" s="75" t="s">
        <v>891</v>
      </c>
      <c r="K38" s="75" t="s">
        <v>1062</v>
      </c>
      <c r="L38" s="95" t="s">
        <v>804</v>
      </c>
      <c r="M38" s="13">
        <v>45891.0</v>
      </c>
      <c r="N38" s="15">
        <v>51.0</v>
      </c>
      <c r="O38" s="97">
        <v>100.0</v>
      </c>
      <c r="P38" s="15" t="s">
        <v>805</v>
      </c>
      <c r="R38" s="15" t="s">
        <v>831</v>
      </c>
      <c r="S38" s="88" t="s">
        <v>807</v>
      </c>
      <c r="T38" s="105"/>
      <c r="U38" s="90"/>
      <c r="V38" s="84"/>
      <c r="W38" s="84"/>
      <c r="X38" s="103">
        <v>249.0</v>
      </c>
      <c r="Y38" s="92">
        <v>45889.0</v>
      </c>
      <c r="Z38" s="93"/>
      <c r="AA38" s="93"/>
      <c r="AB38" s="84"/>
      <c r="AC38" s="84"/>
      <c r="AD38" s="94"/>
      <c r="AE38" s="84"/>
      <c r="AF38" s="84"/>
      <c r="AG38" s="84"/>
      <c r="AH38" s="84"/>
      <c r="AI38" s="84"/>
    </row>
    <row r="39">
      <c r="A39" s="85">
        <v>45883.835513784725</v>
      </c>
      <c r="B39" s="76" t="s">
        <v>1063</v>
      </c>
      <c r="C39" s="76" t="s">
        <v>1064</v>
      </c>
      <c r="D39" s="15">
        <v>5.1938624045E10</v>
      </c>
      <c r="E39" s="15">
        <v>4.1568295E7</v>
      </c>
      <c r="F39" s="15" t="s">
        <v>1065</v>
      </c>
      <c r="G39" s="76" t="s">
        <v>1066</v>
      </c>
      <c r="H39" s="76" t="s">
        <v>1067</v>
      </c>
      <c r="I39" s="76" t="s">
        <v>1068</v>
      </c>
      <c r="J39" s="76" t="s">
        <v>951</v>
      </c>
      <c r="K39" s="76" t="s">
        <v>813</v>
      </c>
      <c r="L39" s="15" t="s">
        <v>830</v>
      </c>
      <c r="M39" s="13">
        <v>45889.0</v>
      </c>
      <c r="N39" s="15">
        <v>46.0</v>
      </c>
      <c r="O39" s="97">
        <v>50.0</v>
      </c>
      <c r="P39" s="15" t="s">
        <v>805</v>
      </c>
      <c r="R39" s="15" t="s">
        <v>831</v>
      </c>
      <c r="S39" s="88" t="s">
        <v>807</v>
      </c>
      <c r="T39" s="105"/>
      <c r="U39" s="90"/>
      <c r="V39" s="84"/>
      <c r="W39" s="84"/>
      <c r="X39" s="91">
        <v>299.0</v>
      </c>
      <c r="Y39" s="92">
        <v>45898.0</v>
      </c>
      <c r="Z39" s="93"/>
      <c r="AA39" s="93"/>
      <c r="AB39" s="84"/>
      <c r="AC39" s="84"/>
      <c r="AD39" s="94"/>
      <c r="AE39" s="84"/>
      <c r="AF39" s="84"/>
      <c r="AG39" s="84"/>
      <c r="AH39" s="84"/>
      <c r="AI39" s="84"/>
    </row>
    <row r="40">
      <c r="A40" s="85">
        <v>45883.83810954861</v>
      </c>
      <c r="B40" s="76" t="s">
        <v>1069</v>
      </c>
      <c r="C40" s="76" t="s">
        <v>1070</v>
      </c>
      <c r="D40" s="15">
        <v>5.1982382974E10</v>
      </c>
      <c r="E40" s="15">
        <v>4.6383328E7</v>
      </c>
      <c r="F40" s="15" t="s">
        <v>1071</v>
      </c>
      <c r="G40" s="76" t="s">
        <v>1072</v>
      </c>
      <c r="H40" s="76" t="s">
        <v>972</v>
      </c>
      <c r="I40" s="76" t="s">
        <v>1042</v>
      </c>
      <c r="J40" s="76" t="s">
        <v>972</v>
      </c>
      <c r="K40" s="76" t="s">
        <v>1073</v>
      </c>
      <c r="L40" s="15" t="s">
        <v>876</v>
      </c>
      <c r="M40" s="13">
        <v>45883.0</v>
      </c>
      <c r="N40" s="15">
        <v>35.0</v>
      </c>
      <c r="O40" s="97">
        <v>200.0</v>
      </c>
      <c r="P40" s="15" t="s">
        <v>805</v>
      </c>
      <c r="R40" s="15" t="s">
        <v>806</v>
      </c>
      <c r="S40" s="88" t="s">
        <v>807</v>
      </c>
      <c r="T40" s="105"/>
      <c r="U40" s="90"/>
      <c r="V40" s="84"/>
      <c r="W40" s="84"/>
      <c r="X40" s="103">
        <v>299.0</v>
      </c>
      <c r="Y40" s="92">
        <v>45897.0</v>
      </c>
      <c r="Z40" s="93"/>
      <c r="AA40" s="93"/>
      <c r="AB40" s="84"/>
      <c r="AC40" s="84"/>
      <c r="AD40" s="94"/>
      <c r="AE40" s="84"/>
      <c r="AF40" s="84"/>
      <c r="AG40" s="84"/>
      <c r="AH40" s="84"/>
      <c r="AI40" s="84"/>
    </row>
    <row r="41">
      <c r="A41" s="85">
        <v>45884.66640666667</v>
      </c>
      <c r="B41" s="75" t="s">
        <v>1074</v>
      </c>
      <c r="C41" s="75" t="s">
        <v>1075</v>
      </c>
      <c r="D41" s="95">
        <v>5.1986335592E10</v>
      </c>
      <c r="E41" s="95">
        <v>4.0705837E7</v>
      </c>
      <c r="F41" s="95" t="s">
        <v>1076</v>
      </c>
      <c r="G41" s="75" t="s">
        <v>1036</v>
      </c>
      <c r="H41" s="75" t="s">
        <v>1077</v>
      </c>
      <c r="I41" s="75" t="s">
        <v>1078</v>
      </c>
      <c r="J41" s="75" t="s">
        <v>1036</v>
      </c>
      <c r="K41" s="75" t="s">
        <v>813</v>
      </c>
      <c r="L41" s="95" t="s">
        <v>814</v>
      </c>
      <c r="M41" s="13">
        <v>45884.0</v>
      </c>
      <c r="N41" s="15">
        <v>49.0</v>
      </c>
      <c r="O41" s="97">
        <v>200.0</v>
      </c>
      <c r="P41" s="15" t="s">
        <v>805</v>
      </c>
      <c r="R41" s="15" t="s">
        <v>831</v>
      </c>
      <c r="S41" s="88" t="s">
        <v>807</v>
      </c>
      <c r="T41" s="105"/>
      <c r="U41" s="90"/>
      <c r="V41" s="84"/>
      <c r="W41" s="84"/>
      <c r="X41" s="103">
        <v>199.0</v>
      </c>
      <c r="Y41" s="92">
        <v>45899.0</v>
      </c>
      <c r="Z41" s="93"/>
      <c r="AA41" s="93"/>
      <c r="AB41" s="84"/>
      <c r="AC41" s="84"/>
      <c r="AD41" s="94"/>
      <c r="AE41" s="84"/>
      <c r="AF41" s="84"/>
      <c r="AG41" s="84"/>
      <c r="AH41" s="84"/>
      <c r="AI41" s="84"/>
    </row>
    <row r="42">
      <c r="A42" s="85">
        <v>45885.518286377315</v>
      </c>
      <c r="B42" s="99" t="s">
        <v>1079</v>
      </c>
      <c r="C42" s="99" t="s">
        <v>1080</v>
      </c>
      <c r="D42" s="98">
        <v>5.1961141308E10</v>
      </c>
      <c r="E42" s="98">
        <v>4.8583069E7</v>
      </c>
      <c r="F42" s="98" t="s">
        <v>1081</v>
      </c>
      <c r="G42" s="99" t="s">
        <v>1082</v>
      </c>
      <c r="H42" s="99" t="s">
        <v>994</v>
      </c>
      <c r="I42" s="99" t="s">
        <v>994</v>
      </c>
      <c r="J42" s="99" t="s">
        <v>905</v>
      </c>
      <c r="K42" s="99" t="s">
        <v>1016</v>
      </c>
      <c r="L42" s="98" t="s">
        <v>848</v>
      </c>
      <c r="M42" s="13">
        <v>45893.0</v>
      </c>
      <c r="N42" s="15">
        <v>31.0</v>
      </c>
      <c r="O42" s="97">
        <v>100.0</v>
      </c>
      <c r="P42" s="15" t="s">
        <v>805</v>
      </c>
      <c r="R42" s="15" t="s">
        <v>1018</v>
      </c>
      <c r="S42" s="88" t="s">
        <v>807</v>
      </c>
      <c r="T42" s="105"/>
      <c r="U42" s="90"/>
      <c r="V42" s="84"/>
      <c r="W42" s="84"/>
      <c r="X42" s="103">
        <v>2300.0</v>
      </c>
      <c r="Y42" s="92">
        <v>45889.0</v>
      </c>
      <c r="Z42" s="93"/>
      <c r="AA42" s="93"/>
      <c r="AB42" s="84"/>
      <c r="AC42" s="84"/>
      <c r="AD42" s="94"/>
      <c r="AE42" s="84"/>
      <c r="AF42" s="84"/>
      <c r="AG42" s="84"/>
      <c r="AH42" s="84"/>
      <c r="AI42" s="84"/>
    </row>
    <row r="43">
      <c r="A43" s="107">
        <v>45885.53793428241</v>
      </c>
      <c r="B43" s="108" t="s">
        <v>1083</v>
      </c>
      <c r="C43" s="84" t="s">
        <v>1084</v>
      </c>
      <c r="D43" s="105">
        <v>5.1964559075E10</v>
      </c>
      <c r="E43" s="105">
        <v>2.07211E7</v>
      </c>
      <c r="F43" s="84" t="s">
        <v>1085</v>
      </c>
      <c r="G43" s="84" t="s">
        <v>1086</v>
      </c>
      <c r="H43" s="84" t="s">
        <v>881</v>
      </c>
      <c r="I43" s="84" t="s">
        <v>881</v>
      </c>
      <c r="J43" s="84" t="s">
        <v>1087</v>
      </c>
      <c r="K43" s="84" t="s">
        <v>1030</v>
      </c>
      <c r="L43" s="84" t="s">
        <v>893</v>
      </c>
      <c r="M43" s="109">
        <v>45889.0</v>
      </c>
      <c r="N43" s="105">
        <v>52.0</v>
      </c>
      <c r="O43" s="97">
        <v>100.0</v>
      </c>
      <c r="P43" s="84" t="s">
        <v>805</v>
      </c>
      <c r="Q43" s="84"/>
      <c r="R43" s="84" t="s">
        <v>1018</v>
      </c>
      <c r="S43" s="88" t="s">
        <v>807</v>
      </c>
      <c r="T43" s="105"/>
      <c r="U43" s="90"/>
      <c r="V43" s="84"/>
      <c r="W43" s="84"/>
      <c r="X43" s="103">
        <v>249.0</v>
      </c>
      <c r="Y43" s="92">
        <v>45899.0</v>
      </c>
      <c r="Z43" s="93"/>
      <c r="AA43" s="93"/>
      <c r="AB43" s="84"/>
      <c r="AC43" s="84"/>
      <c r="AD43" s="94"/>
      <c r="AE43" s="84"/>
      <c r="AF43" s="84"/>
      <c r="AG43" s="84"/>
      <c r="AH43" s="84"/>
      <c r="AI43" s="84"/>
    </row>
    <row r="44">
      <c r="A44" s="107">
        <v>45885.5401550463</v>
      </c>
      <c r="B44" s="108" t="s">
        <v>1088</v>
      </c>
      <c r="C44" s="84" t="s">
        <v>1089</v>
      </c>
      <c r="D44" s="105">
        <v>5.1980556169E10</v>
      </c>
      <c r="E44" s="110" t="s">
        <v>1090</v>
      </c>
      <c r="F44" s="84" t="s">
        <v>1091</v>
      </c>
      <c r="G44" s="84" t="s">
        <v>1092</v>
      </c>
      <c r="H44" s="84" t="s">
        <v>1093</v>
      </c>
      <c r="I44" s="84" t="s">
        <v>30</v>
      </c>
      <c r="J44" s="84" t="s">
        <v>30</v>
      </c>
      <c r="K44" s="84" t="s">
        <v>1094</v>
      </c>
      <c r="L44" s="84" t="s">
        <v>876</v>
      </c>
      <c r="M44" s="109">
        <v>45897.0</v>
      </c>
      <c r="N44" s="105">
        <v>60.0</v>
      </c>
      <c r="O44" s="97">
        <v>250.0</v>
      </c>
      <c r="P44" s="84" t="s">
        <v>805</v>
      </c>
      <c r="Q44" s="84"/>
      <c r="R44" s="84" t="s">
        <v>822</v>
      </c>
      <c r="S44" s="88" t="s">
        <v>807</v>
      </c>
      <c r="T44" s="105"/>
      <c r="U44" s="90"/>
      <c r="V44" s="84"/>
      <c r="W44" s="84"/>
      <c r="X44" s="91">
        <v>229.0</v>
      </c>
      <c r="Y44" s="92">
        <v>45899.0</v>
      </c>
      <c r="Z44" s="93"/>
      <c r="AA44" s="93"/>
      <c r="AB44" s="84"/>
      <c r="AC44" s="84"/>
      <c r="AD44" s="94"/>
      <c r="AE44" s="84"/>
      <c r="AF44" s="84"/>
      <c r="AG44" s="84"/>
      <c r="AH44" s="84"/>
      <c r="AI44" s="84"/>
    </row>
    <row r="45">
      <c r="A45" s="85">
        <v>45887.42644113426</v>
      </c>
      <c r="B45" s="101" t="s">
        <v>1095</v>
      </c>
      <c r="C45" s="101" t="s">
        <v>1096</v>
      </c>
      <c r="D45" s="101">
        <v>5.1931614575E10</v>
      </c>
      <c r="E45" s="101">
        <v>7.7917762E7</v>
      </c>
      <c r="F45" s="101" t="s">
        <v>1097</v>
      </c>
      <c r="G45" s="101" t="s">
        <v>1098</v>
      </c>
      <c r="H45" s="101" t="s">
        <v>1099</v>
      </c>
      <c r="I45" s="101" t="s">
        <v>1100</v>
      </c>
      <c r="J45" s="101" t="s">
        <v>1101</v>
      </c>
      <c r="K45" s="101" t="s">
        <v>1102</v>
      </c>
      <c r="L45" s="101" t="s">
        <v>848</v>
      </c>
      <c r="M45" s="13">
        <v>45893.0</v>
      </c>
      <c r="N45" s="15">
        <v>27.0</v>
      </c>
      <c r="O45" s="97">
        <v>600.0</v>
      </c>
      <c r="P45" s="15" t="s">
        <v>805</v>
      </c>
      <c r="R45" s="15" t="s">
        <v>806</v>
      </c>
      <c r="S45" s="88" t="s">
        <v>807</v>
      </c>
      <c r="T45" s="105"/>
      <c r="U45" s="90"/>
      <c r="V45" s="84"/>
      <c r="W45" s="84"/>
      <c r="X45" s="91">
        <v>700.0</v>
      </c>
      <c r="Y45" s="92">
        <v>45900.0</v>
      </c>
      <c r="Z45" s="103">
        <v>1300.0</v>
      </c>
      <c r="AA45" s="92">
        <v>45918.0</v>
      </c>
      <c r="AB45" s="84"/>
      <c r="AC45" s="84"/>
      <c r="AD45" s="94"/>
      <c r="AE45" s="84"/>
      <c r="AF45" s="84"/>
      <c r="AG45" s="84"/>
      <c r="AH45" s="84"/>
      <c r="AI45" s="84"/>
    </row>
    <row r="46">
      <c r="A46" s="85">
        <v>45887.73050952546</v>
      </c>
      <c r="B46" s="99" t="s">
        <v>1103</v>
      </c>
      <c r="C46" s="99" t="s">
        <v>1104</v>
      </c>
      <c r="D46" s="98">
        <v>5.1979775603E10</v>
      </c>
      <c r="E46" s="98">
        <v>4.510108E7</v>
      </c>
      <c r="F46" s="98" t="s">
        <v>1105</v>
      </c>
      <c r="G46" s="99" t="s">
        <v>1106</v>
      </c>
      <c r="H46" s="99" t="s">
        <v>1107</v>
      </c>
      <c r="I46" s="99" t="s">
        <v>1107</v>
      </c>
      <c r="J46" s="99" t="s">
        <v>1107</v>
      </c>
      <c r="K46" s="99" t="s">
        <v>1108</v>
      </c>
      <c r="L46" s="98" t="s">
        <v>884</v>
      </c>
      <c r="M46" s="13">
        <v>45893.0</v>
      </c>
      <c r="N46" s="15">
        <v>37.0</v>
      </c>
      <c r="O46" s="97">
        <v>100.0</v>
      </c>
      <c r="P46" s="15" t="s">
        <v>805</v>
      </c>
      <c r="R46" s="15" t="s">
        <v>822</v>
      </c>
      <c r="S46" s="88" t="s">
        <v>807</v>
      </c>
      <c r="T46" s="105"/>
      <c r="U46" s="90"/>
      <c r="V46" s="84"/>
      <c r="W46" s="84"/>
      <c r="X46" s="91">
        <v>299.0</v>
      </c>
      <c r="Y46" s="92">
        <v>45893.0</v>
      </c>
      <c r="Z46" s="93"/>
      <c r="AA46" s="93"/>
      <c r="AB46" s="84"/>
      <c r="AC46" s="84"/>
      <c r="AD46" s="94"/>
      <c r="AE46" s="84"/>
      <c r="AF46" s="84"/>
      <c r="AG46" s="84"/>
      <c r="AH46" s="84"/>
      <c r="AI46" s="84"/>
    </row>
    <row r="47">
      <c r="A47" s="85">
        <v>45887.73854576389</v>
      </c>
      <c r="B47" s="75" t="s">
        <v>1109</v>
      </c>
      <c r="C47" s="75" t="s">
        <v>1110</v>
      </c>
      <c r="D47" s="95">
        <v>5.1951515526E10</v>
      </c>
      <c r="E47" s="95">
        <v>7.0399883E7</v>
      </c>
      <c r="F47" s="95" t="s">
        <v>1111</v>
      </c>
      <c r="G47" s="75" t="s">
        <v>1112</v>
      </c>
      <c r="H47" s="75" t="s">
        <v>1113</v>
      </c>
      <c r="I47" s="75" t="s">
        <v>1114</v>
      </c>
      <c r="J47" s="75" t="s">
        <v>891</v>
      </c>
      <c r="K47" s="75" t="s">
        <v>847</v>
      </c>
      <c r="L47" s="95" t="s">
        <v>804</v>
      </c>
      <c r="M47" s="13">
        <v>45891.0</v>
      </c>
      <c r="N47" s="15">
        <v>34.0</v>
      </c>
      <c r="O47" s="97">
        <v>100.0</v>
      </c>
      <c r="P47" s="15" t="s">
        <v>805</v>
      </c>
      <c r="R47" s="15" t="s">
        <v>831</v>
      </c>
      <c r="S47" s="88" t="s">
        <v>807</v>
      </c>
      <c r="T47" s="105"/>
      <c r="U47" s="90"/>
      <c r="V47" s="84"/>
      <c r="W47" s="84"/>
      <c r="X47" s="91">
        <v>249.0</v>
      </c>
      <c r="Y47" s="92">
        <v>45895.0</v>
      </c>
      <c r="Z47" s="93"/>
      <c r="AA47" s="93"/>
      <c r="AB47" s="84"/>
      <c r="AC47" s="84"/>
      <c r="AD47" s="94"/>
      <c r="AE47" s="84"/>
      <c r="AF47" s="84"/>
      <c r="AG47" s="84"/>
      <c r="AH47" s="84"/>
      <c r="AI47" s="84"/>
    </row>
    <row r="48">
      <c r="A48" s="85">
        <v>45888.61161724537</v>
      </c>
      <c r="B48" s="95" t="s">
        <v>1115</v>
      </c>
      <c r="C48" s="95" t="s">
        <v>1116</v>
      </c>
      <c r="D48" s="95">
        <v>5.1958324036E10</v>
      </c>
      <c r="E48" s="96">
        <v>4.4117916E7</v>
      </c>
      <c r="F48" s="95" t="s">
        <v>1117</v>
      </c>
      <c r="G48" s="75" t="s">
        <v>1118</v>
      </c>
      <c r="H48" s="75" t="s">
        <v>891</v>
      </c>
      <c r="I48" s="75" t="s">
        <v>891</v>
      </c>
      <c r="J48" s="75" t="s">
        <v>891</v>
      </c>
      <c r="K48" s="95" t="s">
        <v>1030</v>
      </c>
      <c r="L48" s="95" t="s">
        <v>893</v>
      </c>
      <c r="M48" s="13">
        <v>45889.0</v>
      </c>
      <c r="N48" s="76">
        <v>38.0</v>
      </c>
      <c r="O48" s="97">
        <v>200.0</v>
      </c>
      <c r="P48" s="15" t="s">
        <v>805</v>
      </c>
      <c r="R48" s="15" t="s">
        <v>806</v>
      </c>
      <c r="S48" s="88" t="s">
        <v>807</v>
      </c>
      <c r="T48" s="105"/>
      <c r="U48" s="90"/>
      <c r="V48" s="84"/>
      <c r="W48" s="84"/>
      <c r="X48" s="91">
        <v>250.0</v>
      </c>
      <c r="Y48" s="92">
        <v>45898.0</v>
      </c>
      <c r="Z48" s="93"/>
      <c r="AA48" s="93"/>
      <c r="AB48" s="84"/>
      <c r="AC48" s="84"/>
      <c r="AD48" s="94"/>
      <c r="AE48" s="84"/>
      <c r="AF48" s="84"/>
      <c r="AG48" s="84"/>
      <c r="AH48" s="84"/>
      <c r="AI48" s="84"/>
    </row>
    <row r="49">
      <c r="A49" s="85">
        <v>45888.79486214121</v>
      </c>
      <c r="B49" s="76" t="s">
        <v>1119</v>
      </c>
      <c r="C49" s="76" t="s">
        <v>1120</v>
      </c>
      <c r="D49" s="15">
        <v>5.1994774992E10</v>
      </c>
      <c r="E49" s="15">
        <v>4.2159594E7</v>
      </c>
      <c r="F49" s="15" t="s">
        <v>1121</v>
      </c>
      <c r="G49" s="76" t="s">
        <v>1122</v>
      </c>
      <c r="H49" s="76" t="s">
        <v>1123</v>
      </c>
      <c r="I49" s="76" t="s">
        <v>1124</v>
      </c>
      <c r="J49" s="76" t="s">
        <v>30</v>
      </c>
      <c r="K49" s="76" t="s">
        <v>813</v>
      </c>
      <c r="L49" s="15" t="s">
        <v>830</v>
      </c>
      <c r="M49" s="13">
        <v>45889.0</v>
      </c>
      <c r="N49" s="15">
        <v>42.0</v>
      </c>
      <c r="O49" s="97">
        <v>100.0</v>
      </c>
      <c r="P49" s="15" t="s">
        <v>805</v>
      </c>
      <c r="R49" s="15" t="s">
        <v>831</v>
      </c>
      <c r="S49" s="88" t="s">
        <v>807</v>
      </c>
      <c r="T49" s="105"/>
      <c r="U49" s="90"/>
      <c r="V49" s="84"/>
      <c r="W49" s="84"/>
      <c r="X49" s="103">
        <v>249.0</v>
      </c>
      <c r="Y49" s="92">
        <v>45898.0</v>
      </c>
      <c r="Z49" s="93"/>
      <c r="AA49" s="93"/>
      <c r="AB49" s="84"/>
      <c r="AC49" s="84"/>
      <c r="AD49" s="94"/>
      <c r="AE49" s="84"/>
      <c r="AF49" s="84"/>
      <c r="AG49" s="84"/>
      <c r="AH49" s="84"/>
      <c r="AI49" s="84"/>
    </row>
    <row r="50">
      <c r="A50" s="85">
        <v>45889.31376900463</v>
      </c>
      <c r="B50" s="76" t="s">
        <v>1125</v>
      </c>
      <c r="C50" s="76" t="s">
        <v>1126</v>
      </c>
      <c r="D50" s="15">
        <v>5.1933826063E10</v>
      </c>
      <c r="E50" s="15">
        <v>4.3011802E7</v>
      </c>
      <c r="F50" s="15" t="s">
        <v>1127</v>
      </c>
      <c r="G50" s="76" t="s">
        <v>1128</v>
      </c>
      <c r="H50" s="76" t="s">
        <v>1129</v>
      </c>
      <c r="I50" s="76" t="s">
        <v>1130</v>
      </c>
      <c r="J50" s="76" t="s">
        <v>1131</v>
      </c>
      <c r="K50" s="76" t="s">
        <v>1132</v>
      </c>
      <c r="L50" s="15" t="s">
        <v>804</v>
      </c>
      <c r="M50" s="13">
        <v>45891.0</v>
      </c>
      <c r="N50" s="15">
        <v>40.0</v>
      </c>
      <c r="O50" s="97">
        <v>150.0</v>
      </c>
      <c r="P50" s="15" t="s">
        <v>805</v>
      </c>
      <c r="R50" s="15" t="s">
        <v>815</v>
      </c>
      <c r="S50" s="88" t="s">
        <v>807</v>
      </c>
      <c r="T50" s="105"/>
      <c r="U50" s="90"/>
      <c r="V50" s="84"/>
      <c r="W50" s="84"/>
      <c r="X50" s="103">
        <v>150.0</v>
      </c>
      <c r="Y50" s="92">
        <v>45899.0</v>
      </c>
      <c r="Z50" s="93"/>
      <c r="AA50" s="93"/>
      <c r="AB50" s="84"/>
      <c r="AC50" s="84"/>
      <c r="AD50" s="94"/>
      <c r="AE50" s="84"/>
      <c r="AF50" s="84"/>
      <c r="AG50" s="84"/>
      <c r="AH50" s="84"/>
      <c r="AI50" s="84"/>
    </row>
    <row r="51">
      <c r="A51" s="85">
        <v>45889.33579625</v>
      </c>
      <c r="B51" s="76" t="s">
        <v>1133</v>
      </c>
      <c r="C51" s="76" t="s">
        <v>1134</v>
      </c>
      <c r="D51" s="15">
        <v>5.193603973E10</v>
      </c>
      <c r="E51" s="15">
        <v>4.5834313E7</v>
      </c>
      <c r="F51" s="15" t="s">
        <v>1135</v>
      </c>
      <c r="G51" s="76" t="s">
        <v>1136</v>
      </c>
      <c r="H51" s="76" t="s">
        <v>713</v>
      </c>
      <c r="I51" s="76" t="s">
        <v>1130</v>
      </c>
      <c r="J51" s="76" t="s">
        <v>1130</v>
      </c>
      <c r="K51" s="76" t="s">
        <v>1137</v>
      </c>
      <c r="L51" s="15" t="s">
        <v>804</v>
      </c>
      <c r="M51" s="13">
        <v>45891.0</v>
      </c>
      <c r="N51" s="15">
        <v>36.0</v>
      </c>
      <c r="O51" s="97">
        <v>150.0</v>
      </c>
      <c r="P51" s="15" t="s">
        <v>805</v>
      </c>
      <c r="R51" s="15" t="s">
        <v>815</v>
      </c>
      <c r="S51" s="88" t="s">
        <v>807</v>
      </c>
      <c r="T51" s="105"/>
      <c r="U51" s="90"/>
      <c r="V51" s="84"/>
      <c r="W51" s="84"/>
      <c r="X51" s="103">
        <v>150.0</v>
      </c>
      <c r="Y51" s="92">
        <v>45899.0</v>
      </c>
      <c r="Z51" s="93"/>
      <c r="AA51" s="93"/>
      <c r="AB51" s="84"/>
      <c r="AC51" s="84"/>
      <c r="AD51" s="94"/>
      <c r="AE51" s="84"/>
      <c r="AF51" s="84"/>
      <c r="AG51" s="84"/>
      <c r="AH51" s="84"/>
      <c r="AI51" s="84"/>
    </row>
    <row r="52">
      <c r="A52" s="85">
        <v>45890.51309662037</v>
      </c>
      <c r="B52" s="75" t="s">
        <v>1138</v>
      </c>
      <c r="C52" s="75" t="s">
        <v>1139</v>
      </c>
      <c r="D52" s="95">
        <v>5.1947356735E10</v>
      </c>
      <c r="E52" s="95">
        <v>7.66944E7</v>
      </c>
      <c r="F52" s="95" t="s">
        <v>1140</v>
      </c>
      <c r="G52" s="75" t="s">
        <v>1141</v>
      </c>
      <c r="H52" s="75" t="s">
        <v>1142</v>
      </c>
      <c r="I52" s="75" t="s">
        <v>1143</v>
      </c>
      <c r="J52" s="75" t="s">
        <v>30</v>
      </c>
      <c r="K52" s="75" t="s">
        <v>803</v>
      </c>
      <c r="L52" s="95" t="s">
        <v>804</v>
      </c>
      <c r="M52" s="13">
        <v>45891.0</v>
      </c>
      <c r="N52" s="15">
        <v>25.0</v>
      </c>
      <c r="O52" s="97">
        <v>200.0</v>
      </c>
      <c r="P52" s="15" t="s">
        <v>920</v>
      </c>
      <c r="Q52" s="15">
        <v>2.0571509556E10</v>
      </c>
      <c r="R52" s="15" t="s">
        <v>1018</v>
      </c>
      <c r="S52" s="88" t="s">
        <v>807</v>
      </c>
      <c r="T52" s="105"/>
      <c r="U52" s="90"/>
      <c r="V52" s="84"/>
      <c r="W52" s="84"/>
      <c r="X52" s="103">
        <v>149.0</v>
      </c>
      <c r="Y52" s="92">
        <v>45891.0</v>
      </c>
      <c r="Z52" s="93"/>
      <c r="AA52" s="93"/>
      <c r="AB52" s="84"/>
      <c r="AC52" s="84"/>
      <c r="AD52" s="94"/>
      <c r="AE52" s="84"/>
      <c r="AF52" s="84"/>
      <c r="AG52" s="84"/>
      <c r="AH52" s="84"/>
      <c r="AI52" s="84"/>
    </row>
    <row r="53">
      <c r="A53" s="107">
        <v>45891.52632253472</v>
      </c>
      <c r="B53" s="108" t="s">
        <v>1144</v>
      </c>
      <c r="C53" s="108" t="s">
        <v>1145</v>
      </c>
      <c r="D53" s="111">
        <v>5.199586719E10</v>
      </c>
      <c r="E53" s="111">
        <v>2.1490021E7</v>
      </c>
      <c r="F53" s="108" t="s">
        <v>1146</v>
      </c>
      <c r="G53" s="108" t="s">
        <v>1147</v>
      </c>
      <c r="H53" s="108" t="s">
        <v>1148</v>
      </c>
      <c r="I53" s="108" t="s">
        <v>812</v>
      </c>
      <c r="J53" s="108" t="s">
        <v>812</v>
      </c>
      <c r="K53" s="108" t="s">
        <v>813</v>
      </c>
      <c r="L53" s="108" t="s">
        <v>830</v>
      </c>
      <c r="M53" s="109">
        <v>45890.0</v>
      </c>
      <c r="N53" s="105">
        <v>59.0</v>
      </c>
      <c r="O53" s="97">
        <v>150.0</v>
      </c>
      <c r="P53" s="84" t="s">
        <v>805</v>
      </c>
      <c r="Q53" s="84"/>
      <c r="R53" s="84" t="s">
        <v>831</v>
      </c>
      <c r="S53" s="88" t="s">
        <v>807</v>
      </c>
      <c r="T53" s="105"/>
      <c r="U53" s="90"/>
      <c r="V53" s="84"/>
      <c r="W53" s="84"/>
      <c r="X53" s="103">
        <v>149.0</v>
      </c>
      <c r="Y53" s="92">
        <v>45900.0</v>
      </c>
      <c r="Z53" s="93"/>
      <c r="AA53" s="93"/>
      <c r="AB53" s="84"/>
      <c r="AC53" s="84"/>
      <c r="AD53" s="94"/>
      <c r="AE53" s="84"/>
      <c r="AF53" s="84"/>
      <c r="AG53" s="84"/>
      <c r="AH53" s="84"/>
      <c r="AI53" s="84"/>
    </row>
    <row r="54">
      <c r="A54" s="107">
        <v>45891.65718917824</v>
      </c>
      <c r="B54" s="84" t="s">
        <v>1149</v>
      </c>
      <c r="C54" s="84" t="s">
        <v>1150</v>
      </c>
      <c r="D54" s="105">
        <v>5.1948997505E10</v>
      </c>
      <c r="E54" s="105">
        <v>4.0033376E7</v>
      </c>
      <c r="F54" s="84" t="s">
        <v>1151</v>
      </c>
      <c r="G54" s="84" t="s">
        <v>1152</v>
      </c>
      <c r="H54" s="84" t="s">
        <v>1152</v>
      </c>
      <c r="I54" s="84" t="s">
        <v>1152</v>
      </c>
      <c r="J54" s="84" t="s">
        <v>1153</v>
      </c>
      <c r="K54" s="84" t="s">
        <v>1154</v>
      </c>
      <c r="L54" s="84" t="s">
        <v>893</v>
      </c>
      <c r="M54" s="109">
        <v>45896.0</v>
      </c>
      <c r="N54" s="105">
        <v>48.0</v>
      </c>
      <c r="O54" s="97">
        <v>200.0</v>
      </c>
      <c r="P54" s="84" t="s">
        <v>805</v>
      </c>
      <c r="Q54" s="84"/>
      <c r="R54" s="84" t="s">
        <v>815</v>
      </c>
      <c r="S54" s="88" t="s">
        <v>807</v>
      </c>
      <c r="T54" s="105"/>
      <c r="U54" s="90"/>
      <c r="V54" s="84"/>
      <c r="W54" s="84"/>
      <c r="X54" s="91">
        <v>200.0</v>
      </c>
      <c r="Y54" s="92">
        <v>45896.0</v>
      </c>
      <c r="Z54" s="91">
        <v>99.0</v>
      </c>
      <c r="AA54" s="92">
        <v>45899.0</v>
      </c>
      <c r="AB54" s="84"/>
      <c r="AC54" s="84"/>
      <c r="AD54" s="94"/>
      <c r="AE54" s="84"/>
      <c r="AF54" s="84"/>
      <c r="AG54" s="84"/>
      <c r="AH54" s="84"/>
      <c r="AI54" s="84"/>
    </row>
    <row r="55">
      <c r="A55" s="85">
        <v>45892.55787480324</v>
      </c>
      <c r="B55" s="76" t="s">
        <v>1155</v>
      </c>
      <c r="C55" s="76" t="s">
        <v>1156</v>
      </c>
      <c r="D55" s="15">
        <v>5.1992728971E10</v>
      </c>
      <c r="E55" s="15">
        <v>4.6327185E7</v>
      </c>
      <c r="F55" s="15" t="s">
        <v>1157</v>
      </c>
      <c r="G55" s="76" t="s">
        <v>1158</v>
      </c>
      <c r="H55" s="76" t="s">
        <v>1159</v>
      </c>
      <c r="I55" s="76" t="s">
        <v>30</v>
      </c>
      <c r="J55" s="76" t="s">
        <v>30</v>
      </c>
      <c r="K55" s="76" t="s">
        <v>1160</v>
      </c>
      <c r="L55" s="15" t="s">
        <v>848</v>
      </c>
      <c r="M55" s="13">
        <v>45893.0</v>
      </c>
      <c r="N55" s="15">
        <v>36.0</v>
      </c>
      <c r="O55" s="97">
        <v>900.0</v>
      </c>
      <c r="P55" s="15" t="s">
        <v>920</v>
      </c>
      <c r="Q55" s="15">
        <v>1.0463271858E10</v>
      </c>
      <c r="R55" s="15" t="s">
        <v>988</v>
      </c>
      <c r="S55" s="88" t="s">
        <v>807</v>
      </c>
      <c r="T55" s="105"/>
      <c r="U55" s="90"/>
      <c r="V55" s="84"/>
      <c r="W55" s="84"/>
      <c r="X55" s="112">
        <v>900.0</v>
      </c>
      <c r="Y55" s="92">
        <v>45925.0</v>
      </c>
      <c r="Z55" s="112">
        <v>900.0</v>
      </c>
      <c r="AA55" s="92">
        <v>45955.0</v>
      </c>
      <c r="AB55" s="84"/>
      <c r="AC55" s="84"/>
      <c r="AD55" s="94"/>
      <c r="AE55" s="84"/>
      <c r="AF55" s="84"/>
      <c r="AG55" s="84"/>
      <c r="AH55" s="84"/>
      <c r="AI55" s="84"/>
    </row>
    <row r="56">
      <c r="A56" s="85">
        <v>45892.559048055555</v>
      </c>
      <c r="B56" s="76" t="s">
        <v>1161</v>
      </c>
      <c r="C56" s="76" t="s">
        <v>1162</v>
      </c>
      <c r="D56" s="15">
        <v>5.1922209621E10</v>
      </c>
      <c r="E56" s="15">
        <v>7.0924013E7</v>
      </c>
      <c r="F56" s="15" t="s">
        <v>1163</v>
      </c>
      <c r="G56" s="76" t="s">
        <v>1158</v>
      </c>
      <c r="H56" s="76" t="s">
        <v>1159</v>
      </c>
      <c r="I56" s="76" t="s">
        <v>30</v>
      </c>
      <c r="J56" s="76" t="s">
        <v>30</v>
      </c>
      <c r="K56" s="76" t="s">
        <v>1164</v>
      </c>
      <c r="L56" s="15" t="s">
        <v>848</v>
      </c>
      <c r="M56" s="13">
        <v>45893.0</v>
      </c>
      <c r="N56" s="15">
        <v>30.0</v>
      </c>
      <c r="O56" s="97">
        <v>900.0</v>
      </c>
      <c r="P56" s="15" t="s">
        <v>805</v>
      </c>
      <c r="R56" s="15" t="s">
        <v>988</v>
      </c>
      <c r="S56" s="88" t="s">
        <v>807</v>
      </c>
      <c r="T56" s="105"/>
      <c r="U56" s="90"/>
      <c r="V56" s="84"/>
      <c r="W56" s="84"/>
      <c r="X56" s="112">
        <v>900.0</v>
      </c>
      <c r="Y56" s="92">
        <v>45925.0</v>
      </c>
      <c r="Z56" s="112">
        <v>900.0</v>
      </c>
      <c r="AA56" s="92">
        <v>45955.0</v>
      </c>
      <c r="AB56" s="84"/>
      <c r="AC56" s="84"/>
      <c r="AD56" s="94"/>
      <c r="AE56" s="84"/>
      <c r="AF56" s="84"/>
      <c r="AG56" s="84"/>
      <c r="AH56" s="84"/>
      <c r="AI56" s="84"/>
    </row>
    <row r="57">
      <c r="A57" s="85">
        <v>45892.64677283565</v>
      </c>
      <c r="B57" s="100" t="s">
        <v>1165</v>
      </c>
      <c r="C57" s="100" t="s">
        <v>1166</v>
      </c>
      <c r="D57" s="101">
        <v>5.1986151308E10</v>
      </c>
      <c r="E57" s="101">
        <v>7.1561708E7</v>
      </c>
      <c r="F57" s="101" t="s">
        <v>1167</v>
      </c>
      <c r="G57" s="100" t="s">
        <v>1168</v>
      </c>
      <c r="H57" s="100" t="s">
        <v>1169</v>
      </c>
      <c r="I57" s="100" t="s">
        <v>1170</v>
      </c>
      <c r="J57" s="100" t="s">
        <v>1171</v>
      </c>
      <c r="K57" s="100" t="s">
        <v>1172</v>
      </c>
      <c r="L57" s="101" t="s">
        <v>884</v>
      </c>
      <c r="M57" s="13">
        <v>45893.0</v>
      </c>
      <c r="N57" s="15">
        <v>24.0</v>
      </c>
      <c r="O57" s="97">
        <v>200.0</v>
      </c>
      <c r="P57" s="15" t="s">
        <v>805</v>
      </c>
      <c r="R57" s="15" t="s">
        <v>822</v>
      </c>
      <c r="S57" s="88" t="s">
        <v>807</v>
      </c>
      <c r="T57" s="105"/>
      <c r="U57" s="90"/>
      <c r="V57" s="84"/>
      <c r="W57" s="84"/>
      <c r="X57" s="97">
        <v>249.99</v>
      </c>
      <c r="Y57" s="92">
        <v>45900.0</v>
      </c>
      <c r="Z57" s="93"/>
      <c r="AA57" s="93"/>
      <c r="AB57" s="84"/>
      <c r="AC57" s="84"/>
      <c r="AD57" s="94"/>
      <c r="AE57" s="84"/>
      <c r="AF57" s="84"/>
      <c r="AG57" s="84"/>
      <c r="AH57" s="84"/>
      <c r="AI57" s="84"/>
    </row>
    <row r="58">
      <c r="A58" s="85">
        <v>45892.75099537037</v>
      </c>
      <c r="B58" s="75" t="s">
        <v>1173</v>
      </c>
      <c r="C58" s="95" t="s">
        <v>1174</v>
      </c>
      <c r="D58" s="95">
        <v>5.1976361853E10</v>
      </c>
      <c r="E58" s="95">
        <v>2.6688474E7</v>
      </c>
      <c r="F58" s="95" t="s">
        <v>1175</v>
      </c>
      <c r="G58" s="75" t="s">
        <v>1176</v>
      </c>
      <c r="H58" s="75" t="s">
        <v>1177</v>
      </c>
      <c r="I58" s="75" t="s">
        <v>1177</v>
      </c>
      <c r="J58" s="75" t="s">
        <v>1171</v>
      </c>
      <c r="K58" s="75" t="s">
        <v>813</v>
      </c>
      <c r="L58" s="95" t="s">
        <v>830</v>
      </c>
      <c r="M58" s="13">
        <v>45889.0</v>
      </c>
      <c r="N58" s="15">
        <v>56.0</v>
      </c>
      <c r="O58" s="97">
        <v>170.0</v>
      </c>
      <c r="P58" s="15" t="s">
        <v>805</v>
      </c>
      <c r="R58" s="15" t="s">
        <v>831</v>
      </c>
      <c r="S58" s="88" t="s">
        <v>807</v>
      </c>
      <c r="T58" s="105"/>
      <c r="U58" s="90"/>
      <c r="V58" s="84"/>
      <c r="W58" s="84"/>
      <c r="X58" s="112">
        <v>179.0</v>
      </c>
      <c r="Y58" s="92">
        <v>45898.0</v>
      </c>
      <c r="Z58" s="93"/>
      <c r="AA58" s="93"/>
      <c r="AB58" s="84"/>
      <c r="AC58" s="84"/>
      <c r="AD58" s="94"/>
      <c r="AE58" s="84"/>
      <c r="AF58" s="84"/>
      <c r="AG58" s="84"/>
      <c r="AH58" s="84"/>
      <c r="AI58" s="84"/>
    </row>
    <row r="59">
      <c r="A59" s="85">
        <v>45894.71357620371</v>
      </c>
      <c r="B59" s="101" t="s">
        <v>1178</v>
      </c>
      <c r="C59" s="101" t="s">
        <v>1179</v>
      </c>
      <c r="D59" s="101">
        <v>5.1989161402E10</v>
      </c>
      <c r="E59" s="101">
        <v>4.7445367E7</v>
      </c>
      <c r="F59" s="101" t="s">
        <v>1180</v>
      </c>
      <c r="G59" s="100" t="s">
        <v>1181</v>
      </c>
      <c r="H59" s="101" t="s">
        <v>1182</v>
      </c>
      <c r="I59" s="101" t="s">
        <v>1183</v>
      </c>
      <c r="J59" s="101" t="s">
        <v>1184</v>
      </c>
      <c r="K59" s="101" t="s">
        <v>813</v>
      </c>
      <c r="L59" s="101" t="s">
        <v>830</v>
      </c>
      <c r="M59" s="13">
        <v>45903.0</v>
      </c>
      <c r="N59" s="15">
        <v>33.0</v>
      </c>
      <c r="O59" s="97">
        <v>150.0</v>
      </c>
      <c r="P59" s="15" t="s">
        <v>920</v>
      </c>
      <c r="Q59" s="15">
        <v>1.0474453672E10</v>
      </c>
      <c r="R59" s="15" t="s">
        <v>831</v>
      </c>
      <c r="S59" s="88" t="s">
        <v>807</v>
      </c>
      <c r="T59" s="105"/>
      <c r="U59" s="90"/>
      <c r="V59" s="84"/>
      <c r="W59" s="84"/>
      <c r="X59" s="97">
        <v>199.0</v>
      </c>
      <c r="Y59" s="92">
        <v>45898.0</v>
      </c>
      <c r="Z59" s="93"/>
      <c r="AA59" s="93"/>
      <c r="AB59" s="84"/>
      <c r="AC59" s="84"/>
      <c r="AD59" s="94"/>
      <c r="AE59" s="84"/>
      <c r="AF59" s="84"/>
      <c r="AG59" s="84"/>
      <c r="AH59" s="84"/>
      <c r="AI59" s="84"/>
    </row>
    <row r="60">
      <c r="A60" s="85">
        <v>45894.78325217593</v>
      </c>
      <c r="B60" s="76" t="s">
        <v>1185</v>
      </c>
      <c r="C60" s="76" t="s">
        <v>1186</v>
      </c>
      <c r="D60" s="15">
        <v>5.1975923028E10</v>
      </c>
      <c r="E60" s="15">
        <v>4.6898371E7</v>
      </c>
      <c r="F60" s="15" t="s">
        <v>1187</v>
      </c>
      <c r="G60" s="76" t="s">
        <v>1188</v>
      </c>
      <c r="H60" s="76" t="s">
        <v>1189</v>
      </c>
      <c r="I60" s="76" t="s">
        <v>881</v>
      </c>
      <c r="J60" s="76" t="s">
        <v>882</v>
      </c>
      <c r="K60" s="76" t="s">
        <v>1190</v>
      </c>
      <c r="L60" s="15" t="s">
        <v>804</v>
      </c>
      <c r="M60" s="13"/>
      <c r="N60" s="15">
        <v>34.0</v>
      </c>
      <c r="O60" s="97">
        <v>174.5</v>
      </c>
      <c r="P60" s="15" t="s">
        <v>805</v>
      </c>
      <c r="R60" s="15" t="s">
        <v>831</v>
      </c>
      <c r="S60" s="88" t="s">
        <v>807</v>
      </c>
      <c r="T60" s="105"/>
      <c r="U60" s="90"/>
      <c r="V60" s="84"/>
      <c r="W60" s="84"/>
      <c r="X60" s="112">
        <v>174.5</v>
      </c>
      <c r="Y60" s="92">
        <v>45899.0</v>
      </c>
      <c r="Z60" s="93"/>
      <c r="AA60" s="93"/>
      <c r="AB60" s="84"/>
      <c r="AC60" s="84"/>
      <c r="AD60" s="94"/>
      <c r="AE60" s="84"/>
      <c r="AF60" s="84"/>
      <c r="AG60" s="84"/>
      <c r="AH60" s="84"/>
      <c r="AI60" s="84"/>
    </row>
    <row r="61">
      <c r="A61" s="85">
        <v>45896.499122442125</v>
      </c>
      <c r="B61" s="76" t="s">
        <v>631</v>
      </c>
      <c r="C61" s="76" t="s">
        <v>1191</v>
      </c>
      <c r="D61" s="15">
        <v>5.19148252E10</v>
      </c>
      <c r="E61" s="15">
        <v>4.254282E7</v>
      </c>
      <c r="F61" s="15" t="s">
        <v>1192</v>
      </c>
      <c r="G61" s="76" t="s">
        <v>1193</v>
      </c>
      <c r="H61" s="76" t="s">
        <v>1194</v>
      </c>
      <c r="I61" s="76" t="s">
        <v>1195</v>
      </c>
      <c r="J61" s="76" t="s">
        <v>867</v>
      </c>
      <c r="K61" s="76" t="s">
        <v>821</v>
      </c>
      <c r="L61" s="15" t="s">
        <v>830</v>
      </c>
      <c r="M61" s="13">
        <v>45903.0</v>
      </c>
      <c r="N61" s="15">
        <v>40.0</v>
      </c>
      <c r="O61" s="97">
        <v>200.0</v>
      </c>
      <c r="P61" s="15" t="s">
        <v>805</v>
      </c>
      <c r="R61" s="15" t="s">
        <v>831</v>
      </c>
      <c r="S61" s="88" t="s">
        <v>807</v>
      </c>
      <c r="T61" s="105"/>
      <c r="U61" s="90"/>
      <c r="V61" s="84"/>
      <c r="W61" s="84"/>
      <c r="X61" s="112">
        <v>149.0</v>
      </c>
      <c r="Y61" s="92">
        <v>45902.0</v>
      </c>
      <c r="Z61" s="93"/>
      <c r="AA61" s="93"/>
      <c r="AB61" s="84"/>
      <c r="AC61" s="84"/>
      <c r="AD61" s="94"/>
      <c r="AE61" s="84"/>
      <c r="AF61" s="84"/>
      <c r="AG61" s="84"/>
      <c r="AH61" s="84"/>
      <c r="AI61" s="84"/>
    </row>
    <row r="62">
      <c r="A62" s="85">
        <v>45896.71377173611</v>
      </c>
      <c r="B62" s="75" t="s">
        <v>1196</v>
      </c>
      <c r="C62" s="75" t="s">
        <v>1197</v>
      </c>
      <c r="D62" s="95">
        <v>5.1942272567E10</v>
      </c>
      <c r="E62" s="95">
        <v>2.3929147E7</v>
      </c>
      <c r="F62" s="95" t="s">
        <v>1198</v>
      </c>
      <c r="G62" s="75" t="s">
        <v>1199</v>
      </c>
      <c r="H62" s="75" t="s">
        <v>1200</v>
      </c>
      <c r="I62" s="75" t="s">
        <v>30</v>
      </c>
      <c r="J62" s="75" t="s">
        <v>30</v>
      </c>
      <c r="K62" s="75" t="s">
        <v>1201</v>
      </c>
      <c r="L62" s="95" t="s">
        <v>893</v>
      </c>
      <c r="M62" s="13">
        <v>45896.0</v>
      </c>
      <c r="N62" s="15">
        <v>54.0</v>
      </c>
      <c r="O62" s="97">
        <v>200.0</v>
      </c>
      <c r="P62" s="15" t="s">
        <v>805</v>
      </c>
      <c r="R62" s="15" t="s">
        <v>815</v>
      </c>
      <c r="S62" s="88" t="s">
        <v>807</v>
      </c>
      <c r="T62" s="105"/>
      <c r="U62" s="90"/>
      <c r="V62" s="84"/>
      <c r="W62" s="84"/>
      <c r="X62" s="112">
        <v>179.0</v>
      </c>
      <c r="Y62" s="92">
        <v>45906.0</v>
      </c>
      <c r="Z62" s="93"/>
      <c r="AA62" s="93"/>
      <c r="AB62" s="84"/>
      <c r="AC62" s="84"/>
      <c r="AD62" s="94"/>
      <c r="AE62" s="84"/>
      <c r="AF62" s="84"/>
      <c r="AG62" s="84"/>
      <c r="AH62" s="84"/>
      <c r="AI62" s="84"/>
    </row>
    <row r="63">
      <c r="A63" s="85">
        <v>45896.744214375</v>
      </c>
      <c r="B63" s="76" t="s">
        <v>1202</v>
      </c>
      <c r="C63" s="76" t="s">
        <v>1203</v>
      </c>
      <c r="D63" s="15">
        <v>5.1918775272E10</v>
      </c>
      <c r="E63" s="15">
        <v>7.0019633E7</v>
      </c>
      <c r="F63" s="15" t="s">
        <v>1204</v>
      </c>
      <c r="G63" s="76" t="s">
        <v>1205</v>
      </c>
      <c r="H63" s="76" t="s">
        <v>1206</v>
      </c>
      <c r="I63" s="76" t="s">
        <v>845</v>
      </c>
      <c r="J63" s="76" t="s">
        <v>846</v>
      </c>
      <c r="K63" s="76" t="s">
        <v>1207</v>
      </c>
      <c r="L63" s="15" t="s">
        <v>848</v>
      </c>
      <c r="M63" s="13">
        <v>45907.0</v>
      </c>
      <c r="N63" s="15">
        <v>35.0</v>
      </c>
      <c r="O63" s="97">
        <v>1200.0</v>
      </c>
      <c r="P63" s="15" t="s">
        <v>805</v>
      </c>
      <c r="R63" s="15" t="s">
        <v>822</v>
      </c>
      <c r="S63" s="88" t="s">
        <v>807</v>
      </c>
      <c r="T63" s="105"/>
      <c r="U63" s="90"/>
      <c r="V63" s="84"/>
      <c r="W63" s="84"/>
      <c r="X63" s="112">
        <v>1200.0</v>
      </c>
      <c r="Y63" s="92">
        <v>45915.0</v>
      </c>
      <c r="Z63" s="93"/>
      <c r="AA63" s="93"/>
      <c r="AB63" s="84"/>
      <c r="AC63" s="84"/>
      <c r="AD63" s="94"/>
      <c r="AE63" s="84"/>
      <c r="AF63" s="84"/>
      <c r="AG63" s="84"/>
      <c r="AH63" s="84"/>
      <c r="AI63" s="84"/>
    </row>
    <row r="64">
      <c r="A64" s="85">
        <v>45896.756915000005</v>
      </c>
      <c r="B64" s="15" t="s">
        <v>1208</v>
      </c>
      <c r="C64" s="15" t="s">
        <v>1209</v>
      </c>
      <c r="D64" s="15">
        <v>5.1981692989E10</v>
      </c>
      <c r="E64" s="15">
        <v>4.0953259E7</v>
      </c>
      <c r="F64" s="15" t="s">
        <v>1210</v>
      </c>
      <c r="G64" s="76" t="s">
        <v>1211</v>
      </c>
      <c r="H64" s="76" t="s">
        <v>844</v>
      </c>
      <c r="I64" s="76" t="s">
        <v>845</v>
      </c>
      <c r="J64" s="76" t="s">
        <v>846</v>
      </c>
      <c r="K64" s="76" t="s">
        <v>1207</v>
      </c>
      <c r="L64" s="15" t="s">
        <v>1212</v>
      </c>
      <c r="M64" s="13">
        <v>45897.0</v>
      </c>
      <c r="N64" s="15">
        <v>43.0</v>
      </c>
      <c r="O64" s="97">
        <v>280.0</v>
      </c>
      <c r="P64" s="15" t="s">
        <v>805</v>
      </c>
      <c r="R64" s="15" t="s">
        <v>806</v>
      </c>
      <c r="S64" s="88" t="s">
        <v>807</v>
      </c>
      <c r="T64" s="105"/>
      <c r="U64" s="90"/>
      <c r="V64" s="84"/>
      <c r="W64" s="84"/>
      <c r="X64" s="112">
        <v>269.0</v>
      </c>
      <c r="Y64" s="92">
        <v>45918.0</v>
      </c>
      <c r="Z64" s="93"/>
      <c r="AA64" s="93"/>
      <c r="AB64" s="84"/>
      <c r="AC64" s="84"/>
      <c r="AD64" s="94"/>
      <c r="AE64" s="84"/>
      <c r="AF64" s="84"/>
      <c r="AG64" s="84"/>
      <c r="AH64" s="84"/>
      <c r="AI64" s="84"/>
    </row>
    <row r="65">
      <c r="A65" s="85">
        <v>45896.78489425926</v>
      </c>
      <c r="B65" s="76" t="s">
        <v>1213</v>
      </c>
      <c r="C65" s="76" t="s">
        <v>1214</v>
      </c>
      <c r="D65" s="15">
        <v>5.195127529E10</v>
      </c>
      <c r="E65" s="15">
        <v>7.0041186E7</v>
      </c>
      <c r="F65" s="15" t="s">
        <v>1215</v>
      </c>
      <c r="G65" s="76" t="s">
        <v>1216</v>
      </c>
      <c r="H65" s="76" t="s">
        <v>1217</v>
      </c>
      <c r="I65" s="76" t="s">
        <v>1218</v>
      </c>
      <c r="J65" s="76" t="s">
        <v>867</v>
      </c>
      <c r="K65" s="76" t="s">
        <v>1219</v>
      </c>
      <c r="L65" s="15" t="s">
        <v>814</v>
      </c>
      <c r="M65" s="13">
        <v>45900.0</v>
      </c>
      <c r="N65" s="15">
        <v>29.0</v>
      </c>
      <c r="O65" s="97">
        <v>200.0</v>
      </c>
      <c r="P65" s="15" t="s">
        <v>805</v>
      </c>
      <c r="R65" s="15" t="s">
        <v>831</v>
      </c>
      <c r="S65" s="88" t="s">
        <v>807</v>
      </c>
      <c r="T65" s="105"/>
      <c r="U65" s="90"/>
      <c r="V65" s="84"/>
      <c r="W65" s="84"/>
      <c r="X65" s="112">
        <v>199.0</v>
      </c>
      <c r="Y65" s="92">
        <v>45900.0</v>
      </c>
      <c r="Z65" s="93"/>
      <c r="AA65" s="93"/>
      <c r="AB65" s="84"/>
      <c r="AC65" s="84"/>
      <c r="AD65" s="94"/>
      <c r="AE65" s="84"/>
      <c r="AF65" s="84"/>
      <c r="AG65" s="84"/>
      <c r="AH65" s="84"/>
      <c r="AI65" s="84"/>
    </row>
    <row r="66">
      <c r="A66" s="85">
        <v>45897.42920221065</v>
      </c>
      <c r="B66" s="99" t="s">
        <v>1220</v>
      </c>
      <c r="C66" s="99" t="s">
        <v>1221</v>
      </c>
      <c r="D66" s="98">
        <v>5.1937352283E10</v>
      </c>
      <c r="E66" s="98">
        <v>4.3778179E7</v>
      </c>
      <c r="F66" s="98" t="s">
        <v>1222</v>
      </c>
      <c r="G66" s="99" t="s">
        <v>1223</v>
      </c>
      <c r="H66" s="99" t="s">
        <v>1224</v>
      </c>
      <c r="I66" s="99" t="s">
        <v>1225</v>
      </c>
      <c r="J66" s="99" t="s">
        <v>1226</v>
      </c>
      <c r="K66" s="99" t="s">
        <v>1227</v>
      </c>
      <c r="L66" s="98" t="s">
        <v>848</v>
      </c>
      <c r="M66" s="13">
        <v>45907.0</v>
      </c>
      <c r="N66" s="15">
        <v>39.0</v>
      </c>
      <c r="O66" s="97">
        <v>250.0</v>
      </c>
      <c r="P66" s="15" t="s">
        <v>920</v>
      </c>
      <c r="Q66" s="15">
        <v>2.0606354593E10</v>
      </c>
      <c r="R66" s="15" t="s">
        <v>806</v>
      </c>
      <c r="S66" s="88" t="s">
        <v>807</v>
      </c>
      <c r="T66" s="105"/>
      <c r="U66" s="90"/>
      <c r="V66" s="84"/>
      <c r="W66" s="84"/>
      <c r="X66" s="112">
        <v>2150.0</v>
      </c>
      <c r="Y66" s="92">
        <v>45904.0</v>
      </c>
      <c r="Z66" s="93"/>
      <c r="AA66" s="93"/>
      <c r="AB66" s="84"/>
      <c r="AC66" s="84"/>
      <c r="AD66" s="94"/>
      <c r="AE66" s="84"/>
      <c r="AF66" s="84"/>
      <c r="AG66" s="84"/>
      <c r="AH66" s="84"/>
      <c r="AI66" s="84"/>
    </row>
    <row r="67">
      <c r="A67" s="85">
        <v>45897.75439028935</v>
      </c>
      <c r="B67" s="99" t="s">
        <v>1228</v>
      </c>
      <c r="C67" s="99" t="s">
        <v>1229</v>
      </c>
      <c r="D67" s="98">
        <v>5.1900577048E10</v>
      </c>
      <c r="E67" s="98">
        <v>3.0493282E7</v>
      </c>
      <c r="F67" s="98" t="s">
        <v>1230</v>
      </c>
      <c r="G67" s="99" t="s">
        <v>1231</v>
      </c>
      <c r="H67" s="99" t="s">
        <v>1232</v>
      </c>
      <c r="I67" s="99" t="s">
        <v>1233</v>
      </c>
      <c r="J67" s="99" t="s">
        <v>1234</v>
      </c>
      <c r="K67" s="99" t="s">
        <v>995</v>
      </c>
      <c r="L67" s="98" t="s">
        <v>848</v>
      </c>
      <c r="M67" s="13">
        <v>45907.0</v>
      </c>
      <c r="N67" s="15">
        <v>62.0</v>
      </c>
      <c r="O67" s="97">
        <v>500.0</v>
      </c>
      <c r="P67" s="15" t="s">
        <v>920</v>
      </c>
      <c r="Q67" s="15">
        <v>1.0304932827E10</v>
      </c>
      <c r="R67" s="15" t="s">
        <v>822</v>
      </c>
      <c r="S67" s="88" t="s">
        <v>807</v>
      </c>
      <c r="T67" s="105"/>
      <c r="U67" s="90"/>
      <c r="V67" s="84"/>
      <c r="W67" s="84"/>
      <c r="X67" s="97">
        <v>1900.0</v>
      </c>
      <c r="Y67" s="92">
        <v>45898.0</v>
      </c>
      <c r="Z67" s="93"/>
      <c r="AA67" s="93"/>
      <c r="AB67" s="84"/>
      <c r="AC67" s="84"/>
      <c r="AD67" s="94"/>
      <c r="AE67" s="84"/>
      <c r="AF67" s="84"/>
      <c r="AG67" s="84"/>
      <c r="AH67" s="84"/>
      <c r="AI67" s="84"/>
    </row>
    <row r="68">
      <c r="A68" s="85">
        <v>45899.5674271875</v>
      </c>
      <c r="B68" s="76" t="s">
        <v>1235</v>
      </c>
      <c r="C68" s="76" t="s">
        <v>1236</v>
      </c>
      <c r="D68" s="15">
        <v>5.1993370627E10</v>
      </c>
      <c r="E68" s="18">
        <v>4.751365E7</v>
      </c>
      <c r="F68" s="15" t="s">
        <v>1237</v>
      </c>
      <c r="G68" s="76" t="s">
        <v>1238</v>
      </c>
      <c r="H68" s="76" t="s">
        <v>1239</v>
      </c>
      <c r="I68" s="76" t="s">
        <v>1240</v>
      </c>
      <c r="J68" s="76" t="s">
        <v>867</v>
      </c>
      <c r="K68" s="76" t="s">
        <v>1241</v>
      </c>
      <c r="L68" s="15" t="s">
        <v>814</v>
      </c>
      <c r="M68" s="13">
        <v>45900.0</v>
      </c>
      <c r="N68" s="15">
        <v>33.0</v>
      </c>
      <c r="O68" s="97">
        <v>200.0</v>
      </c>
      <c r="P68" s="15" t="s">
        <v>805</v>
      </c>
      <c r="R68" s="15" t="s">
        <v>815</v>
      </c>
      <c r="S68" s="88" t="s">
        <v>807</v>
      </c>
      <c r="T68" s="105"/>
      <c r="U68" s="90"/>
      <c r="V68" s="84"/>
      <c r="W68" s="84"/>
      <c r="X68" s="97">
        <v>200.0</v>
      </c>
      <c r="Y68" s="92">
        <v>45908.0</v>
      </c>
      <c r="Z68" s="93"/>
      <c r="AA68" s="93"/>
      <c r="AB68" s="84"/>
      <c r="AC68" s="84"/>
      <c r="AD68" s="94"/>
      <c r="AE68" s="84"/>
      <c r="AF68" s="84"/>
      <c r="AG68" s="84"/>
      <c r="AH68" s="84"/>
      <c r="AI68" s="84"/>
    </row>
    <row r="69">
      <c r="A69" s="113"/>
      <c r="B69" s="84"/>
      <c r="C69" s="84"/>
      <c r="D69" s="105"/>
      <c r="E69" s="105"/>
      <c r="F69" s="84"/>
      <c r="G69" s="84"/>
      <c r="H69" s="84"/>
      <c r="I69" s="84"/>
      <c r="J69" s="84"/>
      <c r="K69" s="84"/>
      <c r="L69" s="84"/>
      <c r="M69" s="105"/>
      <c r="N69" s="105"/>
      <c r="O69" s="105"/>
      <c r="P69" s="84"/>
      <c r="Q69" s="84"/>
      <c r="R69" s="84"/>
      <c r="S69" s="105"/>
      <c r="T69" s="105"/>
      <c r="U69" s="105"/>
      <c r="V69" s="84"/>
      <c r="W69" s="84"/>
      <c r="X69" s="105"/>
      <c r="Y69" s="114"/>
      <c r="Z69" s="93"/>
      <c r="AA69" s="93"/>
      <c r="AB69" s="84"/>
      <c r="AC69" s="84"/>
      <c r="AD69" s="94"/>
      <c r="AE69" s="84"/>
      <c r="AF69" s="84"/>
      <c r="AG69" s="84"/>
      <c r="AH69" s="84"/>
      <c r="AI69" s="84"/>
    </row>
    <row r="70">
      <c r="A70" s="113"/>
      <c r="B70" s="84"/>
      <c r="C70" s="84"/>
      <c r="D70" s="105"/>
      <c r="E70" s="105"/>
      <c r="F70" s="84"/>
      <c r="G70" s="84"/>
      <c r="H70" s="84"/>
      <c r="I70" s="84"/>
      <c r="J70" s="84"/>
      <c r="K70" s="84"/>
      <c r="L70" s="84"/>
      <c r="M70" s="105"/>
      <c r="N70" s="105"/>
      <c r="O70" s="105"/>
      <c r="P70" s="84"/>
      <c r="Q70" s="84"/>
      <c r="R70" s="84"/>
      <c r="S70" s="105"/>
      <c r="T70" s="105"/>
      <c r="U70" s="105"/>
      <c r="V70" s="84"/>
      <c r="W70" s="84"/>
      <c r="X70" s="105"/>
      <c r="Y70" s="114"/>
      <c r="Z70" s="93"/>
      <c r="AA70" s="93"/>
      <c r="AB70" s="84"/>
      <c r="AC70" s="84"/>
      <c r="AD70" s="94"/>
      <c r="AE70" s="84"/>
      <c r="AF70" s="84"/>
      <c r="AG70" s="84"/>
      <c r="AH70" s="84"/>
      <c r="AI70" s="84"/>
    </row>
    <row r="71">
      <c r="A71" s="113"/>
      <c r="B71" s="84"/>
      <c r="C71" s="84"/>
      <c r="D71" s="105"/>
      <c r="E71" s="105"/>
      <c r="F71" s="84"/>
      <c r="G71" s="84"/>
      <c r="H71" s="84"/>
      <c r="I71" s="84"/>
      <c r="J71" s="84"/>
      <c r="K71" s="84"/>
      <c r="L71" s="84"/>
      <c r="M71" s="105"/>
      <c r="N71" s="105"/>
      <c r="O71" s="105"/>
      <c r="P71" s="84"/>
      <c r="Q71" s="84"/>
      <c r="R71" s="84"/>
      <c r="S71" s="105"/>
      <c r="T71" s="105"/>
      <c r="U71" s="105"/>
      <c r="V71" s="84"/>
      <c r="W71" s="84"/>
      <c r="X71" s="105"/>
      <c r="Y71" s="114"/>
      <c r="Z71" s="93"/>
      <c r="AA71" s="93"/>
      <c r="AB71" s="84"/>
      <c r="AC71" s="84"/>
      <c r="AD71" s="94"/>
      <c r="AE71" s="84"/>
      <c r="AF71" s="84"/>
      <c r="AG71" s="84"/>
      <c r="AH71" s="84"/>
      <c r="AI71" s="84"/>
    </row>
    <row r="72">
      <c r="A72" s="113"/>
      <c r="B72" s="84"/>
      <c r="C72" s="84"/>
      <c r="D72" s="105"/>
      <c r="E72" s="105"/>
      <c r="F72" s="84"/>
      <c r="G72" s="84"/>
      <c r="H72" s="84"/>
      <c r="I72" s="84"/>
      <c r="J72" s="84"/>
      <c r="K72" s="84"/>
      <c r="L72" s="84"/>
      <c r="M72" s="105"/>
      <c r="N72" s="105"/>
      <c r="O72" s="105"/>
      <c r="P72" s="84"/>
      <c r="Q72" s="84"/>
      <c r="R72" s="84"/>
      <c r="S72" s="105"/>
      <c r="T72" s="105"/>
      <c r="U72" s="105"/>
      <c r="V72" s="84"/>
      <c r="W72" s="84"/>
      <c r="X72" s="105"/>
      <c r="Y72" s="114"/>
      <c r="Z72" s="93"/>
      <c r="AA72" s="93"/>
      <c r="AB72" s="84"/>
      <c r="AC72" s="84"/>
      <c r="AD72" s="94"/>
      <c r="AE72" s="84"/>
      <c r="AF72" s="84"/>
      <c r="AG72" s="84"/>
      <c r="AH72" s="84"/>
      <c r="AI72" s="84"/>
    </row>
    <row r="73">
      <c r="A73" s="113"/>
      <c r="B73" s="84"/>
      <c r="C73" s="84"/>
      <c r="D73" s="105"/>
      <c r="E73" s="105"/>
      <c r="F73" s="84"/>
      <c r="G73" s="84"/>
      <c r="H73" s="84"/>
      <c r="I73" s="84"/>
      <c r="J73" s="84"/>
      <c r="K73" s="84"/>
      <c r="L73" s="84"/>
      <c r="M73" s="105"/>
      <c r="N73" s="105"/>
      <c r="O73" s="105"/>
      <c r="P73" s="84"/>
      <c r="Q73" s="84"/>
      <c r="R73" s="84"/>
      <c r="S73" s="105"/>
      <c r="T73" s="105"/>
      <c r="U73" s="105"/>
      <c r="V73" s="84"/>
      <c r="W73" s="84"/>
      <c r="X73" s="105"/>
      <c r="Y73" s="114"/>
      <c r="Z73" s="93"/>
      <c r="AA73" s="93"/>
      <c r="AB73" s="84"/>
      <c r="AC73" s="84"/>
      <c r="AD73" s="94"/>
      <c r="AE73" s="84"/>
      <c r="AF73" s="84"/>
      <c r="AG73" s="84"/>
      <c r="AH73" s="84"/>
      <c r="AI73" s="84"/>
    </row>
    <row r="74">
      <c r="A74" s="113"/>
      <c r="B74" s="84"/>
      <c r="C74" s="84"/>
      <c r="D74" s="105"/>
      <c r="E74" s="105"/>
      <c r="F74" s="84"/>
      <c r="G74" s="84"/>
      <c r="H74" s="84"/>
      <c r="I74" s="84"/>
      <c r="J74" s="84"/>
      <c r="K74" s="84"/>
      <c r="L74" s="84"/>
      <c r="M74" s="105"/>
      <c r="N74" s="105"/>
      <c r="O74" s="105"/>
      <c r="P74" s="84"/>
      <c r="Q74" s="84"/>
      <c r="R74" s="84"/>
      <c r="S74" s="105"/>
      <c r="T74" s="105"/>
      <c r="U74" s="105"/>
      <c r="V74" s="84"/>
      <c r="W74" s="84"/>
      <c r="X74" s="105"/>
      <c r="Y74" s="114"/>
      <c r="Z74" s="93"/>
      <c r="AA74" s="93"/>
      <c r="AB74" s="84"/>
      <c r="AC74" s="84"/>
      <c r="AD74" s="94"/>
      <c r="AE74" s="84"/>
      <c r="AF74" s="84"/>
      <c r="AG74" s="84"/>
      <c r="AH74" s="84"/>
      <c r="AI74" s="84"/>
    </row>
    <row r="75">
      <c r="A75" s="113"/>
      <c r="B75" s="84"/>
      <c r="C75" s="84"/>
      <c r="D75" s="105"/>
      <c r="E75" s="105"/>
      <c r="F75" s="84"/>
      <c r="G75" s="84"/>
      <c r="H75" s="84"/>
      <c r="I75" s="84"/>
      <c r="J75" s="84"/>
      <c r="K75" s="84"/>
      <c r="L75" s="84"/>
      <c r="M75" s="105"/>
      <c r="N75" s="105"/>
      <c r="O75" s="105"/>
      <c r="P75" s="84"/>
      <c r="Q75" s="84"/>
      <c r="R75" s="84"/>
      <c r="S75" s="105"/>
      <c r="T75" s="105"/>
      <c r="U75" s="105"/>
      <c r="V75" s="84"/>
      <c r="W75" s="84"/>
      <c r="X75" s="105"/>
      <c r="Y75" s="114"/>
      <c r="Z75" s="93"/>
      <c r="AA75" s="93"/>
      <c r="AB75" s="84"/>
      <c r="AC75" s="84"/>
      <c r="AD75" s="94"/>
      <c r="AE75" s="84"/>
      <c r="AF75" s="84"/>
      <c r="AG75" s="84"/>
      <c r="AH75" s="84"/>
      <c r="AI75" s="84"/>
    </row>
    <row r="76">
      <c r="A76" s="113"/>
      <c r="B76" s="84"/>
      <c r="C76" s="84"/>
      <c r="D76" s="105"/>
      <c r="E76" s="105"/>
      <c r="F76" s="84"/>
      <c r="G76" s="84"/>
      <c r="H76" s="84"/>
      <c r="I76" s="84"/>
      <c r="J76" s="84"/>
      <c r="K76" s="84"/>
      <c r="L76" s="84"/>
      <c r="M76" s="105"/>
      <c r="N76" s="105"/>
      <c r="O76" s="105"/>
      <c r="P76" s="84"/>
      <c r="Q76" s="84"/>
      <c r="R76" s="84"/>
      <c r="S76" s="105"/>
      <c r="T76" s="105"/>
      <c r="U76" s="105"/>
      <c r="V76" s="84"/>
      <c r="W76" s="84"/>
      <c r="X76" s="105"/>
      <c r="Y76" s="114"/>
      <c r="Z76" s="93"/>
      <c r="AA76" s="93"/>
      <c r="AB76" s="84"/>
      <c r="AC76" s="84"/>
      <c r="AD76" s="94"/>
      <c r="AE76" s="84"/>
      <c r="AF76" s="84"/>
      <c r="AG76" s="84"/>
      <c r="AH76" s="84"/>
      <c r="AI76" s="84"/>
    </row>
    <row r="77">
      <c r="A77" s="113"/>
      <c r="B77" s="84"/>
      <c r="C77" s="84"/>
      <c r="D77" s="105"/>
      <c r="E77" s="105"/>
      <c r="F77" s="84"/>
      <c r="G77" s="84"/>
      <c r="H77" s="84"/>
      <c r="I77" s="84"/>
      <c r="J77" s="84"/>
      <c r="K77" s="84"/>
      <c r="L77" s="84"/>
      <c r="M77" s="105"/>
      <c r="N77" s="105"/>
      <c r="O77" s="105"/>
      <c r="P77" s="84"/>
      <c r="Q77" s="84"/>
      <c r="R77" s="84"/>
      <c r="S77" s="105"/>
      <c r="T77" s="105"/>
      <c r="U77" s="105"/>
      <c r="V77" s="84"/>
      <c r="W77" s="84"/>
      <c r="X77" s="105"/>
      <c r="Y77" s="114"/>
      <c r="Z77" s="93"/>
      <c r="AA77" s="93"/>
      <c r="AB77" s="84"/>
      <c r="AC77" s="84"/>
      <c r="AD77" s="94"/>
      <c r="AE77" s="84"/>
      <c r="AF77" s="84"/>
      <c r="AG77" s="84"/>
      <c r="AH77" s="84"/>
      <c r="AI77" s="84"/>
    </row>
    <row r="78">
      <c r="A78" s="113"/>
      <c r="B78" s="84"/>
      <c r="C78" s="84"/>
      <c r="D78" s="105"/>
      <c r="E78" s="105"/>
      <c r="F78" s="84"/>
      <c r="G78" s="84"/>
      <c r="H78" s="84"/>
      <c r="I78" s="84"/>
      <c r="J78" s="84"/>
      <c r="K78" s="84"/>
      <c r="L78" s="84"/>
      <c r="M78" s="105"/>
      <c r="N78" s="105"/>
      <c r="O78" s="105"/>
      <c r="P78" s="84"/>
      <c r="Q78" s="84"/>
      <c r="R78" s="84"/>
      <c r="S78" s="105"/>
      <c r="T78" s="105"/>
      <c r="U78" s="105"/>
      <c r="V78" s="84"/>
      <c r="W78" s="84"/>
      <c r="X78" s="105"/>
      <c r="Y78" s="114"/>
      <c r="Z78" s="93"/>
      <c r="AA78" s="93"/>
      <c r="AB78" s="84"/>
      <c r="AC78" s="84"/>
      <c r="AD78" s="94"/>
      <c r="AE78" s="84"/>
      <c r="AF78" s="84"/>
      <c r="AG78" s="84"/>
      <c r="AH78" s="84"/>
      <c r="AI78" s="84"/>
    </row>
    <row r="79">
      <c r="A79" s="113"/>
      <c r="B79" s="84"/>
      <c r="C79" s="84"/>
      <c r="D79" s="105"/>
      <c r="E79" s="105"/>
      <c r="F79" s="84"/>
      <c r="G79" s="84"/>
      <c r="H79" s="84"/>
      <c r="I79" s="84"/>
      <c r="J79" s="84"/>
      <c r="K79" s="84"/>
      <c r="L79" s="84"/>
      <c r="M79" s="105"/>
      <c r="N79" s="105"/>
      <c r="O79" s="105"/>
      <c r="P79" s="84"/>
      <c r="Q79" s="84"/>
      <c r="R79" s="84"/>
      <c r="S79" s="105"/>
      <c r="T79" s="105"/>
      <c r="U79" s="105"/>
      <c r="V79" s="84"/>
      <c r="W79" s="84"/>
      <c r="X79" s="105"/>
      <c r="Y79" s="114"/>
      <c r="Z79" s="93"/>
      <c r="AA79" s="93"/>
      <c r="AB79" s="84"/>
      <c r="AC79" s="84"/>
      <c r="AD79" s="94"/>
      <c r="AE79" s="84"/>
      <c r="AF79" s="84"/>
      <c r="AG79" s="84"/>
      <c r="AH79" s="84"/>
      <c r="AI79" s="84"/>
    </row>
    <row r="80">
      <c r="A80" s="113">
        <v>45840.7508959375</v>
      </c>
      <c r="B80" s="84" t="s">
        <v>1242</v>
      </c>
      <c r="C80" s="84" t="s">
        <v>1243</v>
      </c>
      <c r="D80" s="105">
        <v>5.197002144E10</v>
      </c>
      <c r="E80" s="105">
        <v>4.2323778E7</v>
      </c>
      <c r="F80" s="84" t="s">
        <v>1244</v>
      </c>
      <c r="G80" s="84" t="s">
        <v>891</v>
      </c>
      <c r="H80" s="84" t="s">
        <v>891</v>
      </c>
      <c r="I80" s="84" t="s">
        <v>891</v>
      </c>
      <c r="J80" s="84" t="s">
        <v>891</v>
      </c>
      <c r="K80" s="84" t="s">
        <v>1154</v>
      </c>
      <c r="L80" s="84" t="s">
        <v>893</v>
      </c>
      <c r="M80" s="109">
        <v>45840.0</v>
      </c>
      <c r="N80" s="105">
        <v>44.0</v>
      </c>
      <c r="O80" s="87">
        <v>250.0</v>
      </c>
      <c r="P80" s="84" t="s">
        <v>805</v>
      </c>
      <c r="Q80" s="84"/>
      <c r="R80" s="84" t="s">
        <v>806</v>
      </c>
      <c r="S80" s="115" t="s">
        <v>807</v>
      </c>
      <c r="T80" s="89"/>
      <c r="U80" s="90"/>
      <c r="V80" s="84"/>
      <c r="W80" s="84"/>
      <c r="X80" s="116">
        <v>200.0</v>
      </c>
      <c r="Y80" s="114">
        <v>45865.0</v>
      </c>
      <c r="Z80" s="93"/>
      <c r="AA80" s="93"/>
      <c r="AB80" s="84"/>
      <c r="AC80" s="84"/>
      <c r="AD80" s="94">
        <f t="shared" ref="AD80:AD109" si="2">O80+X80+Z80+AB80</f>
        <v>450</v>
      </c>
      <c r="AE80" s="84"/>
      <c r="AF80" s="84"/>
      <c r="AG80" s="84"/>
      <c r="AH80" s="84"/>
      <c r="AI80" s="84"/>
    </row>
    <row r="81">
      <c r="A81" s="113">
        <v>45840.78592130787</v>
      </c>
      <c r="B81" s="84" t="s">
        <v>1245</v>
      </c>
      <c r="C81" s="84" t="s">
        <v>1246</v>
      </c>
      <c r="D81" s="105">
        <v>5.1991147136E10</v>
      </c>
      <c r="E81" s="105">
        <v>4.3967782E7</v>
      </c>
      <c r="F81" s="84" t="s">
        <v>1247</v>
      </c>
      <c r="G81" s="84" t="s">
        <v>1248</v>
      </c>
      <c r="H81" s="84" t="s">
        <v>1249</v>
      </c>
      <c r="I81" s="84" t="s">
        <v>1249</v>
      </c>
      <c r="J81" s="84" t="s">
        <v>1250</v>
      </c>
      <c r="K81" s="84" t="s">
        <v>1251</v>
      </c>
      <c r="L81" s="84" t="s">
        <v>893</v>
      </c>
      <c r="M81" s="109">
        <v>45840.0</v>
      </c>
      <c r="N81" s="105">
        <v>39.0</v>
      </c>
      <c r="O81" s="87">
        <v>120.0</v>
      </c>
      <c r="P81" s="84" t="s">
        <v>805</v>
      </c>
      <c r="Q81" s="84"/>
      <c r="R81" s="84" t="s">
        <v>806</v>
      </c>
      <c r="S81" s="115" t="s">
        <v>807</v>
      </c>
      <c r="T81" s="89"/>
      <c r="U81" s="90"/>
      <c r="V81" s="84"/>
      <c r="W81" s="84"/>
      <c r="X81" s="91">
        <v>100.0</v>
      </c>
      <c r="Y81" s="92">
        <v>45877.0</v>
      </c>
      <c r="Z81" s="103">
        <v>179.0</v>
      </c>
      <c r="AA81" s="92">
        <v>45897.0</v>
      </c>
      <c r="AB81" s="84"/>
      <c r="AC81" s="84"/>
      <c r="AD81" s="94">
        <f t="shared" si="2"/>
        <v>399</v>
      </c>
      <c r="AE81" s="84"/>
      <c r="AF81" s="84"/>
      <c r="AG81" s="84"/>
      <c r="AH81" s="84"/>
      <c r="AI81" s="84"/>
    </row>
    <row r="82">
      <c r="A82" s="113">
        <v>45847.79165528935</v>
      </c>
      <c r="B82" s="84" t="s">
        <v>1252</v>
      </c>
      <c r="C82" s="84" t="s">
        <v>1253</v>
      </c>
      <c r="D82" s="105">
        <v>5.1945475703E10</v>
      </c>
      <c r="E82" s="105">
        <v>4.7856159E7</v>
      </c>
      <c r="F82" s="84" t="s">
        <v>1254</v>
      </c>
      <c r="G82" s="84" t="s">
        <v>1255</v>
      </c>
      <c r="H82" s="84" t="s">
        <v>1256</v>
      </c>
      <c r="I82" s="84" t="s">
        <v>1257</v>
      </c>
      <c r="J82" s="84" t="s">
        <v>1258</v>
      </c>
      <c r="K82" s="84" t="s">
        <v>1259</v>
      </c>
      <c r="L82" s="84" t="s">
        <v>876</v>
      </c>
      <c r="M82" s="109">
        <v>45848.0</v>
      </c>
      <c r="N82" s="105">
        <v>30.0</v>
      </c>
      <c r="O82" s="87">
        <v>300.0</v>
      </c>
      <c r="P82" s="84" t="s">
        <v>805</v>
      </c>
      <c r="Q82" s="84"/>
      <c r="R82" s="84" t="s">
        <v>1018</v>
      </c>
      <c r="S82" s="115" t="s">
        <v>807</v>
      </c>
      <c r="T82" s="84"/>
      <c r="U82" s="90"/>
      <c r="V82" s="84"/>
      <c r="W82" s="84"/>
      <c r="X82" s="91">
        <v>199.0</v>
      </c>
      <c r="Y82" s="92">
        <v>45874.0</v>
      </c>
      <c r="Z82" s="93"/>
      <c r="AA82" s="93"/>
      <c r="AB82" s="84"/>
      <c r="AC82" s="84"/>
      <c r="AD82" s="94">
        <f t="shared" si="2"/>
        <v>499</v>
      </c>
      <c r="AE82" s="84"/>
      <c r="AF82" s="84"/>
      <c r="AG82" s="84"/>
      <c r="AH82" s="84"/>
      <c r="AI82" s="84"/>
    </row>
    <row r="83">
      <c r="A83" s="113">
        <v>45848.66234322917</v>
      </c>
      <c r="B83" s="84" t="s">
        <v>1260</v>
      </c>
      <c r="C83" s="84" t="s">
        <v>1261</v>
      </c>
      <c r="D83" s="105">
        <v>5.191771567E10</v>
      </c>
      <c r="E83" s="105">
        <v>7.0228127E7</v>
      </c>
      <c r="F83" s="84" t="s">
        <v>1262</v>
      </c>
      <c r="G83" s="84" t="s">
        <v>1263</v>
      </c>
      <c r="H83" s="84" t="s">
        <v>1264</v>
      </c>
      <c r="I83" s="84" t="s">
        <v>1264</v>
      </c>
      <c r="J83" s="84" t="s">
        <v>1258</v>
      </c>
      <c r="K83" s="84" t="s">
        <v>813</v>
      </c>
      <c r="L83" s="84" t="s">
        <v>814</v>
      </c>
      <c r="M83" s="109">
        <v>45851.0</v>
      </c>
      <c r="N83" s="105">
        <v>31.0</v>
      </c>
      <c r="O83" s="87">
        <v>200.0</v>
      </c>
      <c r="P83" s="84" t="s">
        <v>805</v>
      </c>
      <c r="Q83" s="84"/>
      <c r="R83" s="84" t="s">
        <v>1018</v>
      </c>
      <c r="S83" s="115" t="s">
        <v>807</v>
      </c>
      <c r="T83" s="84"/>
      <c r="U83" s="90"/>
      <c r="V83" s="84"/>
      <c r="W83" s="84"/>
      <c r="X83" s="116">
        <v>199.0</v>
      </c>
      <c r="Y83" s="114">
        <v>45863.0</v>
      </c>
      <c r="Z83" s="93"/>
      <c r="AA83" s="93"/>
      <c r="AB83" s="84"/>
      <c r="AC83" s="84"/>
      <c r="AD83" s="94">
        <f t="shared" si="2"/>
        <v>399</v>
      </c>
      <c r="AE83" s="84"/>
      <c r="AF83" s="84"/>
      <c r="AG83" s="84"/>
      <c r="AH83" s="84"/>
      <c r="AI83" s="84"/>
    </row>
    <row r="84">
      <c r="A84" s="113">
        <v>45849.52692340278</v>
      </c>
      <c r="B84" s="117" t="s">
        <v>1265</v>
      </c>
      <c r="C84" s="117" t="s">
        <v>1266</v>
      </c>
      <c r="D84" s="118">
        <v>5.197613733E10</v>
      </c>
      <c r="E84" s="118">
        <v>1.8084763E7</v>
      </c>
      <c r="F84" s="117" t="s">
        <v>1267</v>
      </c>
      <c r="G84" s="117" t="s">
        <v>1268</v>
      </c>
      <c r="H84" s="117" t="s">
        <v>963</v>
      </c>
      <c r="I84" s="117" t="s">
        <v>963</v>
      </c>
      <c r="J84" s="117" t="s">
        <v>964</v>
      </c>
      <c r="K84" s="117" t="s">
        <v>913</v>
      </c>
      <c r="L84" s="117" t="s">
        <v>814</v>
      </c>
      <c r="M84" s="109">
        <v>45851.0</v>
      </c>
      <c r="N84" s="105">
        <v>52.0</v>
      </c>
      <c r="O84" s="87">
        <v>100.0</v>
      </c>
      <c r="P84" s="84" t="s">
        <v>805</v>
      </c>
      <c r="Q84" s="84"/>
      <c r="R84" s="84" t="s">
        <v>831</v>
      </c>
      <c r="S84" s="115" t="s">
        <v>807</v>
      </c>
      <c r="T84" s="84"/>
      <c r="U84" s="90"/>
      <c r="V84" s="84"/>
      <c r="W84" s="84"/>
      <c r="X84" s="87">
        <v>349.0</v>
      </c>
      <c r="Y84" s="92">
        <v>45877.0</v>
      </c>
      <c r="Z84" s="93"/>
      <c r="AA84" s="93"/>
      <c r="AB84" s="84"/>
      <c r="AC84" s="84"/>
      <c r="AD84" s="94">
        <f t="shared" si="2"/>
        <v>449</v>
      </c>
      <c r="AE84" s="84"/>
      <c r="AF84" s="84"/>
      <c r="AG84" s="84"/>
      <c r="AH84" s="84"/>
      <c r="AI84" s="84"/>
    </row>
    <row r="85">
      <c r="A85" s="113">
        <v>45853.6166803125</v>
      </c>
      <c r="B85" s="108" t="s">
        <v>1269</v>
      </c>
      <c r="C85" s="84" t="s">
        <v>1270</v>
      </c>
      <c r="D85" s="105">
        <v>5.1900120339E10</v>
      </c>
      <c r="E85" s="105">
        <v>7.7144265E7</v>
      </c>
      <c r="F85" s="84" t="s">
        <v>1271</v>
      </c>
      <c r="G85" s="84" t="s">
        <v>1272</v>
      </c>
      <c r="H85" s="84" t="s">
        <v>1273</v>
      </c>
      <c r="I85" s="84" t="s">
        <v>1130</v>
      </c>
      <c r="J85" s="84" t="s">
        <v>1130</v>
      </c>
      <c r="K85" s="84" t="s">
        <v>1274</v>
      </c>
      <c r="L85" s="84" t="s">
        <v>876</v>
      </c>
      <c r="M85" s="109">
        <v>45862.0</v>
      </c>
      <c r="N85" s="105">
        <v>25.0</v>
      </c>
      <c r="O85" s="87">
        <v>250.0</v>
      </c>
      <c r="P85" s="84" t="s">
        <v>805</v>
      </c>
      <c r="Q85" s="84"/>
      <c r="R85" s="84" t="s">
        <v>831</v>
      </c>
      <c r="S85" s="115" t="s">
        <v>807</v>
      </c>
      <c r="T85" s="84"/>
      <c r="U85" s="90"/>
      <c r="V85" s="84"/>
      <c r="W85" s="84"/>
      <c r="X85" s="87">
        <v>249.0</v>
      </c>
      <c r="Y85" s="92">
        <v>45891.0</v>
      </c>
      <c r="Z85" s="93"/>
      <c r="AA85" s="93"/>
      <c r="AB85" s="84"/>
      <c r="AC85" s="84"/>
      <c r="AD85" s="94">
        <f t="shared" si="2"/>
        <v>499</v>
      </c>
      <c r="AE85" s="84"/>
      <c r="AF85" s="84"/>
      <c r="AG85" s="84"/>
      <c r="AH85" s="84"/>
      <c r="AI85" s="84"/>
    </row>
    <row r="86">
      <c r="A86" s="113">
        <v>45854.59072079862</v>
      </c>
      <c r="B86" s="84" t="s">
        <v>1275</v>
      </c>
      <c r="C86" s="84" t="s">
        <v>1276</v>
      </c>
      <c r="D86" s="105">
        <v>5.199192538E10</v>
      </c>
      <c r="E86" s="119" t="s">
        <v>1277</v>
      </c>
      <c r="F86" s="84" t="s">
        <v>1278</v>
      </c>
      <c r="G86" s="84" t="s">
        <v>1279</v>
      </c>
      <c r="H86" s="84" t="s">
        <v>1280</v>
      </c>
      <c r="I86" s="84" t="s">
        <v>30</v>
      </c>
      <c r="J86" s="84" t="s">
        <v>30</v>
      </c>
      <c r="K86" s="84" t="s">
        <v>1281</v>
      </c>
      <c r="L86" s="108" t="s">
        <v>814</v>
      </c>
      <c r="M86" s="109">
        <v>45865.0</v>
      </c>
      <c r="N86" s="105">
        <v>64.0</v>
      </c>
      <c r="O86" s="87">
        <v>100.0</v>
      </c>
      <c r="P86" s="84" t="s">
        <v>805</v>
      </c>
      <c r="Q86" s="84"/>
      <c r="R86" s="84" t="s">
        <v>831</v>
      </c>
      <c r="S86" s="115" t="s">
        <v>807</v>
      </c>
      <c r="T86" s="84"/>
      <c r="U86" s="90"/>
      <c r="V86" s="84"/>
      <c r="W86" s="84"/>
      <c r="X86" s="87">
        <v>249.0</v>
      </c>
      <c r="Y86" s="92">
        <v>45873.0</v>
      </c>
      <c r="Z86" s="93"/>
      <c r="AA86" s="93"/>
      <c r="AB86" s="84"/>
      <c r="AC86" s="84"/>
      <c r="AD86" s="94">
        <f t="shared" si="2"/>
        <v>349</v>
      </c>
      <c r="AE86" s="84"/>
      <c r="AF86" s="84"/>
      <c r="AG86" s="84"/>
      <c r="AH86" s="84"/>
      <c r="AI86" s="84"/>
    </row>
    <row r="87">
      <c r="A87" s="113">
        <v>45854.647135555555</v>
      </c>
      <c r="B87" s="108" t="s">
        <v>1282</v>
      </c>
      <c r="C87" s="108" t="s">
        <v>1283</v>
      </c>
      <c r="D87" s="111">
        <v>5.1996234962E10</v>
      </c>
      <c r="E87" s="120" t="s">
        <v>1284</v>
      </c>
      <c r="F87" s="108" t="s">
        <v>1285</v>
      </c>
      <c r="G87" s="108" t="s">
        <v>1286</v>
      </c>
      <c r="H87" s="108" t="s">
        <v>1023</v>
      </c>
      <c r="I87" s="108" t="s">
        <v>30</v>
      </c>
      <c r="J87" s="108" t="s">
        <v>30</v>
      </c>
      <c r="K87" s="108" t="s">
        <v>1154</v>
      </c>
      <c r="L87" s="108" t="s">
        <v>893</v>
      </c>
      <c r="M87" s="109">
        <v>45854.0</v>
      </c>
      <c r="N87" s="105">
        <v>69.0</v>
      </c>
      <c r="O87" s="87">
        <v>225.0</v>
      </c>
      <c r="P87" s="84" t="s">
        <v>805</v>
      </c>
      <c r="Q87" s="84"/>
      <c r="R87" s="84" t="s">
        <v>815</v>
      </c>
      <c r="S87" s="115" t="s">
        <v>807</v>
      </c>
      <c r="T87" s="84"/>
      <c r="U87" s="90"/>
      <c r="V87" s="84"/>
      <c r="W87" s="84"/>
      <c r="X87" s="87">
        <v>100.0</v>
      </c>
      <c r="Y87" s="92">
        <v>45881.0</v>
      </c>
      <c r="Z87" s="103">
        <v>125.0</v>
      </c>
      <c r="AA87" s="92">
        <v>45887.0</v>
      </c>
      <c r="AB87" s="84"/>
      <c r="AC87" s="84"/>
      <c r="AD87" s="94">
        <f t="shared" si="2"/>
        <v>450</v>
      </c>
      <c r="AE87" s="84"/>
      <c r="AF87" s="84"/>
      <c r="AG87" s="84"/>
      <c r="AH87" s="84"/>
      <c r="AI87" s="84"/>
    </row>
    <row r="88">
      <c r="A88" s="113">
        <v>45854.75785</v>
      </c>
      <c r="B88" s="121" t="s">
        <v>562</v>
      </c>
      <c r="C88" s="121" t="s">
        <v>1287</v>
      </c>
      <c r="D88" s="122">
        <v>5.1966856209E10</v>
      </c>
      <c r="E88" s="122">
        <v>2.8303837E7</v>
      </c>
      <c r="F88" s="121" t="s">
        <v>1288</v>
      </c>
      <c r="G88" s="121" t="s">
        <v>1289</v>
      </c>
      <c r="H88" s="121" t="s">
        <v>1290</v>
      </c>
      <c r="I88" s="121" t="s">
        <v>855</v>
      </c>
      <c r="J88" s="121" t="s">
        <v>855</v>
      </c>
      <c r="K88" s="121" t="s">
        <v>813</v>
      </c>
      <c r="L88" s="121" t="s">
        <v>814</v>
      </c>
      <c r="M88" s="109">
        <v>45865.0</v>
      </c>
      <c r="N88" s="105">
        <v>50.0</v>
      </c>
      <c r="O88" s="87">
        <v>200.0</v>
      </c>
      <c r="P88" s="84" t="s">
        <v>805</v>
      </c>
      <c r="Q88" s="84"/>
      <c r="R88" s="84" t="s">
        <v>831</v>
      </c>
      <c r="S88" s="115" t="s">
        <v>807</v>
      </c>
      <c r="T88" s="84"/>
      <c r="U88" s="90"/>
      <c r="V88" s="84"/>
      <c r="W88" s="84"/>
      <c r="X88" s="87">
        <v>149.0</v>
      </c>
      <c r="Y88" s="92">
        <v>45870.0</v>
      </c>
      <c r="Z88" s="93"/>
      <c r="AA88" s="93"/>
      <c r="AB88" s="84"/>
      <c r="AC88" s="84"/>
      <c r="AD88" s="94">
        <f t="shared" si="2"/>
        <v>349</v>
      </c>
      <c r="AE88" s="84"/>
      <c r="AF88" s="84"/>
      <c r="AG88" s="84"/>
      <c r="AH88" s="84"/>
      <c r="AI88" s="84"/>
    </row>
    <row r="89">
      <c r="A89" s="113">
        <v>45854.80867168981</v>
      </c>
      <c r="B89" s="84" t="s">
        <v>1196</v>
      </c>
      <c r="C89" s="84" t="s">
        <v>1291</v>
      </c>
      <c r="D89" s="105">
        <v>5.194387107E10</v>
      </c>
      <c r="E89" s="105">
        <v>1.7940778E7</v>
      </c>
      <c r="F89" s="84" t="s">
        <v>1292</v>
      </c>
      <c r="G89" s="84" t="s">
        <v>1293</v>
      </c>
      <c r="H89" s="84" t="s">
        <v>1294</v>
      </c>
      <c r="I89" s="84" t="s">
        <v>963</v>
      </c>
      <c r="J89" s="84" t="s">
        <v>964</v>
      </c>
      <c r="K89" s="84" t="s">
        <v>1154</v>
      </c>
      <c r="L89" s="84" t="s">
        <v>893</v>
      </c>
      <c r="M89" s="109">
        <v>45854.0</v>
      </c>
      <c r="N89" s="105">
        <v>59.0</v>
      </c>
      <c r="O89" s="87">
        <v>250.0</v>
      </c>
      <c r="P89" s="84" t="s">
        <v>805</v>
      </c>
      <c r="Q89" s="84"/>
      <c r="R89" s="84" t="s">
        <v>988</v>
      </c>
      <c r="S89" s="115" t="s">
        <v>807</v>
      </c>
      <c r="T89" s="84"/>
      <c r="U89" s="90"/>
      <c r="V89" s="84"/>
      <c r="W89" s="84"/>
      <c r="X89" s="87">
        <v>249.0</v>
      </c>
      <c r="Y89" s="92">
        <v>45887.0</v>
      </c>
      <c r="Z89" s="93"/>
      <c r="AA89" s="93"/>
      <c r="AB89" s="84"/>
      <c r="AC89" s="84"/>
      <c r="AD89" s="94">
        <f t="shared" si="2"/>
        <v>499</v>
      </c>
      <c r="AE89" s="84"/>
      <c r="AF89" s="84"/>
      <c r="AG89" s="84"/>
      <c r="AH89" s="84"/>
      <c r="AI89" s="84"/>
    </row>
    <row r="90">
      <c r="A90" s="113">
        <v>45856.40303079861</v>
      </c>
      <c r="B90" s="84" t="s">
        <v>1295</v>
      </c>
      <c r="C90" s="84" t="s">
        <v>1296</v>
      </c>
      <c r="D90" s="105">
        <v>5.1958332927E10</v>
      </c>
      <c r="E90" s="105">
        <v>2.9311559E7</v>
      </c>
      <c r="F90" s="84" t="s">
        <v>1297</v>
      </c>
      <c r="G90" s="84" t="s">
        <v>1298</v>
      </c>
      <c r="H90" s="84" t="s">
        <v>1299</v>
      </c>
      <c r="I90" s="84" t="s">
        <v>899</v>
      </c>
      <c r="J90" s="84" t="s">
        <v>899</v>
      </c>
      <c r="K90" s="84" t="s">
        <v>1300</v>
      </c>
      <c r="L90" s="84" t="s">
        <v>814</v>
      </c>
      <c r="M90" s="109">
        <v>45865.0</v>
      </c>
      <c r="N90" s="105">
        <v>58.0</v>
      </c>
      <c r="O90" s="87">
        <v>225.0</v>
      </c>
      <c r="P90" s="84" t="s">
        <v>920</v>
      </c>
      <c r="Q90" s="105">
        <v>2.0559142141E10</v>
      </c>
      <c r="R90" s="84" t="s">
        <v>831</v>
      </c>
      <c r="S90" s="115" t="s">
        <v>807</v>
      </c>
      <c r="T90" s="84"/>
      <c r="U90" s="90"/>
      <c r="V90" s="84"/>
      <c r="W90" s="84"/>
      <c r="X90" s="87">
        <v>249.0</v>
      </c>
      <c r="Y90" s="92">
        <v>45870.0</v>
      </c>
      <c r="Z90" s="93"/>
      <c r="AA90" s="93"/>
      <c r="AB90" s="84"/>
      <c r="AC90" s="84"/>
      <c r="AD90" s="94">
        <f t="shared" si="2"/>
        <v>474</v>
      </c>
      <c r="AE90" s="84"/>
      <c r="AF90" s="84"/>
      <c r="AG90" s="84"/>
      <c r="AH90" s="84"/>
      <c r="AI90" s="84"/>
    </row>
    <row r="91">
      <c r="A91" s="113">
        <v>45856.68593821759</v>
      </c>
      <c r="B91" s="84" t="s">
        <v>1301</v>
      </c>
      <c r="C91" s="84" t="s">
        <v>1302</v>
      </c>
      <c r="D91" s="105">
        <v>5.1983651529E10</v>
      </c>
      <c r="E91" s="105">
        <v>4.2167267E7</v>
      </c>
      <c r="F91" s="84" t="s">
        <v>1303</v>
      </c>
      <c r="G91" s="84" t="s">
        <v>1304</v>
      </c>
      <c r="H91" s="84" t="s">
        <v>889</v>
      </c>
      <c r="I91" s="84" t="s">
        <v>890</v>
      </c>
      <c r="J91" s="84" t="s">
        <v>1305</v>
      </c>
      <c r="K91" s="84" t="s">
        <v>1306</v>
      </c>
      <c r="L91" s="84" t="s">
        <v>804</v>
      </c>
      <c r="M91" s="109">
        <v>45856.0</v>
      </c>
      <c r="N91" s="105">
        <v>40.0</v>
      </c>
      <c r="O91" s="87">
        <v>100.0</v>
      </c>
      <c r="P91" s="84" t="s">
        <v>805</v>
      </c>
      <c r="Q91" s="84"/>
      <c r="R91" s="84" t="s">
        <v>815</v>
      </c>
      <c r="S91" s="115" t="s">
        <v>807</v>
      </c>
      <c r="T91" s="84"/>
      <c r="U91" s="90"/>
      <c r="V91" s="84"/>
      <c r="W91" s="84"/>
      <c r="X91" s="116">
        <v>199.0</v>
      </c>
      <c r="Y91" s="114">
        <v>45862.0</v>
      </c>
      <c r="Z91" s="93"/>
      <c r="AA91" s="93"/>
      <c r="AB91" s="84"/>
      <c r="AC91" s="84"/>
      <c r="AD91" s="94">
        <f t="shared" si="2"/>
        <v>299</v>
      </c>
      <c r="AE91" s="84"/>
      <c r="AF91" s="84"/>
      <c r="AG91" s="84"/>
      <c r="AH91" s="84"/>
      <c r="AI91" s="84"/>
    </row>
    <row r="92">
      <c r="A92" s="113">
        <v>45856.774294560186</v>
      </c>
      <c r="B92" s="84" t="s">
        <v>1307</v>
      </c>
      <c r="C92" s="84" t="s">
        <v>1308</v>
      </c>
      <c r="D92" s="105">
        <v>5.1983513407E10</v>
      </c>
      <c r="E92" s="105">
        <v>4.0586162E7</v>
      </c>
      <c r="F92" s="84" t="s">
        <v>1309</v>
      </c>
      <c r="G92" s="84" t="s">
        <v>1310</v>
      </c>
      <c r="H92" s="84" t="s">
        <v>1311</v>
      </c>
      <c r="I92" s="84" t="s">
        <v>1124</v>
      </c>
      <c r="J92" s="84" t="s">
        <v>1124</v>
      </c>
      <c r="K92" s="84" t="s">
        <v>1312</v>
      </c>
      <c r="L92" s="84" t="s">
        <v>804</v>
      </c>
      <c r="M92" s="109">
        <v>45856.0</v>
      </c>
      <c r="N92" s="105">
        <v>45.0</v>
      </c>
      <c r="O92" s="87">
        <v>200.0</v>
      </c>
      <c r="P92" s="84" t="s">
        <v>920</v>
      </c>
      <c r="Q92" s="105">
        <v>2.0600981961E10</v>
      </c>
      <c r="R92" s="84" t="s">
        <v>806</v>
      </c>
      <c r="S92" s="115" t="s">
        <v>807</v>
      </c>
      <c r="T92" s="84"/>
      <c r="U92" s="90"/>
      <c r="V92" s="84"/>
      <c r="W92" s="84"/>
      <c r="X92" s="116">
        <v>150.0</v>
      </c>
      <c r="Y92" s="114">
        <v>45868.0</v>
      </c>
      <c r="Z92" s="93"/>
      <c r="AA92" s="93"/>
      <c r="AB92" s="84"/>
      <c r="AC92" s="84"/>
      <c r="AD92" s="94">
        <f t="shared" si="2"/>
        <v>350</v>
      </c>
      <c r="AE92" s="84"/>
      <c r="AF92" s="84"/>
      <c r="AG92" s="84"/>
      <c r="AH92" s="84"/>
      <c r="AI92" s="84"/>
    </row>
    <row r="93">
      <c r="A93" s="113">
        <v>45856.86935226852</v>
      </c>
      <c r="B93" s="84" t="s">
        <v>1313</v>
      </c>
      <c r="C93" s="84" t="s">
        <v>1314</v>
      </c>
      <c r="D93" s="105">
        <v>5.1996547874E10</v>
      </c>
      <c r="E93" s="105">
        <v>7.0216154E7</v>
      </c>
      <c r="F93" s="84" t="s">
        <v>1315</v>
      </c>
      <c r="G93" s="84" t="s">
        <v>1316</v>
      </c>
      <c r="H93" s="84" t="s">
        <v>891</v>
      </c>
      <c r="I93" s="84" t="s">
        <v>891</v>
      </c>
      <c r="J93" s="84" t="s">
        <v>891</v>
      </c>
      <c r="K93" s="84" t="s">
        <v>847</v>
      </c>
      <c r="L93" s="84" t="s">
        <v>848</v>
      </c>
      <c r="M93" s="109">
        <v>45857.0</v>
      </c>
      <c r="N93" s="105">
        <v>30.0</v>
      </c>
      <c r="O93" s="87">
        <v>1200.0</v>
      </c>
      <c r="P93" s="84" t="s">
        <v>920</v>
      </c>
      <c r="Q93" s="105">
        <v>1.0702161547E10</v>
      </c>
      <c r="R93" s="84" t="s">
        <v>1018</v>
      </c>
      <c r="S93" s="115" t="s">
        <v>807</v>
      </c>
      <c r="T93" s="84"/>
      <c r="U93" s="90"/>
      <c r="V93" s="84"/>
      <c r="W93" s="84"/>
      <c r="X93" s="87">
        <v>1200.0</v>
      </c>
      <c r="Y93" s="92">
        <v>45870.0</v>
      </c>
      <c r="Z93" s="93"/>
      <c r="AA93" s="93"/>
      <c r="AB93" s="84"/>
      <c r="AC93" s="84"/>
      <c r="AD93" s="94">
        <f t="shared" si="2"/>
        <v>2400</v>
      </c>
      <c r="AE93" s="84"/>
      <c r="AF93" s="84"/>
      <c r="AG93" s="84"/>
      <c r="AH93" s="84"/>
      <c r="AI93" s="84"/>
    </row>
    <row r="94">
      <c r="A94" s="113">
        <v>45857.508295590276</v>
      </c>
      <c r="B94" s="108" t="s">
        <v>1317</v>
      </c>
      <c r="C94" s="84" t="s">
        <v>1318</v>
      </c>
      <c r="D94" s="105">
        <v>5.1951413005E10</v>
      </c>
      <c r="E94" s="105">
        <v>7.0835748E7</v>
      </c>
      <c r="F94" s="84" t="s">
        <v>1319</v>
      </c>
      <c r="G94" s="84" t="s">
        <v>1320</v>
      </c>
      <c r="H94" s="84" t="s">
        <v>1014</v>
      </c>
      <c r="I94" s="84" t="s">
        <v>1015</v>
      </c>
      <c r="J94" s="84" t="s">
        <v>891</v>
      </c>
      <c r="K94" s="84" t="s">
        <v>861</v>
      </c>
      <c r="L94" s="84" t="s">
        <v>848</v>
      </c>
      <c r="M94" s="109">
        <v>45857.0</v>
      </c>
      <c r="N94" s="105">
        <v>24.0</v>
      </c>
      <c r="O94" s="87">
        <v>1000.0</v>
      </c>
      <c r="P94" s="84" t="s">
        <v>920</v>
      </c>
      <c r="Q94" s="105">
        <v>1.0708357486E10</v>
      </c>
      <c r="R94" s="84" t="s">
        <v>822</v>
      </c>
      <c r="S94" s="115" t="s">
        <v>807</v>
      </c>
      <c r="T94" s="84"/>
      <c r="U94" s="90"/>
      <c r="V94" s="84"/>
      <c r="W94" s="84"/>
      <c r="X94" s="116">
        <v>1500.0</v>
      </c>
      <c r="Y94" s="114">
        <v>45899.0</v>
      </c>
      <c r="Z94" s="93"/>
      <c r="AA94" s="93"/>
      <c r="AB94" s="84"/>
      <c r="AC94" s="84"/>
      <c r="AD94" s="94">
        <f t="shared" si="2"/>
        <v>2500</v>
      </c>
      <c r="AE94" s="84"/>
      <c r="AF94" s="84"/>
      <c r="AG94" s="84"/>
      <c r="AH94" s="84"/>
      <c r="AI94" s="84"/>
    </row>
    <row r="95">
      <c r="A95" s="113">
        <v>45857.51380997685</v>
      </c>
      <c r="B95" s="84" t="s">
        <v>1321</v>
      </c>
      <c r="C95" s="84" t="s">
        <v>1322</v>
      </c>
      <c r="D95" s="105">
        <v>5.1956968915E10</v>
      </c>
      <c r="E95" s="105">
        <v>2.2196507E7</v>
      </c>
      <c r="F95" s="84" t="s">
        <v>1323</v>
      </c>
      <c r="G95" s="84" t="s">
        <v>1324</v>
      </c>
      <c r="H95" s="84" t="s">
        <v>812</v>
      </c>
      <c r="I95" s="84" t="s">
        <v>812</v>
      </c>
      <c r="J95" s="84" t="s">
        <v>812</v>
      </c>
      <c r="K95" s="84" t="s">
        <v>813</v>
      </c>
      <c r="L95" s="108" t="s">
        <v>814</v>
      </c>
      <c r="M95" s="109">
        <v>45865.0</v>
      </c>
      <c r="N95" s="105">
        <v>50.0</v>
      </c>
      <c r="O95" s="87">
        <v>150.0</v>
      </c>
      <c r="P95" s="84" t="s">
        <v>805</v>
      </c>
      <c r="Q95" s="84"/>
      <c r="R95" s="84" t="s">
        <v>831</v>
      </c>
      <c r="S95" s="115" t="s">
        <v>807</v>
      </c>
      <c r="T95" s="84"/>
      <c r="U95" s="90"/>
      <c r="V95" s="84"/>
      <c r="W95" s="84"/>
      <c r="X95" s="116">
        <v>199.0</v>
      </c>
      <c r="Y95" s="114">
        <v>45864.0</v>
      </c>
      <c r="Z95" s="93"/>
      <c r="AA95" s="93"/>
      <c r="AB95" s="84"/>
      <c r="AC95" s="84"/>
      <c r="AD95" s="94">
        <f t="shared" si="2"/>
        <v>349</v>
      </c>
      <c r="AE95" s="84"/>
      <c r="AF95" s="84"/>
      <c r="AG95" s="84"/>
      <c r="AH95" s="84"/>
      <c r="AI95" s="84"/>
    </row>
    <row r="96">
      <c r="A96" s="113">
        <v>45857.59877456019</v>
      </c>
      <c r="B96" s="84" t="s">
        <v>1325</v>
      </c>
      <c r="C96" s="84" t="s">
        <v>1326</v>
      </c>
      <c r="D96" s="105">
        <v>5.1941914665E10</v>
      </c>
      <c r="E96" s="110" t="s">
        <v>1327</v>
      </c>
      <c r="F96" s="84" t="s">
        <v>1328</v>
      </c>
      <c r="G96" s="84" t="s">
        <v>1329</v>
      </c>
      <c r="H96" s="84" t="s">
        <v>1330</v>
      </c>
      <c r="I96" s="84" t="s">
        <v>30</v>
      </c>
      <c r="J96" s="84" t="s">
        <v>30</v>
      </c>
      <c r="K96" s="84" t="s">
        <v>1207</v>
      </c>
      <c r="L96" s="84" t="s">
        <v>1331</v>
      </c>
      <c r="M96" s="109">
        <v>45857.0</v>
      </c>
      <c r="N96" s="105">
        <v>65.0</v>
      </c>
      <c r="O96" s="87">
        <v>200.0</v>
      </c>
      <c r="P96" s="84" t="s">
        <v>805</v>
      </c>
      <c r="Q96" s="84"/>
      <c r="R96" s="84" t="s">
        <v>822</v>
      </c>
      <c r="S96" s="115" t="s">
        <v>807</v>
      </c>
      <c r="T96" s="84"/>
      <c r="U96" s="90"/>
      <c r="V96" s="84"/>
      <c r="W96" s="84"/>
      <c r="X96" s="91">
        <v>500.0</v>
      </c>
      <c r="Y96" s="92">
        <v>45871.0</v>
      </c>
      <c r="Z96" s="103">
        <v>1700.0</v>
      </c>
      <c r="AA96" s="92">
        <v>45899.0</v>
      </c>
      <c r="AB96" s="84"/>
      <c r="AC96" s="84"/>
      <c r="AD96" s="94">
        <f t="shared" si="2"/>
        <v>2400</v>
      </c>
      <c r="AE96" s="84"/>
      <c r="AF96" s="84"/>
      <c r="AG96" s="84"/>
      <c r="AH96" s="84"/>
      <c r="AI96" s="84"/>
    </row>
    <row r="97">
      <c r="A97" s="113">
        <v>45857.77433694444</v>
      </c>
      <c r="B97" s="108" t="s">
        <v>1332</v>
      </c>
      <c r="C97" s="108" t="s">
        <v>1333</v>
      </c>
      <c r="D97" s="111">
        <v>5.1941248292E10</v>
      </c>
      <c r="E97" s="111">
        <v>4.5551747E7</v>
      </c>
      <c r="F97" s="108" t="s">
        <v>1334</v>
      </c>
      <c r="G97" s="108" t="s">
        <v>1335</v>
      </c>
      <c r="H97" s="108" t="s">
        <v>1336</v>
      </c>
      <c r="I97" s="108" t="s">
        <v>1336</v>
      </c>
      <c r="J97" s="108" t="s">
        <v>1337</v>
      </c>
      <c r="K97" s="108" t="s">
        <v>1338</v>
      </c>
      <c r="L97" s="108" t="s">
        <v>848</v>
      </c>
      <c r="M97" s="109">
        <v>45857.0</v>
      </c>
      <c r="N97" s="105">
        <v>36.0</v>
      </c>
      <c r="O97" s="87">
        <v>900.0</v>
      </c>
      <c r="P97" s="84" t="s">
        <v>920</v>
      </c>
      <c r="Q97" s="105">
        <v>2.0608298216E10</v>
      </c>
      <c r="R97" s="84" t="s">
        <v>831</v>
      </c>
      <c r="S97" s="115" t="s">
        <v>807</v>
      </c>
      <c r="T97" s="84"/>
      <c r="U97" s="90"/>
      <c r="V97" s="84"/>
      <c r="W97" s="84"/>
      <c r="X97" s="116">
        <v>1600.0</v>
      </c>
      <c r="Y97" s="114">
        <v>45868.0</v>
      </c>
      <c r="Z97" s="93"/>
      <c r="AA97" s="93"/>
      <c r="AB97" s="84"/>
      <c r="AC97" s="84"/>
      <c r="AD97" s="94">
        <f t="shared" si="2"/>
        <v>2500</v>
      </c>
      <c r="AE97" s="84"/>
      <c r="AF97" s="84"/>
      <c r="AG97" s="84"/>
      <c r="AH97" s="84"/>
      <c r="AI97" s="84"/>
    </row>
    <row r="98">
      <c r="A98" s="113">
        <v>45859.42585234954</v>
      </c>
      <c r="B98" s="84" t="s">
        <v>1339</v>
      </c>
      <c r="C98" s="84" t="s">
        <v>1340</v>
      </c>
      <c r="D98" s="105">
        <v>5.1919724372E10</v>
      </c>
      <c r="E98" s="110" t="s">
        <v>1341</v>
      </c>
      <c r="F98" s="84" t="s">
        <v>1342</v>
      </c>
      <c r="G98" s="84" t="s">
        <v>1343</v>
      </c>
      <c r="H98" s="84" t="s">
        <v>1344</v>
      </c>
      <c r="I98" s="84" t="s">
        <v>30</v>
      </c>
      <c r="J98" s="84" t="s">
        <v>30</v>
      </c>
      <c r="K98" s="84" t="s">
        <v>1207</v>
      </c>
      <c r="L98" s="84" t="s">
        <v>1345</v>
      </c>
      <c r="M98" s="109" t="s">
        <v>1346</v>
      </c>
      <c r="N98" s="105">
        <v>49.0</v>
      </c>
      <c r="O98" s="87">
        <v>100.0</v>
      </c>
      <c r="P98" s="84" t="s">
        <v>805</v>
      </c>
      <c r="Q98" s="84"/>
      <c r="R98" s="84" t="s">
        <v>988</v>
      </c>
      <c r="S98" s="115" t="s">
        <v>807</v>
      </c>
      <c r="T98" s="84"/>
      <c r="U98" s="90"/>
      <c r="V98" s="84"/>
      <c r="W98" s="84"/>
      <c r="X98" s="91">
        <v>200.0</v>
      </c>
      <c r="Y98" s="92">
        <v>45881.0</v>
      </c>
      <c r="Z98" s="93"/>
      <c r="AA98" s="93"/>
      <c r="AB98" s="84"/>
      <c r="AC98" s="84"/>
      <c r="AD98" s="94">
        <f t="shared" si="2"/>
        <v>300</v>
      </c>
      <c r="AE98" s="84"/>
      <c r="AF98" s="84"/>
      <c r="AG98" s="84"/>
      <c r="AH98" s="84"/>
      <c r="AI98" s="84"/>
    </row>
    <row r="99">
      <c r="A99" s="113">
        <v>45859.8023294213</v>
      </c>
      <c r="B99" s="108" t="s">
        <v>1347</v>
      </c>
      <c r="C99" s="108" t="s">
        <v>1348</v>
      </c>
      <c r="D99" s="111">
        <v>5.1968749889E10</v>
      </c>
      <c r="E99" s="111">
        <v>4.3880058E7</v>
      </c>
      <c r="F99" s="108" t="s">
        <v>1349</v>
      </c>
      <c r="G99" s="108" t="s">
        <v>1350</v>
      </c>
      <c r="H99" s="108" t="s">
        <v>963</v>
      </c>
      <c r="I99" s="108" t="s">
        <v>963</v>
      </c>
      <c r="J99" s="108" t="s">
        <v>874</v>
      </c>
      <c r="K99" s="108" t="s">
        <v>1207</v>
      </c>
      <c r="L99" s="108" t="s">
        <v>804</v>
      </c>
      <c r="M99" s="109">
        <v>45856.0</v>
      </c>
      <c r="N99" s="105">
        <v>38.0</v>
      </c>
      <c r="O99" s="87">
        <v>200.0</v>
      </c>
      <c r="P99" s="84" t="s">
        <v>920</v>
      </c>
      <c r="Q99" s="105">
        <v>2.0613221531E10</v>
      </c>
      <c r="R99" s="84" t="s">
        <v>806</v>
      </c>
      <c r="S99" s="115" t="s">
        <v>807</v>
      </c>
      <c r="T99" s="84"/>
      <c r="U99" s="90"/>
      <c r="V99" s="84"/>
      <c r="W99" s="84"/>
      <c r="X99" s="116">
        <v>150.0</v>
      </c>
      <c r="Y99" s="114">
        <v>45868.0</v>
      </c>
      <c r="Z99" s="93"/>
      <c r="AA99" s="93"/>
      <c r="AB99" s="84"/>
      <c r="AC99" s="84"/>
      <c r="AD99" s="94">
        <f t="shared" si="2"/>
        <v>350</v>
      </c>
      <c r="AE99" s="84"/>
      <c r="AF99" s="84"/>
      <c r="AG99" s="84"/>
      <c r="AH99" s="84"/>
      <c r="AI99" s="84"/>
    </row>
    <row r="100">
      <c r="A100" s="113">
        <v>45860.72584559028</v>
      </c>
      <c r="B100" s="84" t="s">
        <v>1351</v>
      </c>
      <c r="C100" s="84" t="s">
        <v>1352</v>
      </c>
      <c r="D100" s="105">
        <v>5.1985828429E10</v>
      </c>
      <c r="E100" s="105">
        <v>1.5721686E7</v>
      </c>
      <c r="F100" s="84" t="s">
        <v>1353</v>
      </c>
      <c r="G100" s="84" t="s">
        <v>1354</v>
      </c>
      <c r="H100" s="84" t="s">
        <v>1355</v>
      </c>
      <c r="I100" s="84" t="s">
        <v>1356</v>
      </c>
      <c r="J100" s="84" t="s">
        <v>30</v>
      </c>
      <c r="K100" s="84" t="s">
        <v>913</v>
      </c>
      <c r="L100" s="84" t="s">
        <v>814</v>
      </c>
      <c r="M100" s="109">
        <v>45865.0</v>
      </c>
      <c r="N100" s="105">
        <v>57.0</v>
      </c>
      <c r="O100" s="87">
        <v>150.0</v>
      </c>
      <c r="P100" s="84" t="s">
        <v>805</v>
      </c>
      <c r="Q100" s="84"/>
      <c r="R100" s="84" t="s">
        <v>815</v>
      </c>
      <c r="S100" s="115" t="s">
        <v>807</v>
      </c>
      <c r="T100" s="84"/>
      <c r="U100" s="90"/>
      <c r="V100" s="84"/>
      <c r="W100" s="84"/>
      <c r="X100" s="87">
        <v>249.0</v>
      </c>
      <c r="Y100" s="92">
        <v>45884.0</v>
      </c>
      <c r="Z100" s="93"/>
      <c r="AA100" s="93"/>
      <c r="AB100" s="84"/>
      <c r="AC100" s="84"/>
      <c r="AD100" s="94">
        <f t="shared" si="2"/>
        <v>399</v>
      </c>
      <c r="AE100" s="84"/>
      <c r="AF100" s="84"/>
      <c r="AG100" s="84"/>
      <c r="AH100" s="84"/>
      <c r="AI100" s="84"/>
    </row>
    <row r="101">
      <c r="A101" s="113">
        <v>45861.51914409723</v>
      </c>
      <c r="B101" s="84" t="s">
        <v>1357</v>
      </c>
      <c r="C101" s="84" t="s">
        <v>1358</v>
      </c>
      <c r="D101" s="105">
        <v>5.1971857582E10</v>
      </c>
      <c r="E101" s="105">
        <v>3.1000916E7</v>
      </c>
      <c r="F101" s="84" t="s">
        <v>1359</v>
      </c>
      <c r="G101" s="84" t="s">
        <v>1360</v>
      </c>
      <c r="H101" s="84" t="s">
        <v>1047</v>
      </c>
      <c r="I101" s="84" t="s">
        <v>1048</v>
      </c>
      <c r="J101" s="84" t="s">
        <v>867</v>
      </c>
      <c r="K101" s="84" t="s">
        <v>913</v>
      </c>
      <c r="L101" s="84" t="s">
        <v>814</v>
      </c>
      <c r="M101" s="109">
        <v>45865.0</v>
      </c>
      <c r="N101" s="105">
        <v>72.0</v>
      </c>
      <c r="O101" s="87">
        <v>200.0</v>
      </c>
      <c r="P101" s="84" t="s">
        <v>805</v>
      </c>
      <c r="Q101" s="84"/>
      <c r="R101" s="84" t="s">
        <v>815</v>
      </c>
      <c r="S101" s="115" t="s">
        <v>807</v>
      </c>
      <c r="T101" s="84"/>
      <c r="U101" s="90"/>
      <c r="V101" s="84"/>
      <c r="W101" s="84"/>
      <c r="X101" s="87">
        <v>199.0</v>
      </c>
      <c r="Y101" s="92">
        <v>45870.0</v>
      </c>
      <c r="Z101" s="93"/>
      <c r="AA101" s="93"/>
      <c r="AB101" s="84"/>
      <c r="AC101" s="84"/>
      <c r="AD101" s="94">
        <f t="shared" si="2"/>
        <v>399</v>
      </c>
      <c r="AE101" s="84"/>
      <c r="AF101" s="84"/>
      <c r="AG101" s="84"/>
      <c r="AH101" s="84"/>
      <c r="AI101" s="84"/>
    </row>
    <row r="102">
      <c r="A102" s="113">
        <v>45863.683385428245</v>
      </c>
      <c r="B102" s="84" t="s">
        <v>1361</v>
      </c>
      <c r="C102" s="84" t="s">
        <v>1362</v>
      </c>
      <c r="D102" s="105">
        <v>5.1968388688E10</v>
      </c>
      <c r="E102" s="105">
        <v>2.3201561E7</v>
      </c>
      <c r="F102" s="84" t="s">
        <v>1363</v>
      </c>
      <c r="G102" s="84" t="s">
        <v>1364</v>
      </c>
      <c r="H102" s="84" t="s">
        <v>1365</v>
      </c>
      <c r="I102" s="84" t="s">
        <v>1225</v>
      </c>
      <c r="J102" s="84" t="s">
        <v>1225</v>
      </c>
      <c r="K102" s="84" t="s">
        <v>1366</v>
      </c>
      <c r="L102" s="84" t="s">
        <v>876</v>
      </c>
      <c r="M102" s="109">
        <v>45869.0</v>
      </c>
      <c r="N102" s="105">
        <v>69.0</v>
      </c>
      <c r="O102" s="87">
        <v>200.0</v>
      </c>
      <c r="P102" s="84" t="s">
        <v>920</v>
      </c>
      <c r="Q102" s="105">
        <v>1.0232015611E10</v>
      </c>
      <c r="R102" s="84" t="s">
        <v>1018</v>
      </c>
      <c r="S102" s="115" t="s">
        <v>807</v>
      </c>
      <c r="T102" s="84"/>
      <c r="U102" s="90"/>
      <c r="V102" s="84"/>
      <c r="W102" s="84"/>
      <c r="X102" s="87">
        <v>200.0</v>
      </c>
      <c r="Y102" s="92">
        <v>45870.0</v>
      </c>
      <c r="Z102" s="93"/>
      <c r="AA102" s="93"/>
      <c r="AB102" s="84"/>
      <c r="AC102" s="84"/>
      <c r="AD102" s="94">
        <f t="shared" si="2"/>
        <v>400</v>
      </c>
      <c r="AE102" s="84"/>
      <c r="AF102" s="84"/>
      <c r="AG102" s="84"/>
      <c r="AH102" s="84"/>
      <c r="AI102" s="84"/>
    </row>
    <row r="103">
      <c r="A103" s="113">
        <v>45863.77472296296</v>
      </c>
      <c r="B103" s="84" t="s">
        <v>1367</v>
      </c>
      <c r="C103" s="84" t="s">
        <v>1368</v>
      </c>
      <c r="D103" s="105">
        <v>5.1969990348E10</v>
      </c>
      <c r="E103" s="105">
        <v>4.1565678E7</v>
      </c>
      <c r="F103" s="84" t="s">
        <v>1369</v>
      </c>
      <c r="G103" s="84" t="s">
        <v>1370</v>
      </c>
      <c r="H103" s="84" t="s">
        <v>971</v>
      </c>
      <c r="I103" s="84" t="s">
        <v>971</v>
      </c>
      <c r="J103" s="84" t="s">
        <v>1371</v>
      </c>
      <c r="K103" s="84" t="s">
        <v>1372</v>
      </c>
      <c r="L103" s="84" t="s">
        <v>814</v>
      </c>
      <c r="M103" s="109">
        <v>45865.0</v>
      </c>
      <c r="N103" s="105">
        <v>42.0</v>
      </c>
      <c r="O103" s="87">
        <v>200.0</v>
      </c>
      <c r="P103" s="84" t="s">
        <v>805</v>
      </c>
      <c r="Q103" s="84"/>
      <c r="R103" s="84" t="s">
        <v>806</v>
      </c>
      <c r="S103" s="115" t="s">
        <v>807</v>
      </c>
      <c r="T103" s="84"/>
      <c r="U103" s="90"/>
      <c r="V103" s="84"/>
      <c r="W103" s="84"/>
      <c r="X103" s="87">
        <v>200.0</v>
      </c>
      <c r="Y103" s="92">
        <v>45898.0</v>
      </c>
      <c r="Z103" s="93"/>
      <c r="AA103" s="93"/>
      <c r="AB103" s="84"/>
      <c r="AC103" s="84"/>
      <c r="AD103" s="94">
        <f t="shared" si="2"/>
        <v>400</v>
      </c>
      <c r="AE103" s="84"/>
      <c r="AF103" s="84"/>
      <c r="AG103" s="84"/>
      <c r="AH103" s="84"/>
      <c r="AI103" s="84"/>
    </row>
    <row r="104">
      <c r="A104" s="113">
        <v>45868.6155262963</v>
      </c>
      <c r="B104" s="108" t="s">
        <v>1373</v>
      </c>
      <c r="C104" s="84" t="s">
        <v>1374</v>
      </c>
      <c r="D104" s="105">
        <v>5.1921284218E10</v>
      </c>
      <c r="E104" s="105">
        <v>7.2243023E7</v>
      </c>
      <c r="F104" s="84" t="s">
        <v>1375</v>
      </c>
      <c r="G104" s="84" t="s">
        <v>1376</v>
      </c>
      <c r="H104" s="84" t="s">
        <v>1377</v>
      </c>
      <c r="I104" s="84" t="s">
        <v>1378</v>
      </c>
      <c r="J104" s="84" t="s">
        <v>1130</v>
      </c>
      <c r="K104" s="84" t="s">
        <v>1379</v>
      </c>
      <c r="L104" s="84" t="s">
        <v>848</v>
      </c>
      <c r="M104" s="109">
        <v>45871.0</v>
      </c>
      <c r="N104" s="105">
        <v>27.0</v>
      </c>
      <c r="O104" s="87">
        <v>1250.0</v>
      </c>
      <c r="P104" s="84" t="s">
        <v>805</v>
      </c>
      <c r="Q104" s="84"/>
      <c r="R104" s="84" t="s">
        <v>831</v>
      </c>
      <c r="S104" s="115" t="s">
        <v>807</v>
      </c>
      <c r="T104" s="84"/>
      <c r="U104" s="90"/>
      <c r="V104" s="84"/>
      <c r="W104" s="84"/>
      <c r="X104" s="87">
        <v>1250.0</v>
      </c>
      <c r="Y104" s="114">
        <v>45899.0</v>
      </c>
      <c r="Z104" s="93"/>
      <c r="AA104" s="93"/>
      <c r="AB104" s="84"/>
      <c r="AC104" s="84"/>
      <c r="AD104" s="94">
        <f t="shared" si="2"/>
        <v>2500</v>
      </c>
      <c r="AE104" s="84"/>
      <c r="AF104" s="84"/>
      <c r="AG104" s="84"/>
      <c r="AH104" s="84"/>
      <c r="AI104" s="84"/>
    </row>
    <row r="105">
      <c r="A105" s="113">
        <v>45868.73664847222</v>
      </c>
      <c r="B105" s="121" t="s">
        <v>1380</v>
      </c>
      <c r="C105" s="121" t="s">
        <v>1381</v>
      </c>
      <c r="D105" s="122">
        <v>5.1987892186E10</v>
      </c>
      <c r="E105" s="122">
        <v>7.0205738E7</v>
      </c>
      <c r="F105" s="121" t="s">
        <v>1382</v>
      </c>
      <c r="G105" s="121" t="s">
        <v>1383</v>
      </c>
      <c r="H105" s="121" t="s">
        <v>1384</v>
      </c>
      <c r="I105" s="121" t="s">
        <v>1385</v>
      </c>
      <c r="J105" s="121" t="s">
        <v>855</v>
      </c>
      <c r="K105" s="121" t="s">
        <v>906</v>
      </c>
      <c r="L105" s="121" t="s">
        <v>830</v>
      </c>
      <c r="M105" s="109">
        <v>45868.0</v>
      </c>
      <c r="N105" s="105">
        <v>27.0</v>
      </c>
      <c r="O105" s="87">
        <v>200.0</v>
      </c>
      <c r="P105" s="84" t="s">
        <v>805</v>
      </c>
      <c r="Q105" s="84"/>
      <c r="R105" s="84" t="s">
        <v>815</v>
      </c>
      <c r="S105" s="115" t="s">
        <v>807</v>
      </c>
      <c r="T105" s="84"/>
      <c r="U105" s="90"/>
      <c r="V105" s="84"/>
      <c r="W105" s="84"/>
      <c r="X105" s="87">
        <v>149.0</v>
      </c>
      <c r="Y105" s="92">
        <v>45894.0</v>
      </c>
      <c r="Z105" s="93"/>
      <c r="AA105" s="93"/>
      <c r="AB105" s="84"/>
      <c r="AC105" s="84"/>
      <c r="AD105" s="94">
        <f t="shared" si="2"/>
        <v>349</v>
      </c>
      <c r="AE105" s="84"/>
      <c r="AF105" s="84"/>
      <c r="AG105" s="84"/>
      <c r="AH105" s="84"/>
      <c r="AI105" s="84"/>
    </row>
    <row r="106">
      <c r="A106" s="113">
        <v>45869.51539543981</v>
      </c>
      <c r="B106" s="84" t="s">
        <v>1386</v>
      </c>
      <c r="C106" s="84" t="s">
        <v>1387</v>
      </c>
      <c r="D106" s="105">
        <v>5.1976868256E10</v>
      </c>
      <c r="E106" s="105">
        <v>4.1525113E7</v>
      </c>
      <c r="F106" s="84" t="s">
        <v>1388</v>
      </c>
      <c r="G106" s="84" t="s">
        <v>1389</v>
      </c>
      <c r="H106" s="84" t="s">
        <v>1390</v>
      </c>
      <c r="I106" s="84" t="s">
        <v>1391</v>
      </c>
      <c r="J106" s="84" t="s">
        <v>30</v>
      </c>
      <c r="K106" s="84" t="s">
        <v>892</v>
      </c>
      <c r="L106" s="84" t="s">
        <v>1331</v>
      </c>
      <c r="M106" s="109">
        <v>45871.0</v>
      </c>
      <c r="N106" s="105">
        <v>43.0</v>
      </c>
      <c r="O106" s="87">
        <v>1200.0</v>
      </c>
      <c r="P106" s="84" t="s">
        <v>805</v>
      </c>
      <c r="Q106" s="84"/>
      <c r="R106" s="84" t="s">
        <v>822</v>
      </c>
      <c r="S106" s="115" t="s">
        <v>807</v>
      </c>
      <c r="T106" s="84"/>
      <c r="U106" s="90"/>
      <c r="V106" s="84"/>
      <c r="W106" s="84"/>
      <c r="X106" s="116">
        <v>1200.0</v>
      </c>
      <c r="Y106" s="114">
        <v>45899.0</v>
      </c>
      <c r="Z106" s="93"/>
      <c r="AA106" s="93"/>
      <c r="AB106" s="84"/>
      <c r="AC106" s="84"/>
      <c r="AD106" s="94">
        <f t="shared" si="2"/>
        <v>2400</v>
      </c>
      <c r="AE106" s="84"/>
      <c r="AF106" s="84"/>
      <c r="AG106" s="84"/>
      <c r="AH106" s="84"/>
      <c r="AI106" s="84"/>
    </row>
    <row r="107">
      <c r="A107" s="113">
        <v>45869.64426642361</v>
      </c>
      <c r="B107" s="121" t="s">
        <v>1392</v>
      </c>
      <c r="C107" s="121" t="s">
        <v>1393</v>
      </c>
      <c r="D107" s="122">
        <v>5.1949690082E10</v>
      </c>
      <c r="E107" s="122">
        <v>1.8824734E7</v>
      </c>
      <c r="F107" s="121" t="s">
        <v>1394</v>
      </c>
      <c r="G107" s="121" t="str">
        <f t="shared" ref="G107:K107" si="3">UPPER(G98)</f>
        <v>URB LOS SAUCES MZ F LTE 7 CALLE DUBLÍN S/N</v>
      </c>
      <c r="H107" s="121" t="str">
        <f t="shared" si="3"/>
        <v>SURQUILLO</v>
      </c>
      <c r="I107" s="121" t="str">
        <f t="shared" si="3"/>
        <v>LIMA</v>
      </c>
      <c r="J107" s="121" t="str">
        <f t="shared" si="3"/>
        <v>LIMA</v>
      </c>
      <c r="K107" s="121" t="str">
        <f t="shared" si="3"/>
        <v>ECONOMISTA</v>
      </c>
      <c r="L107" s="121" t="s">
        <v>804</v>
      </c>
      <c r="M107" s="109">
        <v>45877.0</v>
      </c>
      <c r="N107" s="105">
        <v>60.0</v>
      </c>
      <c r="O107" s="87">
        <v>100.0</v>
      </c>
      <c r="P107" s="84" t="s">
        <v>805</v>
      </c>
      <c r="Q107" s="84"/>
      <c r="R107" s="84" t="s">
        <v>806</v>
      </c>
      <c r="S107" s="115" t="s">
        <v>807</v>
      </c>
      <c r="T107" s="84"/>
      <c r="U107" s="90"/>
      <c r="V107" s="84"/>
      <c r="W107" s="84"/>
      <c r="X107" s="91">
        <v>80.0</v>
      </c>
      <c r="Y107" s="114">
        <v>45877.0</v>
      </c>
      <c r="Z107" s="103">
        <v>170.0</v>
      </c>
      <c r="AA107" s="92">
        <v>45889.0</v>
      </c>
      <c r="AB107" s="84"/>
      <c r="AC107" s="84"/>
      <c r="AD107" s="94">
        <f t="shared" si="2"/>
        <v>350</v>
      </c>
      <c r="AE107" s="84"/>
      <c r="AF107" s="84"/>
      <c r="AG107" s="84"/>
      <c r="AH107" s="84"/>
      <c r="AI107" s="84"/>
    </row>
    <row r="108">
      <c r="A108" s="113">
        <v>45869.70541800926</v>
      </c>
      <c r="B108" s="84" t="s">
        <v>1395</v>
      </c>
      <c r="C108" s="84" t="s">
        <v>1396</v>
      </c>
      <c r="D108" s="105">
        <v>5.1961920311E10</v>
      </c>
      <c r="E108" s="110" t="s">
        <v>1397</v>
      </c>
      <c r="F108" s="84" t="s">
        <v>1398</v>
      </c>
      <c r="G108" s="84" t="s">
        <v>1399</v>
      </c>
      <c r="H108" s="84" t="s">
        <v>1256</v>
      </c>
      <c r="I108" s="84" t="s">
        <v>1400</v>
      </c>
      <c r="J108" s="84" t="s">
        <v>1258</v>
      </c>
      <c r="K108" s="84" t="s">
        <v>913</v>
      </c>
      <c r="L108" s="84" t="s">
        <v>893</v>
      </c>
      <c r="M108" s="109">
        <v>45861.0</v>
      </c>
      <c r="N108" s="105">
        <v>50.0</v>
      </c>
      <c r="O108" s="87">
        <v>200.0</v>
      </c>
      <c r="P108" s="84" t="s">
        <v>805</v>
      </c>
      <c r="Q108" s="84"/>
      <c r="R108" s="84" t="s">
        <v>806</v>
      </c>
      <c r="S108" s="115" t="s">
        <v>807</v>
      </c>
      <c r="T108" s="84"/>
      <c r="U108" s="90"/>
      <c r="V108" s="84"/>
      <c r="W108" s="84"/>
      <c r="X108" s="87">
        <v>250.0</v>
      </c>
      <c r="Y108" s="92">
        <v>45896.0</v>
      </c>
      <c r="Z108" s="93"/>
      <c r="AA108" s="93"/>
      <c r="AB108" s="84"/>
      <c r="AC108" s="84"/>
      <c r="AD108" s="94">
        <f t="shared" si="2"/>
        <v>450</v>
      </c>
      <c r="AE108" s="84"/>
      <c r="AF108" s="84"/>
      <c r="AG108" s="84"/>
      <c r="AH108" s="84"/>
      <c r="AI108" s="84"/>
    </row>
    <row r="109">
      <c r="A109" s="113">
        <v>45869.85026777777</v>
      </c>
      <c r="B109" s="84" t="s">
        <v>1401</v>
      </c>
      <c r="C109" s="84" t="s">
        <v>1402</v>
      </c>
      <c r="D109" s="105">
        <v>5.197415534E10</v>
      </c>
      <c r="E109" s="105">
        <v>4.5055673E7</v>
      </c>
      <c r="F109" s="84" t="s">
        <v>1403</v>
      </c>
      <c r="G109" s="84" t="s">
        <v>1404</v>
      </c>
      <c r="H109" s="84" t="s">
        <v>867</v>
      </c>
      <c r="I109" s="84" t="s">
        <v>867</v>
      </c>
      <c r="J109" s="84" t="s">
        <v>867</v>
      </c>
      <c r="K109" s="84" t="s">
        <v>995</v>
      </c>
      <c r="L109" s="84" t="s">
        <v>848</v>
      </c>
      <c r="M109" s="109">
        <v>45871.0</v>
      </c>
      <c r="N109" s="105">
        <v>37.0</v>
      </c>
      <c r="O109" s="87">
        <v>700.0</v>
      </c>
      <c r="P109" s="84" t="s">
        <v>920</v>
      </c>
      <c r="Q109" s="84" t="s">
        <v>1405</v>
      </c>
      <c r="R109" s="84" t="s">
        <v>1018</v>
      </c>
      <c r="S109" s="115" t="s">
        <v>807</v>
      </c>
      <c r="T109" s="84"/>
      <c r="U109" s="90"/>
      <c r="V109" s="84"/>
      <c r="W109" s="84"/>
      <c r="X109" s="116">
        <v>1700.0</v>
      </c>
      <c r="Y109" s="114">
        <v>45899.0</v>
      </c>
      <c r="Z109" s="93"/>
      <c r="AA109" s="93"/>
      <c r="AB109" s="84"/>
      <c r="AC109" s="84"/>
      <c r="AD109" s="94">
        <f t="shared" si="2"/>
        <v>2400</v>
      </c>
      <c r="AE109" s="84"/>
      <c r="AF109" s="84"/>
      <c r="AG109" s="84"/>
      <c r="AH109" s="84"/>
      <c r="AI109" s="84"/>
    </row>
    <row r="110">
      <c r="A110" s="89"/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123"/>
      <c r="Z110" s="93"/>
      <c r="AA110" s="93"/>
      <c r="AB110" s="84"/>
      <c r="AC110" s="84"/>
      <c r="AD110" s="94"/>
      <c r="AE110" s="84"/>
      <c r="AF110" s="84"/>
      <c r="AG110" s="84"/>
      <c r="AH110" s="84"/>
      <c r="AI110" s="84"/>
    </row>
    <row r="111">
      <c r="A111" s="113">
        <v>45810.501712488425</v>
      </c>
      <c r="B111" s="84" t="s">
        <v>1406</v>
      </c>
      <c r="C111" s="84" t="s">
        <v>1407</v>
      </c>
      <c r="D111" s="105">
        <v>5.1935573384E10</v>
      </c>
      <c r="E111" s="105">
        <v>7.6812937E7</v>
      </c>
      <c r="F111" s="84" t="s">
        <v>1408</v>
      </c>
      <c r="G111" s="84" t="s">
        <v>1409</v>
      </c>
      <c r="H111" s="84" t="s">
        <v>1410</v>
      </c>
      <c r="I111" s="84" t="s">
        <v>1410</v>
      </c>
      <c r="J111" s="84" t="s">
        <v>1411</v>
      </c>
      <c r="K111" s="84" t="s">
        <v>1219</v>
      </c>
      <c r="L111" s="84" t="s">
        <v>814</v>
      </c>
      <c r="M111" s="109">
        <v>45809.0</v>
      </c>
      <c r="N111" s="105">
        <v>30.0</v>
      </c>
      <c r="O111" s="87">
        <v>250.0</v>
      </c>
      <c r="P111" s="84" t="s">
        <v>920</v>
      </c>
      <c r="Q111" s="105">
        <v>1.0768129377E10</v>
      </c>
      <c r="R111" s="84" t="s">
        <v>806</v>
      </c>
      <c r="S111" s="115" t="s">
        <v>807</v>
      </c>
      <c r="T111" s="89"/>
      <c r="U111" s="90"/>
      <c r="V111" s="123"/>
      <c r="W111" s="84" t="s">
        <v>1412</v>
      </c>
      <c r="X111" s="116">
        <v>200.0</v>
      </c>
      <c r="Y111" s="114">
        <v>45850.0</v>
      </c>
      <c r="Z111" s="93"/>
      <c r="AA111" s="93"/>
      <c r="AB111" s="84"/>
      <c r="AC111" s="84"/>
      <c r="AD111" s="94">
        <f t="shared" ref="AD111:AD116" si="4">O111+X111+Z111+AB111</f>
        <v>450</v>
      </c>
      <c r="AE111" s="84"/>
      <c r="AF111" s="84"/>
      <c r="AG111" s="84"/>
      <c r="AH111" s="84"/>
      <c r="AI111" s="84"/>
    </row>
    <row r="112">
      <c r="A112" s="113">
        <v>45817.62589383102</v>
      </c>
      <c r="B112" s="84" t="s">
        <v>1413</v>
      </c>
      <c r="C112" s="84" t="s">
        <v>1414</v>
      </c>
      <c r="D112" s="105">
        <v>5.198601759E10</v>
      </c>
      <c r="E112" s="105">
        <v>4.3879771E7</v>
      </c>
      <c r="F112" s="84" t="s">
        <v>1415</v>
      </c>
      <c r="G112" s="84" t="s">
        <v>1416</v>
      </c>
      <c r="H112" s="84" t="s">
        <v>1416</v>
      </c>
      <c r="I112" s="84" t="s">
        <v>1416</v>
      </c>
      <c r="J112" s="84" t="s">
        <v>1009</v>
      </c>
      <c r="K112" s="84" t="s">
        <v>847</v>
      </c>
      <c r="L112" s="84" t="s">
        <v>1417</v>
      </c>
      <c r="M112" s="109">
        <v>45816.0</v>
      </c>
      <c r="N112" s="105">
        <v>38.0</v>
      </c>
      <c r="O112" s="87">
        <v>260.0</v>
      </c>
      <c r="P112" s="84" t="s">
        <v>805</v>
      </c>
      <c r="Q112" s="84"/>
      <c r="R112" s="84" t="s">
        <v>806</v>
      </c>
      <c r="S112" s="115" t="s">
        <v>807</v>
      </c>
      <c r="T112" s="89"/>
      <c r="U112" s="90"/>
      <c r="V112" s="123"/>
      <c r="W112" s="123"/>
      <c r="X112" s="116">
        <v>290.0</v>
      </c>
      <c r="Y112" s="114">
        <v>45831.0</v>
      </c>
      <c r="Z112" s="93"/>
      <c r="AA112" s="93"/>
      <c r="AB112" s="84"/>
      <c r="AC112" s="84"/>
      <c r="AD112" s="94">
        <f t="shared" si="4"/>
        <v>550</v>
      </c>
      <c r="AE112" s="84"/>
      <c r="AF112" s="84"/>
      <c r="AG112" s="84"/>
      <c r="AH112" s="84"/>
      <c r="AI112" s="84"/>
    </row>
    <row r="113">
      <c r="A113" s="113">
        <v>45821.54964666667</v>
      </c>
      <c r="B113" s="117" t="s">
        <v>1418</v>
      </c>
      <c r="C113" s="117" t="s">
        <v>1419</v>
      </c>
      <c r="D113" s="118">
        <v>5.1965108009E10</v>
      </c>
      <c r="E113" s="118">
        <v>4.3148401E7</v>
      </c>
      <c r="F113" s="117" t="s">
        <v>1420</v>
      </c>
      <c r="G113" s="117" t="s">
        <v>1421</v>
      </c>
      <c r="H113" s="117" t="s">
        <v>1422</v>
      </c>
      <c r="I113" s="117" t="s">
        <v>30</v>
      </c>
      <c r="J113" s="117" t="s">
        <v>30</v>
      </c>
      <c r="K113" s="117" t="s">
        <v>1423</v>
      </c>
      <c r="L113" s="117" t="s">
        <v>804</v>
      </c>
      <c r="M113" s="109">
        <v>45821.0</v>
      </c>
      <c r="N113" s="105">
        <v>39.0</v>
      </c>
      <c r="O113" s="87">
        <v>50.0</v>
      </c>
      <c r="P113" s="84" t="s">
        <v>920</v>
      </c>
      <c r="Q113" s="105">
        <v>2.060566954E10</v>
      </c>
      <c r="R113" s="84" t="s">
        <v>988</v>
      </c>
      <c r="S113" s="115" t="s">
        <v>1424</v>
      </c>
      <c r="T113" s="89"/>
      <c r="U113" s="90"/>
      <c r="V113" s="89"/>
      <c r="W113" s="89"/>
      <c r="X113" s="116">
        <v>249.0</v>
      </c>
      <c r="Y113" s="114">
        <v>45824.0</v>
      </c>
      <c r="Z113" s="93"/>
      <c r="AA113" s="93"/>
      <c r="AB113" s="84"/>
      <c r="AC113" s="84"/>
      <c r="AD113" s="94">
        <f t="shared" si="4"/>
        <v>299</v>
      </c>
      <c r="AE113" s="84"/>
      <c r="AF113" s="84"/>
      <c r="AG113" s="84"/>
      <c r="AH113" s="84"/>
      <c r="AI113" s="84"/>
    </row>
    <row r="114">
      <c r="A114" s="113">
        <v>45831.75034268518</v>
      </c>
      <c r="B114" s="117" t="s">
        <v>1425</v>
      </c>
      <c r="C114" s="117" t="s">
        <v>1426</v>
      </c>
      <c r="D114" s="118">
        <v>5.1989355085E10</v>
      </c>
      <c r="E114" s="118">
        <v>4.3125173E7</v>
      </c>
      <c r="F114" s="117" t="s">
        <v>1427</v>
      </c>
      <c r="G114" s="117" t="s">
        <v>1428</v>
      </c>
      <c r="H114" s="117" t="s">
        <v>1047</v>
      </c>
      <c r="I114" s="117" t="s">
        <v>1429</v>
      </c>
      <c r="J114" s="117" t="s">
        <v>867</v>
      </c>
      <c r="K114" s="117" t="s">
        <v>1207</v>
      </c>
      <c r="L114" s="117" t="s">
        <v>884</v>
      </c>
      <c r="M114" s="109">
        <v>45837.0</v>
      </c>
      <c r="N114" s="105">
        <v>39.0</v>
      </c>
      <c r="O114" s="87">
        <v>100.0</v>
      </c>
      <c r="P114" s="84" t="s">
        <v>805</v>
      </c>
      <c r="Q114" s="84"/>
      <c r="R114" s="84" t="s">
        <v>806</v>
      </c>
      <c r="S114" s="115" t="s">
        <v>1424</v>
      </c>
      <c r="T114" s="89"/>
      <c r="U114" s="90"/>
      <c r="V114" s="89"/>
      <c r="W114" s="89"/>
      <c r="X114" s="87">
        <v>150.0</v>
      </c>
      <c r="Y114" s="114">
        <v>45833.0</v>
      </c>
      <c r="Z114" s="116">
        <v>250.0</v>
      </c>
      <c r="AA114" s="114">
        <v>45858.0</v>
      </c>
      <c r="AB114" s="84"/>
      <c r="AC114" s="84"/>
      <c r="AD114" s="94">
        <f t="shared" si="4"/>
        <v>500</v>
      </c>
      <c r="AE114" s="84"/>
      <c r="AF114" s="84"/>
      <c r="AG114" s="84"/>
      <c r="AH114" s="84"/>
      <c r="AI114" s="84"/>
    </row>
    <row r="115">
      <c r="A115" s="113">
        <v>45834.572578217594</v>
      </c>
      <c r="B115" s="121" t="s">
        <v>1430</v>
      </c>
      <c r="C115" s="121" t="s">
        <v>1431</v>
      </c>
      <c r="D115" s="122">
        <v>5.1984478817E10</v>
      </c>
      <c r="E115" s="122">
        <v>2.9701592E7</v>
      </c>
      <c r="F115" s="121" t="s">
        <v>1432</v>
      </c>
      <c r="G115" s="121" t="s">
        <v>1433</v>
      </c>
      <c r="H115" s="121" t="s">
        <v>1434</v>
      </c>
      <c r="I115" s="121" t="s">
        <v>1234</v>
      </c>
      <c r="J115" s="121" t="s">
        <v>1234</v>
      </c>
      <c r="K115" s="121" t="s">
        <v>1435</v>
      </c>
      <c r="L115" s="121" t="s">
        <v>893</v>
      </c>
      <c r="M115" s="109">
        <v>45840.0</v>
      </c>
      <c r="N115" s="105">
        <v>48.0</v>
      </c>
      <c r="O115" s="87">
        <v>200.0</v>
      </c>
      <c r="P115" s="84" t="s">
        <v>805</v>
      </c>
      <c r="Q115" s="84"/>
      <c r="R115" s="84" t="s">
        <v>806</v>
      </c>
      <c r="S115" s="115" t="s">
        <v>807</v>
      </c>
      <c r="T115" s="89"/>
      <c r="U115" s="90"/>
      <c r="V115" s="89"/>
      <c r="W115" s="89"/>
      <c r="X115" s="87">
        <v>199.0</v>
      </c>
      <c r="Y115" s="92">
        <v>45870.0</v>
      </c>
      <c r="Z115" s="93"/>
      <c r="AA115" s="93"/>
      <c r="AB115" s="84"/>
      <c r="AC115" s="84"/>
      <c r="AD115" s="94">
        <f t="shared" si="4"/>
        <v>399</v>
      </c>
      <c r="AE115" s="84"/>
      <c r="AF115" s="84"/>
      <c r="AG115" s="84"/>
      <c r="AH115" s="84"/>
      <c r="AI115" s="84"/>
    </row>
    <row r="116">
      <c r="A116" s="113">
        <v>45838.62874475695</v>
      </c>
      <c r="B116" s="84" t="s">
        <v>1436</v>
      </c>
      <c r="C116" s="84" t="s">
        <v>1437</v>
      </c>
      <c r="D116" s="105">
        <v>5.1902365996E10</v>
      </c>
      <c r="E116" s="105">
        <v>7.7806579E7</v>
      </c>
      <c r="F116" s="84" t="s">
        <v>1438</v>
      </c>
      <c r="G116" s="84" t="s">
        <v>1439</v>
      </c>
      <c r="H116" s="84" t="s">
        <v>994</v>
      </c>
      <c r="I116" s="84" t="s">
        <v>1440</v>
      </c>
      <c r="J116" s="84" t="s">
        <v>905</v>
      </c>
      <c r="K116" s="84" t="s">
        <v>1441</v>
      </c>
      <c r="L116" s="84" t="s">
        <v>848</v>
      </c>
      <c r="M116" s="109">
        <v>45837.0</v>
      </c>
      <c r="N116" s="105">
        <v>25.0</v>
      </c>
      <c r="O116" s="87">
        <v>900.0</v>
      </c>
      <c r="P116" s="84" t="s">
        <v>805</v>
      </c>
      <c r="Q116" s="84"/>
      <c r="R116" s="84" t="s">
        <v>806</v>
      </c>
      <c r="S116" s="115" t="s">
        <v>807</v>
      </c>
      <c r="T116" s="89"/>
      <c r="U116" s="90"/>
      <c r="V116" s="89"/>
      <c r="W116" s="89"/>
      <c r="X116" s="116">
        <v>850.0</v>
      </c>
      <c r="Y116" s="114">
        <v>45863.0</v>
      </c>
      <c r="Z116" s="116">
        <v>850.0</v>
      </c>
      <c r="AA116" s="114">
        <v>45894.0</v>
      </c>
      <c r="AB116" s="84"/>
      <c r="AC116" s="84"/>
      <c r="AD116" s="94">
        <f t="shared" si="4"/>
        <v>2600</v>
      </c>
      <c r="AE116" s="84"/>
      <c r="AF116" s="84"/>
      <c r="AG116" s="84"/>
      <c r="AH116" s="84"/>
      <c r="AI116" s="84"/>
    </row>
    <row r="117">
      <c r="A117" s="89"/>
      <c r="B117" s="89"/>
      <c r="C117" s="89"/>
      <c r="D117" s="89"/>
      <c r="E117" s="89"/>
      <c r="F117" s="89"/>
      <c r="G117" s="89"/>
      <c r="H117" s="89"/>
      <c r="I117" s="89"/>
      <c r="J117" s="89"/>
      <c r="K117" s="89"/>
      <c r="L117" s="84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93"/>
      <c r="AA117" s="93"/>
      <c r="AB117" s="84"/>
      <c r="AC117" s="84"/>
      <c r="AD117" s="93"/>
      <c r="AE117" s="84"/>
      <c r="AF117" s="84"/>
      <c r="AG117" s="84"/>
      <c r="AH117" s="84"/>
      <c r="AI117" s="84"/>
    </row>
    <row r="118">
      <c r="A118" s="124">
        <v>45779.78973243055</v>
      </c>
      <c r="B118" s="84" t="s">
        <v>1442</v>
      </c>
      <c r="C118" s="84" t="s">
        <v>1443</v>
      </c>
      <c r="D118" s="78">
        <v>5.1918643753E10</v>
      </c>
      <c r="E118" s="78">
        <v>7.4580253E7</v>
      </c>
      <c r="F118" s="84" t="s">
        <v>1444</v>
      </c>
      <c r="G118" s="84" t="s">
        <v>1445</v>
      </c>
      <c r="H118" s="84" t="s">
        <v>1446</v>
      </c>
      <c r="I118" s="84" t="s">
        <v>1234</v>
      </c>
      <c r="J118" s="84" t="s">
        <v>1234</v>
      </c>
      <c r="K118" s="84" t="s">
        <v>1447</v>
      </c>
      <c r="L118" s="84" t="s">
        <v>814</v>
      </c>
      <c r="M118" s="109">
        <v>45781.0</v>
      </c>
      <c r="N118" s="105">
        <v>31.0</v>
      </c>
      <c r="O118" s="87">
        <v>100.0</v>
      </c>
      <c r="P118" s="84" t="s">
        <v>920</v>
      </c>
      <c r="Q118" s="105">
        <v>1.0745802538E10</v>
      </c>
      <c r="R118" s="125" t="s">
        <v>988</v>
      </c>
      <c r="S118" s="115" t="s">
        <v>807</v>
      </c>
      <c r="T118" s="89"/>
      <c r="U118" s="90"/>
      <c r="V118" s="123"/>
      <c r="W118" s="123"/>
      <c r="X118" s="116">
        <v>299.0</v>
      </c>
      <c r="Y118" s="114">
        <v>45814.0</v>
      </c>
      <c r="Z118" s="93"/>
      <c r="AA118" s="93"/>
      <c r="AB118" s="84"/>
      <c r="AC118" s="84"/>
      <c r="AD118" s="94">
        <f t="shared" ref="AD118:AD132" si="5">O118+X118+Z118+AB118</f>
        <v>399</v>
      </c>
      <c r="AE118" s="84"/>
      <c r="AF118" s="84"/>
      <c r="AG118" s="84"/>
      <c r="AH118" s="84"/>
      <c r="AI118" s="84"/>
    </row>
    <row r="119">
      <c r="A119" s="113">
        <v>45780.384949872685</v>
      </c>
      <c r="B119" s="117" t="s">
        <v>1448</v>
      </c>
      <c r="C119" s="117" t="s">
        <v>1449</v>
      </c>
      <c r="D119" s="118">
        <v>5.1973423889E10</v>
      </c>
      <c r="E119" s="126">
        <v>7.2023149E7</v>
      </c>
      <c r="F119" s="117" t="s">
        <v>1450</v>
      </c>
      <c r="G119" s="117" t="s">
        <v>1451</v>
      </c>
      <c r="H119" s="117" t="s">
        <v>1452</v>
      </c>
      <c r="I119" s="117" t="s">
        <v>1452</v>
      </c>
      <c r="J119" s="117" t="s">
        <v>1171</v>
      </c>
      <c r="K119" s="117" t="s">
        <v>995</v>
      </c>
      <c r="L119" s="117" t="s">
        <v>1417</v>
      </c>
      <c r="M119" s="109">
        <v>45781.0</v>
      </c>
      <c r="N119" s="105">
        <v>28.0</v>
      </c>
      <c r="O119" s="87">
        <v>100.0</v>
      </c>
      <c r="P119" s="84" t="s">
        <v>920</v>
      </c>
      <c r="Q119" s="105">
        <v>1.0720231498E10</v>
      </c>
      <c r="R119" s="84" t="s">
        <v>806</v>
      </c>
      <c r="S119" s="115" t="s">
        <v>1453</v>
      </c>
      <c r="T119" s="107">
        <v>45793.0</v>
      </c>
      <c r="U119" s="90"/>
      <c r="V119" s="123"/>
      <c r="W119" s="123"/>
      <c r="X119" s="116">
        <v>420.0</v>
      </c>
      <c r="Y119" s="114">
        <v>45782.0</v>
      </c>
      <c r="Z119" s="93"/>
      <c r="AA119" s="93"/>
      <c r="AB119" s="84"/>
      <c r="AC119" s="84"/>
      <c r="AD119" s="94">
        <f t="shared" si="5"/>
        <v>520</v>
      </c>
      <c r="AE119" s="84"/>
      <c r="AF119" s="84"/>
      <c r="AG119" s="84"/>
      <c r="AH119" s="84"/>
      <c r="AI119" s="84"/>
    </row>
    <row r="120">
      <c r="A120" s="124">
        <v>45784.455728981484</v>
      </c>
      <c r="B120" s="84" t="s">
        <v>1454</v>
      </c>
      <c r="C120" s="84" t="s">
        <v>1455</v>
      </c>
      <c r="D120" s="78">
        <v>5.1942695372E10</v>
      </c>
      <c r="E120" s="127" t="s">
        <v>1456</v>
      </c>
      <c r="F120" s="84" t="s">
        <v>1457</v>
      </c>
      <c r="G120" s="84" t="s">
        <v>1458</v>
      </c>
      <c r="H120" s="84" t="s">
        <v>1459</v>
      </c>
      <c r="I120" s="84" t="s">
        <v>1460</v>
      </c>
      <c r="J120" s="84" t="s">
        <v>1460</v>
      </c>
      <c r="K120" s="84" t="s">
        <v>913</v>
      </c>
      <c r="L120" s="84" t="s">
        <v>893</v>
      </c>
      <c r="M120" s="109">
        <v>45784.0</v>
      </c>
      <c r="N120" s="105">
        <v>59.0</v>
      </c>
      <c r="O120" s="87">
        <v>100.0</v>
      </c>
      <c r="P120" s="84" t="s">
        <v>920</v>
      </c>
      <c r="Q120" s="105">
        <v>2.0450441491E10</v>
      </c>
      <c r="R120" s="84" t="s">
        <v>1461</v>
      </c>
      <c r="S120" s="115" t="s">
        <v>1453</v>
      </c>
      <c r="T120" s="107">
        <v>45812.0</v>
      </c>
      <c r="U120" s="90"/>
      <c r="V120" s="123"/>
      <c r="W120" s="123"/>
      <c r="X120" s="116">
        <v>300.0</v>
      </c>
      <c r="Y120" s="114">
        <v>45803.0</v>
      </c>
      <c r="Z120" s="93"/>
      <c r="AA120" s="93"/>
      <c r="AB120" s="84"/>
      <c r="AC120" s="84"/>
      <c r="AD120" s="94">
        <f t="shared" si="5"/>
        <v>400</v>
      </c>
      <c r="AE120" s="84"/>
      <c r="AF120" s="84"/>
      <c r="AG120" s="84"/>
      <c r="AH120" s="84"/>
      <c r="AI120" s="84"/>
    </row>
    <row r="121">
      <c r="A121" s="124">
        <v>45786.63668945602</v>
      </c>
      <c r="B121" s="84" t="s">
        <v>1462</v>
      </c>
      <c r="C121" s="84" t="s">
        <v>1463</v>
      </c>
      <c r="D121" s="78">
        <v>5.1902329723E10</v>
      </c>
      <c r="E121" s="78">
        <v>2.9358526E7</v>
      </c>
      <c r="F121" s="84" t="s">
        <v>1464</v>
      </c>
      <c r="G121" s="84" t="s">
        <v>1465</v>
      </c>
      <c r="H121" s="84" t="s">
        <v>1466</v>
      </c>
      <c r="I121" s="84" t="s">
        <v>1234</v>
      </c>
      <c r="J121" s="84" t="s">
        <v>1234</v>
      </c>
      <c r="K121" s="84" t="s">
        <v>927</v>
      </c>
      <c r="L121" s="84" t="s">
        <v>814</v>
      </c>
      <c r="M121" s="109">
        <v>45795.0</v>
      </c>
      <c r="N121" s="105">
        <v>65.0</v>
      </c>
      <c r="O121" s="87">
        <v>100.0</v>
      </c>
      <c r="P121" s="84" t="s">
        <v>805</v>
      </c>
      <c r="Q121" s="84"/>
      <c r="R121" s="128" t="s">
        <v>1018</v>
      </c>
      <c r="S121" s="115" t="s">
        <v>1453</v>
      </c>
      <c r="T121" s="107">
        <v>45812.0</v>
      </c>
      <c r="U121" s="90"/>
      <c r="V121" s="123"/>
      <c r="W121" s="123"/>
      <c r="X121" s="116">
        <v>349.0</v>
      </c>
      <c r="Y121" s="114">
        <v>45814.0</v>
      </c>
      <c r="Z121" s="93"/>
      <c r="AA121" s="93"/>
      <c r="AB121" s="84"/>
      <c r="AC121" s="84"/>
      <c r="AD121" s="94">
        <f t="shared" si="5"/>
        <v>449</v>
      </c>
      <c r="AE121" s="84"/>
      <c r="AF121" s="84"/>
      <c r="AG121" s="84"/>
      <c r="AH121" s="84"/>
      <c r="AI121" s="84"/>
    </row>
    <row r="122">
      <c r="A122" s="113">
        <v>45795.24468428241</v>
      </c>
      <c r="B122" s="84" t="s">
        <v>1467</v>
      </c>
      <c r="C122" s="84" t="s">
        <v>1468</v>
      </c>
      <c r="D122" s="78">
        <v>5.1990088948E10</v>
      </c>
      <c r="E122" s="78">
        <v>2.1845784E7</v>
      </c>
      <c r="F122" s="84" t="s">
        <v>1469</v>
      </c>
      <c r="G122" s="84" t="s">
        <v>1470</v>
      </c>
      <c r="H122" s="84" t="s">
        <v>1471</v>
      </c>
      <c r="I122" s="84" t="s">
        <v>30</v>
      </c>
      <c r="J122" s="84" t="s">
        <v>1124</v>
      </c>
      <c r="K122" s="84" t="s">
        <v>847</v>
      </c>
      <c r="L122" s="84" t="s">
        <v>1417</v>
      </c>
      <c r="M122" s="109">
        <v>45795.0</v>
      </c>
      <c r="N122" s="105">
        <v>58.0</v>
      </c>
      <c r="O122" s="87">
        <v>300.0</v>
      </c>
      <c r="P122" s="84" t="s">
        <v>805</v>
      </c>
      <c r="Q122" s="84"/>
      <c r="R122" s="84" t="s">
        <v>806</v>
      </c>
      <c r="S122" s="115" t="s">
        <v>807</v>
      </c>
      <c r="T122" s="89"/>
      <c r="U122" s="90"/>
      <c r="V122" s="123"/>
      <c r="W122" s="123"/>
      <c r="X122" s="87">
        <v>150.0</v>
      </c>
      <c r="Y122" s="114">
        <v>45823.0</v>
      </c>
      <c r="Z122" s="116">
        <v>149.0</v>
      </c>
      <c r="AA122" s="114">
        <v>45823.0</v>
      </c>
      <c r="AB122" s="84"/>
      <c r="AC122" s="84"/>
      <c r="AD122" s="94">
        <f t="shared" si="5"/>
        <v>599</v>
      </c>
      <c r="AE122" s="84"/>
      <c r="AF122" s="84"/>
      <c r="AG122" s="84"/>
      <c r="AH122" s="84"/>
      <c r="AI122" s="84"/>
    </row>
    <row r="123">
      <c r="A123" s="113">
        <v>45799.68211634259</v>
      </c>
      <c r="B123" s="84" t="s">
        <v>1472</v>
      </c>
      <c r="C123" s="84" t="s">
        <v>1473</v>
      </c>
      <c r="D123" s="78">
        <v>5.1951976168E10</v>
      </c>
      <c r="E123" s="78">
        <v>4.4814145E7</v>
      </c>
      <c r="F123" s="84" t="s">
        <v>1474</v>
      </c>
      <c r="G123" s="84" t="s">
        <v>30</v>
      </c>
      <c r="H123" s="84" t="s">
        <v>30</v>
      </c>
      <c r="I123" s="84" t="s">
        <v>30</v>
      </c>
      <c r="J123" s="84" t="s">
        <v>30</v>
      </c>
      <c r="K123" s="84" t="s">
        <v>1475</v>
      </c>
      <c r="L123" s="84" t="s">
        <v>804</v>
      </c>
      <c r="M123" s="109">
        <v>45807.0</v>
      </c>
      <c r="N123" s="105">
        <v>37.0</v>
      </c>
      <c r="O123" s="87">
        <v>180.0</v>
      </c>
      <c r="P123" s="84" t="s">
        <v>805</v>
      </c>
      <c r="Q123" s="84"/>
      <c r="R123" s="84" t="s">
        <v>806</v>
      </c>
      <c r="S123" s="115" t="s">
        <v>807</v>
      </c>
      <c r="T123" s="89"/>
      <c r="U123" s="90"/>
      <c r="V123" s="123"/>
      <c r="W123" s="123"/>
      <c r="X123" s="116">
        <v>170.0</v>
      </c>
      <c r="Y123" s="114">
        <v>45823.0</v>
      </c>
      <c r="Z123" s="93"/>
      <c r="AA123" s="93"/>
      <c r="AB123" s="84"/>
      <c r="AC123" s="84"/>
      <c r="AD123" s="94">
        <f t="shared" si="5"/>
        <v>350</v>
      </c>
      <c r="AE123" s="84"/>
      <c r="AF123" s="84"/>
      <c r="AG123" s="84"/>
      <c r="AH123" s="84"/>
      <c r="AI123" s="84"/>
    </row>
    <row r="124">
      <c r="A124" s="124">
        <v>45799.81510946759</v>
      </c>
      <c r="B124" s="84" t="s">
        <v>1476</v>
      </c>
      <c r="C124" s="84" t="s">
        <v>1477</v>
      </c>
      <c r="D124" s="78">
        <v>5.1920543176E10</v>
      </c>
      <c r="E124" s="78">
        <v>4.8440176E7</v>
      </c>
      <c r="F124" s="84" t="s">
        <v>1478</v>
      </c>
      <c r="G124" s="84" t="s">
        <v>1479</v>
      </c>
      <c r="H124" s="84" t="s">
        <v>1479</v>
      </c>
      <c r="I124" s="84" t="s">
        <v>1479</v>
      </c>
      <c r="J124" s="84" t="s">
        <v>899</v>
      </c>
      <c r="K124" s="84" t="s">
        <v>1480</v>
      </c>
      <c r="L124" s="84" t="s">
        <v>1481</v>
      </c>
      <c r="M124" s="109">
        <v>45799.0</v>
      </c>
      <c r="N124" s="105">
        <v>31.0</v>
      </c>
      <c r="O124" s="87">
        <v>500.0</v>
      </c>
      <c r="P124" s="89" t="s">
        <v>920</v>
      </c>
      <c r="Q124" s="107">
        <v>2.0611932406E10</v>
      </c>
      <c r="R124" s="128" t="s">
        <v>1018</v>
      </c>
      <c r="S124" s="115" t="s">
        <v>1453</v>
      </c>
      <c r="T124" s="107">
        <v>45812.0</v>
      </c>
      <c r="U124" s="90"/>
      <c r="V124" s="123"/>
      <c r="W124" s="123"/>
      <c r="X124" s="116">
        <v>2499.0</v>
      </c>
      <c r="Y124" s="114">
        <v>45807.0</v>
      </c>
      <c r="Z124" s="93"/>
      <c r="AA124" s="93"/>
      <c r="AB124" s="84"/>
      <c r="AC124" s="84"/>
      <c r="AD124" s="94">
        <f t="shared" si="5"/>
        <v>2999</v>
      </c>
      <c r="AE124" s="84"/>
      <c r="AF124" s="84"/>
      <c r="AG124" s="84"/>
      <c r="AH124" s="84"/>
      <c r="AI124" s="84"/>
    </row>
    <row r="125">
      <c r="A125" s="124">
        <v>45800.55644518518</v>
      </c>
      <c r="B125" s="84" t="s">
        <v>1482</v>
      </c>
      <c r="C125" s="84" t="s">
        <v>1483</v>
      </c>
      <c r="D125" s="78">
        <v>5.1997462357E10</v>
      </c>
      <c r="E125" s="78">
        <v>4.357939E7</v>
      </c>
      <c r="F125" s="84" t="s">
        <v>1484</v>
      </c>
      <c r="G125" s="84" t="s">
        <v>1485</v>
      </c>
      <c r="H125" s="84" t="s">
        <v>873</v>
      </c>
      <c r="I125" s="84" t="s">
        <v>873</v>
      </c>
      <c r="J125" s="84" t="s">
        <v>964</v>
      </c>
      <c r="K125" s="84" t="s">
        <v>919</v>
      </c>
      <c r="L125" s="84" t="s">
        <v>884</v>
      </c>
      <c r="M125" s="109">
        <v>45801.0</v>
      </c>
      <c r="N125" s="105">
        <v>38.0</v>
      </c>
      <c r="O125" s="87">
        <v>200.0</v>
      </c>
      <c r="P125" s="89" t="s">
        <v>805</v>
      </c>
      <c r="Q125" s="89"/>
      <c r="R125" s="128" t="s">
        <v>806</v>
      </c>
      <c r="S125" s="115" t="s">
        <v>1453</v>
      </c>
      <c r="T125" s="107">
        <v>45812.0</v>
      </c>
      <c r="U125" s="90"/>
      <c r="V125" s="123"/>
      <c r="W125" s="123"/>
      <c r="X125" s="116">
        <v>299.0</v>
      </c>
      <c r="Y125" s="114">
        <v>45808.0</v>
      </c>
      <c r="Z125" s="93"/>
      <c r="AA125" s="93"/>
      <c r="AB125" s="84"/>
      <c r="AC125" s="84"/>
      <c r="AD125" s="94">
        <f t="shared" si="5"/>
        <v>499</v>
      </c>
      <c r="AE125" s="84"/>
      <c r="AF125" s="84"/>
      <c r="AG125" s="84"/>
      <c r="AH125" s="84"/>
      <c r="AI125" s="84"/>
    </row>
    <row r="126">
      <c r="A126" s="124">
        <v>45800.62216453704</v>
      </c>
      <c r="B126" s="84" t="s">
        <v>550</v>
      </c>
      <c r="C126" s="129" t="s">
        <v>1486</v>
      </c>
      <c r="D126" s="78">
        <v>5.1968311208E10</v>
      </c>
      <c r="E126" s="78">
        <v>7.1753544E7</v>
      </c>
      <c r="F126" s="84" t="s">
        <v>1487</v>
      </c>
      <c r="G126" s="84" t="s">
        <v>1488</v>
      </c>
      <c r="H126" s="84" t="s">
        <v>1489</v>
      </c>
      <c r="I126" s="84" t="s">
        <v>1124</v>
      </c>
      <c r="J126" s="84" t="s">
        <v>1124</v>
      </c>
      <c r="K126" s="84" t="s">
        <v>1490</v>
      </c>
      <c r="L126" s="84" t="s">
        <v>804</v>
      </c>
      <c r="M126" s="109">
        <v>45807.0</v>
      </c>
      <c r="N126" s="105">
        <v>27.0</v>
      </c>
      <c r="O126" s="87">
        <v>50.0</v>
      </c>
      <c r="P126" s="89" t="s">
        <v>805</v>
      </c>
      <c r="Q126" s="89"/>
      <c r="R126" s="89" t="s">
        <v>988</v>
      </c>
      <c r="S126" s="115" t="s">
        <v>1424</v>
      </c>
      <c r="T126" s="89"/>
      <c r="U126" s="90"/>
      <c r="V126" s="123"/>
      <c r="W126" s="123"/>
      <c r="X126" s="116">
        <v>299.0</v>
      </c>
      <c r="Y126" s="114">
        <v>45821.0</v>
      </c>
      <c r="Z126" s="93"/>
      <c r="AA126" s="93"/>
      <c r="AB126" s="84"/>
      <c r="AC126" s="84"/>
      <c r="AD126" s="94">
        <f t="shared" si="5"/>
        <v>349</v>
      </c>
      <c r="AE126" s="84"/>
      <c r="AF126" s="84"/>
      <c r="AG126" s="84"/>
      <c r="AH126" s="84"/>
      <c r="AI126" s="84"/>
    </row>
    <row r="127">
      <c r="A127" s="113">
        <v>45800.88772331018</v>
      </c>
      <c r="B127" s="84" t="s">
        <v>1491</v>
      </c>
      <c r="C127" s="84" t="s">
        <v>1492</v>
      </c>
      <c r="D127" s="78">
        <v>5.1998931276E10</v>
      </c>
      <c r="E127" s="127" t="s">
        <v>1493</v>
      </c>
      <c r="F127" s="84" t="s">
        <v>1494</v>
      </c>
      <c r="G127" s="84" t="s">
        <v>30</v>
      </c>
      <c r="H127" s="84" t="s">
        <v>30</v>
      </c>
      <c r="I127" s="84" t="s">
        <v>30</v>
      </c>
      <c r="J127" s="84" t="s">
        <v>30</v>
      </c>
      <c r="K127" s="84" t="s">
        <v>1154</v>
      </c>
      <c r="L127" s="84" t="s">
        <v>893</v>
      </c>
      <c r="M127" s="109">
        <v>45805.0</v>
      </c>
      <c r="N127" s="105">
        <v>45.0</v>
      </c>
      <c r="O127" s="87">
        <v>200.0</v>
      </c>
      <c r="P127" s="84" t="s">
        <v>805</v>
      </c>
      <c r="Q127" s="84"/>
      <c r="R127" s="84" t="s">
        <v>1461</v>
      </c>
      <c r="S127" s="115" t="s">
        <v>807</v>
      </c>
      <c r="T127" s="89"/>
      <c r="U127" s="90"/>
      <c r="V127" s="123"/>
      <c r="W127" s="123"/>
      <c r="X127" s="116">
        <v>200.0</v>
      </c>
      <c r="Y127" s="114">
        <v>45823.0</v>
      </c>
      <c r="Z127" s="93"/>
      <c r="AA127" s="93"/>
      <c r="AB127" s="84"/>
      <c r="AC127" s="84"/>
      <c r="AD127" s="94">
        <f t="shared" si="5"/>
        <v>400</v>
      </c>
      <c r="AE127" s="84"/>
      <c r="AF127" s="84"/>
      <c r="AG127" s="84"/>
      <c r="AH127" s="84"/>
      <c r="AI127" s="84"/>
    </row>
    <row r="128">
      <c r="A128" s="124">
        <v>45804.81836925926</v>
      </c>
      <c r="B128" s="84" t="s">
        <v>1495</v>
      </c>
      <c r="C128" s="84" t="s">
        <v>1496</v>
      </c>
      <c r="D128" s="78">
        <v>5.1979848381E10</v>
      </c>
      <c r="E128" s="127" t="s">
        <v>1497</v>
      </c>
      <c r="F128" s="84" t="s">
        <v>1498</v>
      </c>
      <c r="G128" s="84" t="s">
        <v>1499</v>
      </c>
      <c r="H128" s="84" t="s">
        <v>1500</v>
      </c>
      <c r="I128" s="84" t="s">
        <v>1130</v>
      </c>
      <c r="J128" s="84" t="s">
        <v>1130</v>
      </c>
      <c r="K128" s="84" t="s">
        <v>1501</v>
      </c>
      <c r="L128" s="84" t="s">
        <v>893</v>
      </c>
      <c r="M128" s="109">
        <v>45805.0</v>
      </c>
      <c r="N128" s="105">
        <v>65.0</v>
      </c>
      <c r="O128" s="87">
        <v>150.0</v>
      </c>
      <c r="P128" s="84" t="s">
        <v>805</v>
      </c>
      <c r="Q128" s="84"/>
      <c r="R128" s="84" t="s">
        <v>822</v>
      </c>
      <c r="S128" s="115" t="s">
        <v>1453</v>
      </c>
      <c r="T128" s="107">
        <v>45812.0</v>
      </c>
      <c r="U128" s="90"/>
      <c r="V128" s="123"/>
      <c r="W128" s="123"/>
      <c r="X128" s="116">
        <v>249.0</v>
      </c>
      <c r="Y128" s="114">
        <v>45808.0</v>
      </c>
      <c r="Z128" s="93"/>
      <c r="AA128" s="93"/>
      <c r="AB128" s="84"/>
      <c r="AC128" s="84"/>
      <c r="AD128" s="94">
        <f t="shared" si="5"/>
        <v>399</v>
      </c>
      <c r="AE128" s="84"/>
      <c r="AF128" s="84"/>
      <c r="AG128" s="84"/>
      <c r="AH128" s="84"/>
      <c r="AI128" s="84"/>
    </row>
    <row r="129">
      <c r="A129" s="113">
        <v>45805.61849284722</v>
      </c>
      <c r="B129" s="84" t="s">
        <v>1502</v>
      </c>
      <c r="C129" s="84" t="s">
        <v>1503</v>
      </c>
      <c r="D129" s="78">
        <v>5.1955814694E10</v>
      </c>
      <c r="E129" s="78">
        <v>8.0512456E7</v>
      </c>
      <c r="F129" s="84" t="s">
        <v>1504</v>
      </c>
      <c r="G129" s="84" t="s">
        <v>1505</v>
      </c>
      <c r="H129" s="84" t="s">
        <v>963</v>
      </c>
      <c r="I129" s="84" t="s">
        <v>963</v>
      </c>
      <c r="J129" s="84" t="s">
        <v>964</v>
      </c>
      <c r="K129" s="84" t="s">
        <v>1300</v>
      </c>
      <c r="L129" s="84" t="s">
        <v>893</v>
      </c>
      <c r="M129" s="109">
        <v>45805.0</v>
      </c>
      <c r="N129" s="105">
        <v>46.0</v>
      </c>
      <c r="O129" s="87">
        <v>200.0</v>
      </c>
      <c r="P129" s="84" t="s">
        <v>805</v>
      </c>
      <c r="Q129" s="84"/>
      <c r="R129" s="84" t="s">
        <v>822</v>
      </c>
      <c r="S129" s="115" t="s">
        <v>1453</v>
      </c>
      <c r="T129" s="107">
        <v>45842.0</v>
      </c>
      <c r="U129" s="90"/>
      <c r="V129" s="123"/>
      <c r="W129" s="123"/>
      <c r="X129" s="87">
        <v>100.0</v>
      </c>
      <c r="Y129" s="113">
        <v>45664.74780251157</v>
      </c>
      <c r="Z129" s="116">
        <v>199.0</v>
      </c>
      <c r="AA129" s="114">
        <v>45838.0</v>
      </c>
      <c r="AB129" s="84"/>
      <c r="AC129" s="84"/>
      <c r="AD129" s="94">
        <f t="shared" si="5"/>
        <v>499</v>
      </c>
      <c r="AE129" s="84"/>
      <c r="AF129" s="84"/>
      <c r="AG129" s="84"/>
      <c r="AH129" s="84"/>
      <c r="AI129" s="84"/>
    </row>
    <row r="130">
      <c r="A130" s="113">
        <v>45805.853406979164</v>
      </c>
      <c r="B130" s="84" t="s">
        <v>1506</v>
      </c>
      <c r="C130" s="84" t="s">
        <v>1507</v>
      </c>
      <c r="D130" s="78">
        <v>5.1941919205E10</v>
      </c>
      <c r="E130" s="78">
        <v>4.8248685E7</v>
      </c>
      <c r="F130" s="84" t="s">
        <v>1508</v>
      </c>
      <c r="G130" s="84" t="s">
        <v>1509</v>
      </c>
      <c r="H130" s="84" t="s">
        <v>1510</v>
      </c>
      <c r="I130" s="84" t="s">
        <v>873</v>
      </c>
      <c r="J130" s="84" t="s">
        <v>874</v>
      </c>
      <c r="K130" s="84" t="s">
        <v>861</v>
      </c>
      <c r="L130" s="84" t="s">
        <v>848</v>
      </c>
      <c r="M130" s="109">
        <v>45808.0</v>
      </c>
      <c r="N130" s="105">
        <v>35.0</v>
      </c>
      <c r="O130" s="87">
        <v>350.0</v>
      </c>
      <c r="P130" s="84" t="s">
        <v>805</v>
      </c>
      <c r="Q130" s="84"/>
      <c r="R130" s="84" t="s">
        <v>806</v>
      </c>
      <c r="S130" s="115" t="s">
        <v>807</v>
      </c>
      <c r="T130" s="89"/>
      <c r="U130" s="90"/>
      <c r="V130" s="123"/>
      <c r="W130" s="123"/>
      <c r="X130" s="87">
        <v>550.0</v>
      </c>
      <c r="Y130" s="114">
        <v>45808.0</v>
      </c>
      <c r="Z130" s="116">
        <v>850.0</v>
      </c>
      <c r="AA130" s="114">
        <v>45828.0</v>
      </c>
      <c r="AB130" s="116">
        <v>850.0</v>
      </c>
      <c r="AC130" s="114">
        <v>45858.0</v>
      </c>
      <c r="AD130" s="94">
        <f t="shared" si="5"/>
        <v>2600</v>
      </c>
      <c r="AE130" s="84"/>
      <c r="AF130" s="84"/>
      <c r="AG130" s="84"/>
      <c r="AH130" s="84"/>
      <c r="AI130" s="84"/>
    </row>
    <row r="131">
      <c r="A131" s="113">
        <v>45806.51907524306</v>
      </c>
      <c r="B131" s="84" t="s">
        <v>1511</v>
      </c>
      <c r="C131" s="84" t="s">
        <v>1512</v>
      </c>
      <c r="D131" s="78">
        <v>5.1950440184E10</v>
      </c>
      <c r="E131" s="78">
        <v>4.3338582E7</v>
      </c>
      <c r="F131" s="84" t="s">
        <v>1513</v>
      </c>
      <c r="G131" s="84" t="s">
        <v>1514</v>
      </c>
      <c r="H131" s="84" t="s">
        <v>1514</v>
      </c>
      <c r="I131" s="84" t="s">
        <v>1515</v>
      </c>
      <c r="J131" s="84" t="s">
        <v>855</v>
      </c>
      <c r="K131" s="84" t="s">
        <v>1516</v>
      </c>
      <c r="L131" s="84" t="s">
        <v>848</v>
      </c>
      <c r="M131" s="109">
        <v>45808.0</v>
      </c>
      <c r="N131" s="105">
        <v>39.0</v>
      </c>
      <c r="O131" s="87">
        <v>1000.0</v>
      </c>
      <c r="P131" s="84" t="s">
        <v>805</v>
      </c>
      <c r="Q131" s="84"/>
      <c r="R131" s="84" t="s">
        <v>822</v>
      </c>
      <c r="S131" s="115" t="s">
        <v>1453</v>
      </c>
      <c r="T131" s="107">
        <v>45842.0</v>
      </c>
      <c r="U131" s="90"/>
      <c r="V131" s="123"/>
      <c r="W131" s="123"/>
      <c r="X131" s="87">
        <v>100.0</v>
      </c>
      <c r="Y131" s="114">
        <v>45852.0</v>
      </c>
      <c r="Z131" s="87">
        <v>800.0</v>
      </c>
      <c r="AA131" s="92">
        <v>45877.0</v>
      </c>
      <c r="AB131" s="87">
        <v>900.0</v>
      </c>
      <c r="AC131" s="92">
        <v>45899.0</v>
      </c>
      <c r="AD131" s="94">
        <f t="shared" si="5"/>
        <v>2800</v>
      </c>
      <c r="AE131" s="84"/>
      <c r="AF131" s="84"/>
      <c r="AG131" s="84"/>
      <c r="AH131" s="84"/>
      <c r="AI131" s="84"/>
    </row>
    <row r="132">
      <c r="A132" s="113">
        <v>45806.831612662034</v>
      </c>
      <c r="B132" s="84" t="s">
        <v>1517</v>
      </c>
      <c r="C132" s="84" t="s">
        <v>1518</v>
      </c>
      <c r="D132" s="78">
        <v>5.1978689782E10</v>
      </c>
      <c r="E132" s="78">
        <v>7.4466028E7</v>
      </c>
      <c r="F132" s="84" t="s">
        <v>1519</v>
      </c>
      <c r="G132" s="84" t="s">
        <v>1520</v>
      </c>
      <c r="H132" s="84" t="s">
        <v>1521</v>
      </c>
      <c r="I132" s="84" t="s">
        <v>1522</v>
      </c>
      <c r="J132" s="84" t="s">
        <v>1337</v>
      </c>
      <c r="K132" s="84" t="s">
        <v>1523</v>
      </c>
      <c r="L132" s="84" t="s">
        <v>1524</v>
      </c>
      <c r="M132" s="109">
        <v>45806.0</v>
      </c>
      <c r="N132" s="105">
        <v>19.0</v>
      </c>
      <c r="O132" s="87">
        <v>200.0</v>
      </c>
      <c r="P132" s="84" t="s">
        <v>805</v>
      </c>
      <c r="Q132" s="84"/>
      <c r="R132" s="84" t="s">
        <v>806</v>
      </c>
      <c r="S132" s="115" t="s">
        <v>807</v>
      </c>
      <c r="T132" s="89"/>
      <c r="U132" s="90"/>
      <c r="V132" s="123"/>
      <c r="W132" s="123"/>
      <c r="X132" s="87">
        <v>100.0</v>
      </c>
      <c r="Y132" s="114">
        <v>45841.0</v>
      </c>
      <c r="Z132" s="116">
        <v>99.0</v>
      </c>
      <c r="AA132" s="114">
        <v>45863.0</v>
      </c>
      <c r="AB132" s="84"/>
      <c r="AC132" s="84"/>
      <c r="AD132" s="94">
        <f t="shared" si="5"/>
        <v>399</v>
      </c>
      <c r="AE132" s="84"/>
      <c r="AF132" s="84"/>
      <c r="AG132" s="84"/>
      <c r="AH132" s="84"/>
      <c r="AI132" s="84"/>
    </row>
    <row r="133">
      <c r="A133" s="89"/>
      <c r="B133" s="89"/>
      <c r="C133" s="89"/>
      <c r="D133" s="89"/>
      <c r="E133" s="89"/>
      <c r="F133" s="89"/>
      <c r="G133" s="89"/>
      <c r="H133" s="89"/>
      <c r="I133" s="89"/>
      <c r="J133" s="89"/>
      <c r="K133" s="89"/>
      <c r="L133" s="84"/>
      <c r="M133" s="89"/>
      <c r="N133" s="89"/>
      <c r="O133" s="89"/>
      <c r="P133" s="89"/>
      <c r="Q133" s="89"/>
      <c r="R133" s="89"/>
      <c r="S133" s="89"/>
      <c r="T133" s="89"/>
      <c r="U133" s="89"/>
      <c r="V133" s="89"/>
      <c r="W133" s="89"/>
      <c r="X133" s="89"/>
      <c r="Y133" s="89"/>
      <c r="Z133" s="93"/>
      <c r="AA133" s="93"/>
      <c r="AB133" s="84"/>
      <c r="AC133" s="84"/>
      <c r="AD133" s="93"/>
      <c r="AE133" s="84"/>
      <c r="AF133" s="84"/>
      <c r="AG133" s="84"/>
      <c r="AH133" s="84"/>
      <c r="AI133" s="84"/>
    </row>
    <row r="134">
      <c r="A134" s="113">
        <v>45748.86161259259</v>
      </c>
      <c r="B134" s="84" t="s">
        <v>1525</v>
      </c>
      <c r="C134" s="84" t="s">
        <v>1526</v>
      </c>
      <c r="D134" s="105">
        <v>5.191837429E10</v>
      </c>
      <c r="E134" s="78">
        <v>7.0315433E7</v>
      </c>
      <c r="F134" s="84" t="s">
        <v>1527</v>
      </c>
      <c r="G134" s="84" t="s">
        <v>1528</v>
      </c>
      <c r="H134" s="84" t="s">
        <v>1529</v>
      </c>
      <c r="I134" s="84" t="s">
        <v>881</v>
      </c>
      <c r="J134" s="84" t="s">
        <v>882</v>
      </c>
      <c r="K134" s="84" t="s">
        <v>821</v>
      </c>
      <c r="L134" s="84" t="s">
        <v>893</v>
      </c>
      <c r="M134" s="109">
        <v>45749.0</v>
      </c>
      <c r="N134" s="105">
        <v>33.0</v>
      </c>
      <c r="O134" s="87">
        <v>229.0</v>
      </c>
      <c r="P134" s="84" t="s">
        <v>805</v>
      </c>
      <c r="Q134" s="84"/>
      <c r="R134" s="130" t="s">
        <v>1018</v>
      </c>
      <c r="S134" s="115" t="s">
        <v>1453</v>
      </c>
      <c r="T134" s="107">
        <v>45779.0</v>
      </c>
      <c r="U134" s="90"/>
      <c r="V134" s="123"/>
      <c r="W134" s="123"/>
      <c r="X134" s="116">
        <v>200.0</v>
      </c>
      <c r="Y134" s="114">
        <v>45777.0</v>
      </c>
      <c r="Z134" s="93"/>
      <c r="AA134" s="93"/>
      <c r="AB134" s="84"/>
      <c r="AC134" s="84"/>
      <c r="AD134" s="94">
        <f t="shared" ref="AD134:AD151" si="6">O134+X134+Z134+AB134</f>
        <v>429</v>
      </c>
      <c r="AE134" s="84"/>
      <c r="AF134" s="84"/>
      <c r="AG134" s="84"/>
      <c r="AH134" s="84"/>
      <c r="AI134" s="84"/>
    </row>
    <row r="135">
      <c r="A135" s="124">
        <v>45749.411950127316</v>
      </c>
      <c r="B135" s="84" t="s">
        <v>1530</v>
      </c>
      <c r="C135" s="84" t="s">
        <v>1531</v>
      </c>
      <c r="D135" s="78">
        <v>5.192424077E10</v>
      </c>
      <c r="E135" s="78">
        <v>1.52018E7</v>
      </c>
      <c r="F135" s="84" t="s">
        <v>1532</v>
      </c>
      <c r="G135" s="84" t="s">
        <v>1533</v>
      </c>
      <c r="H135" s="84" t="s">
        <v>1534</v>
      </c>
      <c r="I135" s="84" t="s">
        <v>30</v>
      </c>
      <c r="J135" s="84" t="s">
        <v>1535</v>
      </c>
      <c r="K135" s="84" t="s">
        <v>1501</v>
      </c>
      <c r="L135" s="84" t="s">
        <v>893</v>
      </c>
      <c r="M135" s="109">
        <v>45749.0</v>
      </c>
      <c r="N135" s="105">
        <v>65.0</v>
      </c>
      <c r="O135" s="87">
        <v>250.0</v>
      </c>
      <c r="P135" s="84" t="s">
        <v>920</v>
      </c>
      <c r="Q135" s="105">
        <v>2.0548607061E10</v>
      </c>
      <c r="R135" s="128" t="s">
        <v>822</v>
      </c>
      <c r="S135" s="115" t="s">
        <v>807</v>
      </c>
      <c r="T135" s="123"/>
      <c r="U135" s="90"/>
      <c r="V135" s="123"/>
      <c r="W135" s="123"/>
      <c r="X135" s="116">
        <v>250.0</v>
      </c>
      <c r="Y135" s="114">
        <v>45812.0</v>
      </c>
      <c r="Z135" s="84"/>
      <c r="AA135" s="93"/>
      <c r="AB135" s="84"/>
      <c r="AC135" s="84"/>
      <c r="AD135" s="94">
        <f t="shared" si="6"/>
        <v>500</v>
      </c>
      <c r="AE135" s="84"/>
      <c r="AF135" s="84"/>
      <c r="AG135" s="84"/>
      <c r="AH135" s="84"/>
      <c r="AI135" s="84"/>
    </row>
    <row r="136">
      <c r="A136" s="113">
        <v>45749.49562428241</v>
      </c>
      <c r="B136" s="84" t="s">
        <v>1536</v>
      </c>
      <c r="C136" s="84" t="s">
        <v>1537</v>
      </c>
      <c r="D136" s="105">
        <v>5.1987534726E10</v>
      </c>
      <c r="E136" s="78">
        <v>2.2418255E7</v>
      </c>
      <c r="F136" s="84" t="s">
        <v>1538</v>
      </c>
      <c r="G136" s="84" t="s">
        <v>1539</v>
      </c>
      <c r="H136" s="84" t="s">
        <v>1540</v>
      </c>
      <c r="I136" s="84" t="s">
        <v>30</v>
      </c>
      <c r="J136" s="84" t="s">
        <v>30</v>
      </c>
      <c r="K136" s="84" t="s">
        <v>913</v>
      </c>
      <c r="L136" s="84" t="s">
        <v>893</v>
      </c>
      <c r="M136" s="109">
        <v>45749.0</v>
      </c>
      <c r="N136" s="105">
        <v>68.0</v>
      </c>
      <c r="O136" s="87">
        <v>209.0</v>
      </c>
      <c r="P136" s="84" t="s">
        <v>805</v>
      </c>
      <c r="Q136" s="84"/>
      <c r="R136" s="128" t="s">
        <v>806</v>
      </c>
      <c r="S136" s="115" t="s">
        <v>1453</v>
      </c>
      <c r="T136" s="107">
        <v>45777.0</v>
      </c>
      <c r="U136" s="90"/>
      <c r="V136" s="123"/>
      <c r="W136" s="123"/>
      <c r="X136" s="116">
        <v>215.0</v>
      </c>
      <c r="Y136" s="114">
        <v>45762.0</v>
      </c>
      <c r="Z136" s="93"/>
      <c r="AA136" s="93"/>
      <c r="AB136" s="84"/>
      <c r="AC136" s="84"/>
      <c r="AD136" s="94">
        <f t="shared" si="6"/>
        <v>424</v>
      </c>
      <c r="AE136" s="84"/>
      <c r="AF136" s="84"/>
      <c r="AG136" s="84"/>
      <c r="AH136" s="84"/>
      <c r="AI136" s="84"/>
    </row>
    <row r="137">
      <c r="A137" s="124">
        <v>45749.80268623843</v>
      </c>
      <c r="B137" s="84" t="s">
        <v>1541</v>
      </c>
      <c r="C137" s="84" t="s">
        <v>1542</v>
      </c>
      <c r="D137" s="78">
        <v>5.1976201828E10</v>
      </c>
      <c r="E137" s="78">
        <v>4.6695994E7</v>
      </c>
      <c r="F137" s="84" t="s">
        <v>1543</v>
      </c>
      <c r="G137" s="84" t="s">
        <v>1544</v>
      </c>
      <c r="H137" s="84" t="s">
        <v>1545</v>
      </c>
      <c r="I137" s="84" t="s">
        <v>1124</v>
      </c>
      <c r="J137" s="84" t="s">
        <v>30</v>
      </c>
      <c r="K137" s="84" t="s">
        <v>1546</v>
      </c>
      <c r="L137" s="84" t="s">
        <v>893</v>
      </c>
      <c r="M137" s="109">
        <v>45749.0</v>
      </c>
      <c r="N137" s="105">
        <v>34.0</v>
      </c>
      <c r="O137" s="87">
        <v>80.0</v>
      </c>
      <c r="P137" s="84" t="s">
        <v>805</v>
      </c>
      <c r="Q137" s="84"/>
      <c r="R137" s="84" t="s">
        <v>806</v>
      </c>
      <c r="S137" s="115" t="s">
        <v>1453</v>
      </c>
      <c r="T137" s="107">
        <v>45812.0</v>
      </c>
      <c r="U137" s="90"/>
      <c r="V137" s="123"/>
      <c r="W137" s="123"/>
      <c r="X137" s="87">
        <v>80.0</v>
      </c>
      <c r="Y137" s="114">
        <v>45769.0</v>
      </c>
      <c r="Z137" s="116">
        <v>239.0</v>
      </c>
      <c r="AA137" s="114">
        <v>45777.0</v>
      </c>
      <c r="AB137" s="84"/>
      <c r="AC137" s="84"/>
      <c r="AD137" s="94">
        <f t="shared" si="6"/>
        <v>399</v>
      </c>
      <c r="AE137" s="84"/>
      <c r="AF137" s="84"/>
      <c r="AG137" s="84"/>
      <c r="AH137" s="84"/>
      <c r="AI137" s="84"/>
    </row>
    <row r="138">
      <c r="A138" s="124">
        <v>45755.689535196754</v>
      </c>
      <c r="B138" s="84" t="s">
        <v>1547</v>
      </c>
      <c r="C138" s="84" t="s">
        <v>1548</v>
      </c>
      <c r="D138" s="78">
        <v>5.1945669327E10</v>
      </c>
      <c r="E138" s="78">
        <v>7.6741507E7</v>
      </c>
      <c r="F138" s="84" t="s">
        <v>1549</v>
      </c>
      <c r="G138" s="84" t="s">
        <v>1550</v>
      </c>
      <c r="H138" s="84" t="s">
        <v>1551</v>
      </c>
      <c r="I138" s="84" t="s">
        <v>1460</v>
      </c>
      <c r="J138" s="84" t="s">
        <v>1460</v>
      </c>
      <c r="K138" s="84" t="s">
        <v>980</v>
      </c>
      <c r="L138" s="84" t="s">
        <v>1552</v>
      </c>
      <c r="M138" s="109">
        <v>45761.0</v>
      </c>
      <c r="N138" s="105">
        <v>29.0</v>
      </c>
      <c r="O138" s="87">
        <v>100.0</v>
      </c>
      <c r="P138" s="84" t="s">
        <v>805</v>
      </c>
      <c r="Q138" s="84"/>
      <c r="R138" s="128" t="s">
        <v>806</v>
      </c>
      <c r="S138" s="115" t="s">
        <v>1453</v>
      </c>
      <c r="T138" s="107">
        <v>45812.0</v>
      </c>
      <c r="U138" s="90"/>
      <c r="V138" s="123"/>
      <c r="W138" s="123"/>
      <c r="X138" s="116">
        <v>199.0</v>
      </c>
      <c r="Y138" s="114">
        <v>45761.0</v>
      </c>
      <c r="Z138" s="93"/>
      <c r="AA138" s="93"/>
      <c r="AB138" s="84"/>
      <c r="AC138" s="84"/>
      <c r="AD138" s="94">
        <f t="shared" si="6"/>
        <v>299</v>
      </c>
      <c r="AE138" s="84"/>
      <c r="AF138" s="84"/>
      <c r="AG138" s="84"/>
      <c r="AH138" s="84"/>
      <c r="AI138" s="84"/>
    </row>
    <row r="139">
      <c r="A139" s="113">
        <v>45756.74055634259</v>
      </c>
      <c r="B139" s="84" t="s">
        <v>1553</v>
      </c>
      <c r="C139" s="84" t="s">
        <v>1554</v>
      </c>
      <c r="D139" s="105">
        <v>5.1969406913E10</v>
      </c>
      <c r="E139" s="78">
        <v>4.7207938E7</v>
      </c>
      <c r="F139" s="84" t="s">
        <v>1555</v>
      </c>
      <c r="G139" s="84" t="s">
        <v>1556</v>
      </c>
      <c r="H139" s="84" t="s">
        <v>1041</v>
      </c>
      <c r="I139" s="84" t="s">
        <v>1042</v>
      </c>
      <c r="J139" s="84" t="s">
        <v>972</v>
      </c>
      <c r="K139" s="84" t="s">
        <v>1557</v>
      </c>
      <c r="L139" s="84" t="s">
        <v>848</v>
      </c>
      <c r="M139" s="109">
        <v>45759.0</v>
      </c>
      <c r="N139" s="105">
        <v>33.0</v>
      </c>
      <c r="O139" s="87">
        <v>1500.0</v>
      </c>
      <c r="P139" s="84" t="s">
        <v>920</v>
      </c>
      <c r="Q139" s="105">
        <v>2.0606004037E10</v>
      </c>
      <c r="R139" s="84" t="s">
        <v>822</v>
      </c>
      <c r="S139" s="115" t="s">
        <v>1453</v>
      </c>
      <c r="T139" s="107">
        <v>45779.0</v>
      </c>
      <c r="U139" s="90"/>
      <c r="V139" s="123"/>
      <c r="W139" s="123"/>
      <c r="X139" s="116">
        <v>1099.0</v>
      </c>
      <c r="Y139" s="114">
        <v>45777.0</v>
      </c>
      <c r="Z139" s="93"/>
      <c r="AA139" s="93"/>
      <c r="AB139" s="84"/>
      <c r="AC139" s="84"/>
      <c r="AD139" s="94">
        <f t="shared" si="6"/>
        <v>2599</v>
      </c>
      <c r="AE139" s="84"/>
      <c r="AF139" s="84"/>
      <c r="AG139" s="84"/>
      <c r="AH139" s="84"/>
      <c r="AI139" s="84"/>
    </row>
    <row r="140">
      <c r="A140" s="124">
        <v>45759.38106637732</v>
      </c>
      <c r="B140" s="84" t="s">
        <v>1558</v>
      </c>
      <c r="C140" s="84" t="s">
        <v>1559</v>
      </c>
      <c r="D140" s="78">
        <v>5.196199111E10</v>
      </c>
      <c r="E140" s="78">
        <v>2.8604915E7</v>
      </c>
      <c r="F140" s="84" t="s">
        <v>1560</v>
      </c>
      <c r="G140" s="84" t="s">
        <v>932</v>
      </c>
      <c r="H140" s="84" t="s">
        <v>932</v>
      </c>
      <c r="I140" s="84" t="s">
        <v>932</v>
      </c>
      <c r="J140" s="84" t="s">
        <v>932</v>
      </c>
      <c r="K140" s="84" t="s">
        <v>995</v>
      </c>
      <c r="L140" s="84" t="s">
        <v>884</v>
      </c>
      <c r="M140" s="109">
        <v>45759.0</v>
      </c>
      <c r="N140" s="105">
        <v>47.0</v>
      </c>
      <c r="O140" s="87">
        <v>200.0</v>
      </c>
      <c r="P140" s="84" t="s">
        <v>805</v>
      </c>
      <c r="Q140" s="84"/>
      <c r="R140" s="84" t="s">
        <v>988</v>
      </c>
      <c r="S140" s="115" t="s">
        <v>1453</v>
      </c>
      <c r="T140" s="107">
        <v>45812.0</v>
      </c>
      <c r="U140" s="90"/>
      <c r="V140" s="123"/>
      <c r="W140" s="123"/>
      <c r="X140" s="116">
        <v>299.0</v>
      </c>
      <c r="Y140" s="114">
        <v>45775.0</v>
      </c>
      <c r="Z140" s="93"/>
      <c r="AA140" s="93"/>
      <c r="AB140" s="84"/>
      <c r="AC140" s="84"/>
      <c r="AD140" s="94">
        <f t="shared" si="6"/>
        <v>499</v>
      </c>
      <c r="AE140" s="84"/>
      <c r="AF140" s="84"/>
      <c r="AG140" s="84"/>
      <c r="AH140" s="84"/>
      <c r="AI140" s="84"/>
    </row>
    <row r="141">
      <c r="A141" s="113">
        <v>45761.639395879625</v>
      </c>
      <c r="B141" s="84" t="s">
        <v>1561</v>
      </c>
      <c r="C141" s="84" t="s">
        <v>1562</v>
      </c>
      <c r="D141" s="105">
        <v>5.1974673862E10</v>
      </c>
      <c r="E141" s="78">
        <v>2.3848752E7</v>
      </c>
      <c r="F141" s="84" t="s">
        <v>1563</v>
      </c>
      <c r="G141" s="84" t="s">
        <v>1564</v>
      </c>
      <c r="H141" s="84" t="s">
        <v>1249</v>
      </c>
      <c r="I141" s="84" t="s">
        <v>1249</v>
      </c>
      <c r="J141" s="84" t="s">
        <v>1565</v>
      </c>
      <c r="K141" s="84" t="s">
        <v>1207</v>
      </c>
      <c r="L141" s="84" t="s">
        <v>848</v>
      </c>
      <c r="M141" s="109">
        <v>45773.0</v>
      </c>
      <c r="N141" s="105">
        <v>58.0</v>
      </c>
      <c r="O141" s="87">
        <v>1350.0</v>
      </c>
      <c r="P141" s="84" t="s">
        <v>805</v>
      </c>
      <c r="Q141" s="84"/>
      <c r="R141" s="84" t="s">
        <v>1018</v>
      </c>
      <c r="S141" s="115" t="s">
        <v>1453</v>
      </c>
      <c r="T141" s="131">
        <v>45793.0</v>
      </c>
      <c r="U141" s="90"/>
      <c r="V141" s="123"/>
      <c r="W141" s="123"/>
      <c r="X141" s="116">
        <v>1350.0</v>
      </c>
      <c r="Y141" s="114">
        <v>45798.0</v>
      </c>
      <c r="Z141" s="93"/>
      <c r="AA141" s="93"/>
      <c r="AB141" s="84"/>
      <c r="AC141" s="84"/>
      <c r="AD141" s="94">
        <f t="shared" si="6"/>
        <v>2700</v>
      </c>
      <c r="AE141" s="84"/>
      <c r="AF141" s="84"/>
      <c r="AG141" s="84"/>
      <c r="AH141" s="84"/>
      <c r="AI141" s="84"/>
    </row>
    <row r="142">
      <c r="A142" s="113">
        <v>45761.83221267361</v>
      </c>
      <c r="B142" s="84" t="s">
        <v>1566</v>
      </c>
      <c r="C142" s="84" t="s">
        <v>1567</v>
      </c>
      <c r="D142" s="105">
        <v>5.1963402564E10</v>
      </c>
      <c r="E142" s="78">
        <v>2.397999E7</v>
      </c>
      <c r="F142" s="84" t="s">
        <v>1568</v>
      </c>
      <c r="G142" s="84" t="s">
        <v>1569</v>
      </c>
      <c r="H142" s="84" t="s">
        <v>1570</v>
      </c>
      <c r="I142" s="84" t="s">
        <v>938</v>
      </c>
      <c r="J142" s="84" t="s">
        <v>938</v>
      </c>
      <c r="K142" s="84" t="s">
        <v>1571</v>
      </c>
      <c r="L142" s="84" t="s">
        <v>848</v>
      </c>
      <c r="M142" s="109">
        <v>45773.0</v>
      </c>
      <c r="N142" s="105">
        <v>50.0</v>
      </c>
      <c r="O142" s="87">
        <v>100.0</v>
      </c>
      <c r="P142" s="84" t="s">
        <v>805</v>
      </c>
      <c r="Q142" s="84"/>
      <c r="R142" s="84" t="s">
        <v>1018</v>
      </c>
      <c r="S142" s="115" t="s">
        <v>1453</v>
      </c>
      <c r="T142" s="107">
        <v>45772.0</v>
      </c>
      <c r="U142" s="90"/>
      <c r="V142" s="123"/>
      <c r="W142" s="123"/>
      <c r="X142" s="116">
        <v>2400.0</v>
      </c>
      <c r="Y142" s="114">
        <v>45762.0</v>
      </c>
      <c r="Z142" s="93"/>
      <c r="AA142" s="93"/>
      <c r="AB142" s="84"/>
      <c r="AC142" s="84"/>
      <c r="AD142" s="94">
        <f t="shared" si="6"/>
        <v>2500</v>
      </c>
      <c r="AE142" s="84"/>
      <c r="AF142" s="84"/>
      <c r="AG142" s="84"/>
      <c r="AH142" s="84"/>
      <c r="AI142" s="84"/>
    </row>
    <row r="143">
      <c r="A143" s="124">
        <v>45763.73770511574</v>
      </c>
      <c r="B143" s="84" t="s">
        <v>1572</v>
      </c>
      <c r="C143" s="84" t="s">
        <v>1573</v>
      </c>
      <c r="D143" s="78">
        <v>5.1924118722E10</v>
      </c>
      <c r="E143" s="78">
        <v>4.4505149E7</v>
      </c>
      <c r="F143" s="84" t="s">
        <v>1574</v>
      </c>
      <c r="G143" s="84" t="s">
        <v>1575</v>
      </c>
      <c r="H143" s="84" t="s">
        <v>1576</v>
      </c>
      <c r="I143" s="84" t="s">
        <v>911</v>
      </c>
      <c r="J143" s="84" t="s">
        <v>912</v>
      </c>
      <c r="K143" s="84" t="s">
        <v>1577</v>
      </c>
      <c r="L143" s="84" t="s">
        <v>848</v>
      </c>
      <c r="M143" s="109">
        <v>45773.0</v>
      </c>
      <c r="N143" s="105">
        <v>37.0</v>
      </c>
      <c r="O143" s="87">
        <v>750.0</v>
      </c>
      <c r="P143" s="84" t="s">
        <v>920</v>
      </c>
      <c r="Q143" s="105">
        <v>1.0445051492E10</v>
      </c>
      <c r="R143" s="84" t="s">
        <v>822</v>
      </c>
      <c r="S143" s="115" t="s">
        <v>1453</v>
      </c>
      <c r="T143" s="107">
        <v>45812.0</v>
      </c>
      <c r="U143" s="90" t="s">
        <v>1578</v>
      </c>
      <c r="V143" s="131">
        <v>45821.0</v>
      </c>
      <c r="W143" s="123"/>
      <c r="X143" s="87">
        <v>300.0</v>
      </c>
      <c r="Y143" s="114">
        <v>45814.0</v>
      </c>
      <c r="Z143" s="87">
        <v>450.0</v>
      </c>
      <c r="AA143" s="114">
        <v>45821.0</v>
      </c>
      <c r="AB143" s="116">
        <v>750.0</v>
      </c>
      <c r="AC143" s="114">
        <v>45869.0</v>
      </c>
      <c r="AD143" s="94">
        <f t="shared" si="6"/>
        <v>2250</v>
      </c>
      <c r="AE143" s="84"/>
      <c r="AF143" s="84"/>
      <c r="AG143" s="84"/>
      <c r="AH143" s="84"/>
      <c r="AI143" s="84"/>
    </row>
    <row r="144">
      <c r="A144" s="124">
        <v>45763.75680138889</v>
      </c>
      <c r="B144" s="84" t="s">
        <v>1579</v>
      </c>
      <c r="C144" s="84" t="s">
        <v>1580</v>
      </c>
      <c r="D144" s="78">
        <v>5.1985024621E10</v>
      </c>
      <c r="E144" s="78">
        <v>7.0060646E7</v>
      </c>
      <c r="F144" s="84" t="s">
        <v>1581</v>
      </c>
      <c r="G144" s="84" t="s">
        <v>1582</v>
      </c>
      <c r="H144" s="84" t="s">
        <v>1583</v>
      </c>
      <c r="I144" s="84" t="s">
        <v>1584</v>
      </c>
      <c r="J144" s="84" t="s">
        <v>1585</v>
      </c>
      <c r="K144" s="84" t="s">
        <v>1586</v>
      </c>
      <c r="L144" s="84" t="s">
        <v>848</v>
      </c>
      <c r="M144" s="109">
        <v>45773.0</v>
      </c>
      <c r="N144" s="105">
        <v>26.0</v>
      </c>
      <c r="O144" s="87">
        <v>950.0</v>
      </c>
      <c r="P144" s="84" t="s">
        <v>920</v>
      </c>
      <c r="Q144" s="105">
        <v>1.07070606461E11</v>
      </c>
      <c r="R144" s="84" t="s">
        <v>822</v>
      </c>
      <c r="S144" s="115" t="s">
        <v>1453</v>
      </c>
      <c r="T144" s="107">
        <v>45812.0</v>
      </c>
      <c r="U144" s="90"/>
      <c r="V144" s="84"/>
      <c r="W144" s="84"/>
      <c r="X144" s="87">
        <v>950.0</v>
      </c>
      <c r="Y144" s="114">
        <v>45821.0</v>
      </c>
      <c r="Z144" s="116">
        <v>950.0</v>
      </c>
      <c r="AA144" s="114">
        <v>45869.0</v>
      </c>
      <c r="AB144" s="84"/>
      <c r="AC144" s="84"/>
      <c r="AD144" s="94">
        <f t="shared" si="6"/>
        <v>2850</v>
      </c>
      <c r="AE144" s="84"/>
      <c r="AF144" s="84"/>
      <c r="AG144" s="84"/>
      <c r="AH144" s="84"/>
      <c r="AI144" s="84"/>
    </row>
    <row r="145">
      <c r="A145" s="124">
        <v>45768.47189732639</v>
      </c>
      <c r="B145" s="84" t="s">
        <v>1587</v>
      </c>
      <c r="C145" s="84" t="s">
        <v>1588</v>
      </c>
      <c r="D145" s="78">
        <v>5.1954105995E10</v>
      </c>
      <c r="E145" s="78">
        <v>4.8419555E7</v>
      </c>
      <c r="F145" s="84" t="s">
        <v>1589</v>
      </c>
      <c r="G145" s="84" t="s">
        <v>1590</v>
      </c>
      <c r="H145" s="84" t="s">
        <v>1591</v>
      </c>
      <c r="I145" s="84" t="s">
        <v>938</v>
      </c>
      <c r="J145" s="84" t="s">
        <v>938</v>
      </c>
      <c r="K145" s="84" t="s">
        <v>1300</v>
      </c>
      <c r="L145" s="84" t="s">
        <v>814</v>
      </c>
      <c r="M145" s="109">
        <v>45774.0</v>
      </c>
      <c r="N145" s="105">
        <v>29.0</v>
      </c>
      <c r="O145" s="87">
        <v>200.0</v>
      </c>
      <c r="P145" s="84" t="s">
        <v>805</v>
      </c>
      <c r="Q145" s="84"/>
      <c r="R145" s="84" t="s">
        <v>806</v>
      </c>
      <c r="S145" s="115" t="s">
        <v>1453</v>
      </c>
      <c r="T145" s="107">
        <v>45812.0</v>
      </c>
      <c r="U145" s="90"/>
      <c r="V145" s="84"/>
      <c r="W145" s="84"/>
      <c r="X145" s="116">
        <v>199.0</v>
      </c>
      <c r="Y145" s="114">
        <v>45792.0</v>
      </c>
      <c r="Z145" s="93"/>
      <c r="AA145" s="93"/>
      <c r="AB145" s="84"/>
      <c r="AC145" s="84"/>
      <c r="AD145" s="94">
        <f t="shared" si="6"/>
        <v>399</v>
      </c>
      <c r="AE145" s="84"/>
      <c r="AF145" s="84"/>
      <c r="AG145" s="84"/>
      <c r="AH145" s="84"/>
      <c r="AI145" s="84"/>
    </row>
    <row r="146">
      <c r="A146" s="113">
        <v>45770.461004826386</v>
      </c>
      <c r="B146" s="84" t="s">
        <v>1592</v>
      </c>
      <c r="C146" s="84" t="s">
        <v>1593</v>
      </c>
      <c r="D146" s="105">
        <v>5.1982370207E10</v>
      </c>
      <c r="E146" s="78">
        <v>4.2933268E7</v>
      </c>
      <c r="F146" s="84" t="s">
        <v>1594</v>
      </c>
      <c r="G146" s="84" t="s">
        <v>1595</v>
      </c>
      <c r="H146" s="84" t="s">
        <v>844</v>
      </c>
      <c r="I146" s="84" t="s">
        <v>845</v>
      </c>
      <c r="J146" s="84" t="s">
        <v>846</v>
      </c>
      <c r="K146" s="84" t="s">
        <v>927</v>
      </c>
      <c r="L146" s="84" t="s">
        <v>1552</v>
      </c>
      <c r="M146" s="109">
        <v>45769.0</v>
      </c>
      <c r="N146" s="105">
        <v>39.0</v>
      </c>
      <c r="O146" s="87">
        <v>100.0</v>
      </c>
      <c r="P146" s="84" t="s">
        <v>920</v>
      </c>
      <c r="Q146" s="105">
        <v>1.00429332686E11</v>
      </c>
      <c r="R146" s="84" t="s">
        <v>1018</v>
      </c>
      <c r="S146" s="115" t="s">
        <v>1453</v>
      </c>
      <c r="T146" s="107">
        <v>45777.0</v>
      </c>
      <c r="U146" s="90"/>
      <c r="V146" s="84"/>
      <c r="W146" s="84"/>
      <c r="X146" s="116">
        <v>229.0</v>
      </c>
      <c r="Y146" s="114">
        <v>45776.0</v>
      </c>
      <c r="Z146" s="93"/>
      <c r="AA146" s="93"/>
      <c r="AB146" s="84"/>
      <c r="AC146" s="84"/>
      <c r="AD146" s="94">
        <f t="shared" si="6"/>
        <v>329</v>
      </c>
      <c r="AE146" s="84"/>
      <c r="AF146" s="84"/>
      <c r="AG146" s="84"/>
      <c r="AH146" s="84"/>
      <c r="AI146" s="84"/>
    </row>
    <row r="147">
      <c r="A147" s="124">
        <v>45770.74254302084</v>
      </c>
      <c r="B147" s="84" t="s">
        <v>1596</v>
      </c>
      <c r="C147" s="84" t="s">
        <v>1597</v>
      </c>
      <c r="D147" s="78">
        <v>5.1943366976E10</v>
      </c>
      <c r="E147" s="78">
        <v>2.9459986E7</v>
      </c>
      <c r="F147" s="84" t="s">
        <v>1598</v>
      </c>
      <c r="G147" s="84" t="s">
        <v>1599</v>
      </c>
      <c r="H147" s="84" t="s">
        <v>1434</v>
      </c>
      <c r="I147" s="84" t="s">
        <v>899</v>
      </c>
      <c r="J147" s="84" t="s">
        <v>899</v>
      </c>
      <c r="K147" s="84" t="s">
        <v>1300</v>
      </c>
      <c r="L147" s="84" t="s">
        <v>893</v>
      </c>
      <c r="M147" s="109">
        <v>45770.0</v>
      </c>
      <c r="N147" s="105">
        <v>63.0</v>
      </c>
      <c r="O147" s="87">
        <v>150.0</v>
      </c>
      <c r="P147" s="84" t="s">
        <v>805</v>
      </c>
      <c r="Q147" s="84"/>
      <c r="R147" s="84" t="s">
        <v>1461</v>
      </c>
      <c r="S147" s="115" t="s">
        <v>1453</v>
      </c>
      <c r="T147" s="107">
        <v>45812.0</v>
      </c>
      <c r="U147" s="90"/>
      <c r="V147" s="84"/>
      <c r="W147" s="84"/>
      <c r="X147" s="116">
        <v>249.0</v>
      </c>
      <c r="Y147" s="114">
        <v>45783.0</v>
      </c>
      <c r="Z147" s="93"/>
      <c r="AA147" s="93"/>
      <c r="AB147" s="84"/>
      <c r="AC147" s="84"/>
      <c r="AD147" s="94">
        <f t="shared" si="6"/>
        <v>399</v>
      </c>
      <c r="AE147" s="84"/>
      <c r="AF147" s="84"/>
      <c r="AG147" s="84"/>
      <c r="AH147" s="84"/>
      <c r="AI147" s="84"/>
    </row>
    <row r="148">
      <c r="A148" s="113">
        <v>45770.79242378472</v>
      </c>
      <c r="B148" s="84" t="s">
        <v>1600</v>
      </c>
      <c r="C148" s="84" t="s">
        <v>1601</v>
      </c>
      <c r="D148" s="105">
        <v>5.1964738777E10</v>
      </c>
      <c r="E148" s="78">
        <v>2.005976E7</v>
      </c>
      <c r="F148" s="84" t="s">
        <v>1602</v>
      </c>
      <c r="G148" s="84" t="s">
        <v>1603</v>
      </c>
      <c r="H148" s="84" t="s">
        <v>1189</v>
      </c>
      <c r="I148" s="84" t="s">
        <v>881</v>
      </c>
      <c r="J148" s="84" t="s">
        <v>1087</v>
      </c>
      <c r="K148" s="84" t="s">
        <v>821</v>
      </c>
      <c r="L148" s="84" t="s">
        <v>893</v>
      </c>
      <c r="M148" s="109">
        <v>45770.0</v>
      </c>
      <c r="N148" s="105">
        <v>49.0</v>
      </c>
      <c r="O148" s="87">
        <v>100.0</v>
      </c>
      <c r="P148" s="84" t="s">
        <v>805</v>
      </c>
      <c r="Q148" s="84"/>
      <c r="R148" s="84" t="s">
        <v>806</v>
      </c>
      <c r="S148" s="115" t="s">
        <v>1453</v>
      </c>
      <c r="T148" s="131">
        <v>45806.0</v>
      </c>
      <c r="U148" s="90"/>
      <c r="V148" s="84"/>
      <c r="W148" s="84"/>
      <c r="X148" s="87">
        <v>100.0</v>
      </c>
      <c r="Y148" s="114">
        <v>45782.0</v>
      </c>
      <c r="Z148" s="116">
        <v>199.0</v>
      </c>
      <c r="AA148" s="114">
        <v>45805.0</v>
      </c>
      <c r="AB148" s="84"/>
      <c r="AC148" s="84"/>
      <c r="AD148" s="94">
        <f t="shared" si="6"/>
        <v>399</v>
      </c>
      <c r="AE148" s="84"/>
      <c r="AF148" s="84"/>
      <c r="AG148" s="84"/>
      <c r="AH148" s="84"/>
      <c r="AI148" s="84"/>
    </row>
    <row r="149">
      <c r="A149" s="113">
        <v>45772.718043553235</v>
      </c>
      <c r="B149" s="84" t="s">
        <v>1604</v>
      </c>
      <c r="C149" s="84" t="s">
        <v>1605</v>
      </c>
      <c r="D149" s="105">
        <v>5.1982056633E10</v>
      </c>
      <c r="E149" s="78">
        <v>7.0442266E7</v>
      </c>
      <c r="F149" s="84" t="s">
        <v>1606</v>
      </c>
      <c r="G149" s="84" t="s">
        <v>1607</v>
      </c>
      <c r="H149" s="84" t="s">
        <v>1607</v>
      </c>
      <c r="I149" s="84" t="s">
        <v>1124</v>
      </c>
      <c r="J149" s="84" t="s">
        <v>30</v>
      </c>
      <c r="K149" s="84" t="s">
        <v>1608</v>
      </c>
      <c r="L149" s="84" t="s">
        <v>804</v>
      </c>
      <c r="M149" s="109">
        <v>45772.0</v>
      </c>
      <c r="N149" s="105">
        <v>36.0</v>
      </c>
      <c r="O149" s="87">
        <v>160.0</v>
      </c>
      <c r="P149" s="84" t="s">
        <v>805</v>
      </c>
      <c r="Q149" s="84"/>
      <c r="R149" s="84" t="s">
        <v>1018</v>
      </c>
      <c r="S149" s="115" t="s">
        <v>1453</v>
      </c>
      <c r="T149" s="131">
        <v>45797.0</v>
      </c>
      <c r="U149" s="90"/>
      <c r="V149" s="84"/>
      <c r="W149" s="84"/>
      <c r="X149" s="116">
        <v>159.0</v>
      </c>
      <c r="Y149" s="114">
        <v>45776.0</v>
      </c>
      <c r="Z149" s="93"/>
      <c r="AA149" s="93"/>
      <c r="AB149" s="84"/>
      <c r="AC149" s="84"/>
      <c r="AD149" s="94">
        <f t="shared" si="6"/>
        <v>319</v>
      </c>
      <c r="AE149" s="84"/>
      <c r="AF149" s="84"/>
      <c r="AG149" s="84"/>
      <c r="AH149" s="84"/>
      <c r="AI149" s="84"/>
    </row>
    <row r="150">
      <c r="A150" s="124">
        <v>45773.395205891204</v>
      </c>
      <c r="B150" s="84" t="s">
        <v>1609</v>
      </c>
      <c r="C150" s="84" t="s">
        <v>1610</v>
      </c>
      <c r="D150" s="78">
        <v>5.1954301963E10</v>
      </c>
      <c r="E150" s="78">
        <v>4.6028985E7</v>
      </c>
      <c r="F150" s="84" t="s">
        <v>1611</v>
      </c>
      <c r="G150" s="84" t="s">
        <v>1612</v>
      </c>
      <c r="H150" s="84" t="s">
        <v>972</v>
      </c>
      <c r="I150" s="84" t="s">
        <v>828</v>
      </c>
      <c r="J150" s="84" t="s">
        <v>972</v>
      </c>
      <c r="K150" s="84" t="s">
        <v>1613</v>
      </c>
      <c r="L150" s="84" t="s">
        <v>848</v>
      </c>
      <c r="M150" s="109"/>
      <c r="N150" s="105">
        <v>35.0</v>
      </c>
      <c r="O150" s="87">
        <v>1000.0</v>
      </c>
      <c r="P150" s="84" t="s">
        <v>805</v>
      </c>
      <c r="Q150" s="84"/>
      <c r="R150" s="84" t="s">
        <v>1018</v>
      </c>
      <c r="S150" s="115" t="s">
        <v>1453</v>
      </c>
      <c r="T150" s="107">
        <v>45812.0</v>
      </c>
      <c r="U150" s="90" t="s">
        <v>1578</v>
      </c>
      <c r="V150" s="131">
        <v>45814.0</v>
      </c>
      <c r="W150" s="84"/>
      <c r="X150" s="87">
        <v>900.0</v>
      </c>
      <c r="Y150" s="114">
        <v>45813.0</v>
      </c>
      <c r="Z150" s="87">
        <v>500.0</v>
      </c>
      <c r="AA150" s="114">
        <v>45869.0</v>
      </c>
      <c r="AB150" s="116">
        <v>500.0</v>
      </c>
      <c r="AC150" s="114">
        <v>45899.0</v>
      </c>
      <c r="AD150" s="94">
        <f t="shared" si="6"/>
        <v>2900</v>
      </c>
      <c r="AE150" s="93"/>
      <c r="AF150" s="93"/>
      <c r="AG150" s="93"/>
      <c r="AH150" s="93"/>
      <c r="AI150" s="93"/>
    </row>
    <row r="151">
      <c r="A151" s="124">
        <v>45777.75098872685</v>
      </c>
      <c r="B151" s="84" t="s">
        <v>1614</v>
      </c>
      <c r="C151" s="84" t="s">
        <v>1615</v>
      </c>
      <c r="D151" s="78">
        <v>5.1935860534E10</v>
      </c>
      <c r="E151" s="78">
        <v>7.1114219E7</v>
      </c>
      <c r="F151" s="84" t="s">
        <v>1616</v>
      </c>
      <c r="G151" s="84" t="s">
        <v>1617</v>
      </c>
      <c r="H151" s="84" t="s">
        <v>1618</v>
      </c>
      <c r="I151" s="84" t="s">
        <v>1619</v>
      </c>
      <c r="J151" s="84" t="s">
        <v>979</v>
      </c>
      <c r="K151" s="84" t="s">
        <v>847</v>
      </c>
      <c r="L151" s="84" t="s">
        <v>848</v>
      </c>
      <c r="M151" s="109">
        <v>45787.0</v>
      </c>
      <c r="N151" s="105">
        <v>29.0</v>
      </c>
      <c r="O151" s="87">
        <v>500.0</v>
      </c>
      <c r="P151" s="84" t="s">
        <v>805</v>
      </c>
      <c r="Q151" s="84"/>
      <c r="R151" s="84" t="s">
        <v>1018</v>
      </c>
      <c r="S151" s="115" t="s">
        <v>1453</v>
      </c>
      <c r="T151" s="107">
        <v>45812.0</v>
      </c>
      <c r="U151" s="90"/>
      <c r="V151" s="84"/>
      <c r="W151" s="84"/>
      <c r="X151" s="116">
        <v>800.0</v>
      </c>
      <c r="Y151" s="114">
        <v>45792.0</v>
      </c>
      <c r="Z151" s="116">
        <v>800.0</v>
      </c>
      <c r="AA151" s="114">
        <v>45823.0</v>
      </c>
      <c r="AB151" s="116">
        <v>800.0</v>
      </c>
      <c r="AC151" s="114">
        <v>45853.0</v>
      </c>
      <c r="AD151" s="94">
        <f t="shared" si="6"/>
        <v>2900</v>
      </c>
      <c r="AE151" s="84"/>
      <c r="AF151" s="84"/>
      <c r="AG151" s="84"/>
      <c r="AH151" s="84"/>
      <c r="AI151" s="84"/>
    </row>
    <row r="152">
      <c r="A152" s="89"/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93"/>
      <c r="AA152" s="93"/>
      <c r="AB152" s="84"/>
      <c r="AC152" s="84"/>
      <c r="AD152" s="93"/>
      <c r="AE152" s="84"/>
      <c r="AF152" s="84"/>
      <c r="AG152" s="84"/>
      <c r="AH152" s="84"/>
      <c r="AI152" s="84"/>
    </row>
    <row r="153">
      <c r="A153" s="124">
        <v>45720.57034265046</v>
      </c>
      <c r="B153" s="84" t="s">
        <v>1620</v>
      </c>
      <c r="C153" s="84" t="s">
        <v>1621</v>
      </c>
      <c r="D153" s="78">
        <v>5.1927345603E10</v>
      </c>
      <c r="E153" s="78">
        <v>7.6316968E7</v>
      </c>
      <c r="F153" s="84" t="s">
        <v>1622</v>
      </c>
      <c r="G153" s="84" t="s">
        <v>1623</v>
      </c>
      <c r="H153" s="84" t="s">
        <v>1624</v>
      </c>
      <c r="I153" s="84" t="s">
        <v>1625</v>
      </c>
      <c r="J153" s="84" t="s">
        <v>912</v>
      </c>
      <c r="K153" s="84" t="s">
        <v>1626</v>
      </c>
      <c r="L153" s="84" t="s">
        <v>1627</v>
      </c>
      <c r="M153" s="109">
        <v>45721.0</v>
      </c>
      <c r="N153" s="105">
        <v>27.0</v>
      </c>
      <c r="O153" s="87">
        <v>100.0</v>
      </c>
      <c r="P153" s="84" t="s">
        <v>920</v>
      </c>
      <c r="Q153" s="105">
        <v>1.0763169681E10</v>
      </c>
      <c r="R153" s="84" t="s">
        <v>1561</v>
      </c>
      <c r="S153" s="115" t="s">
        <v>1453</v>
      </c>
      <c r="T153" s="107">
        <v>45812.0</v>
      </c>
      <c r="U153" s="90"/>
      <c r="V153" s="84"/>
      <c r="W153" s="84"/>
      <c r="X153" s="87">
        <v>80.0</v>
      </c>
      <c r="Y153" s="114">
        <v>45728.0</v>
      </c>
      <c r="Z153" s="116">
        <v>180.0</v>
      </c>
      <c r="AA153" s="114">
        <v>45749.0</v>
      </c>
      <c r="AB153" s="84"/>
      <c r="AC153" s="84"/>
      <c r="AD153" s="94">
        <f t="shared" ref="AD153:AD160" si="7">O153+X153+Z153+AB153</f>
        <v>360</v>
      </c>
      <c r="AE153" s="84"/>
      <c r="AF153" s="84"/>
      <c r="AG153" s="84"/>
      <c r="AH153" s="84"/>
      <c r="AI153" s="84"/>
    </row>
    <row r="154">
      <c r="A154" s="124">
        <v>45722.764226168976</v>
      </c>
      <c r="B154" s="84" t="s">
        <v>1628</v>
      </c>
      <c r="C154" s="84" t="s">
        <v>1629</v>
      </c>
      <c r="D154" s="78">
        <v>5.1944906135E10</v>
      </c>
      <c r="E154" s="127" t="s">
        <v>1630</v>
      </c>
      <c r="F154" s="84" t="s">
        <v>1631</v>
      </c>
      <c r="G154" s="84" t="s">
        <v>1632</v>
      </c>
      <c r="H154" s="84" t="s">
        <v>1633</v>
      </c>
      <c r="I154" s="84" t="s">
        <v>1055</v>
      </c>
      <c r="J154" s="84" t="s">
        <v>891</v>
      </c>
      <c r="K154" s="84" t="s">
        <v>1016</v>
      </c>
      <c r="L154" s="84" t="s">
        <v>814</v>
      </c>
      <c r="M154" s="109">
        <v>45732.0</v>
      </c>
      <c r="N154" s="105">
        <v>73.0</v>
      </c>
      <c r="O154" s="87">
        <v>100.0</v>
      </c>
      <c r="P154" s="84" t="s">
        <v>805</v>
      </c>
      <c r="Q154" s="84"/>
      <c r="R154" s="84" t="s">
        <v>806</v>
      </c>
      <c r="S154" s="115" t="s">
        <v>1453</v>
      </c>
      <c r="T154" s="107">
        <v>45812.0</v>
      </c>
      <c r="U154" s="90"/>
      <c r="V154" s="84"/>
      <c r="W154" s="84"/>
      <c r="X154" s="116">
        <v>299.0</v>
      </c>
      <c r="Y154" s="114">
        <v>45726.0</v>
      </c>
      <c r="Z154" s="93"/>
      <c r="AA154" s="93"/>
      <c r="AB154" s="84"/>
      <c r="AC154" s="84"/>
      <c r="AD154" s="94">
        <f t="shared" si="7"/>
        <v>399</v>
      </c>
      <c r="AE154" s="84"/>
      <c r="AF154" s="84"/>
      <c r="AG154" s="84"/>
      <c r="AH154" s="84"/>
      <c r="AI154" s="84"/>
    </row>
    <row r="155">
      <c r="A155" s="113">
        <v>45723.51077097222</v>
      </c>
      <c r="B155" s="84" t="s">
        <v>1634</v>
      </c>
      <c r="C155" s="84" t="s">
        <v>1635</v>
      </c>
      <c r="D155" s="105">
        <v>5.1975700001E10</v>
      </c>
      <c r="E155" s="127" t="s">
        <v>1636</v>
      </c>
      <c r="F155" s="84" t="s">
        <v>1637</v>
      </c>
      <c r="G155" s="84" t="s">
        <v>1638</v>
      </c>
      <c r="H155" s="84" t="s">
        <v>1545</v>
      </c>
      <c r="I155" s="84" t="s">
        <v>30</v>
      </c>
      <c r="J155" s="84" t="s">
        <v>30</v>
      </c>
      <c r="K155" s="84" t="s">
        <v>1639</v>
      </c>
      <c r="L155" s="84" t="s">
        <v>804</v>
      </c>
      <c r="M155" s="109">
        <v>45723.0</v>
      </c>
      <c r="N155" s="105">
        <v>43.0</v>
      </c>
      <c r="O155" s="87">
        <v>150.0</v>
      </c>
      <c r="P155" s="84" t="s">
        <v>920</v>
      </c>
      <c r="Q155" s="105">
        <v>2.0392968611E10</v>
      </c>
      <c r="R155" s="84" t="s">
        <v>1461</v>
      </c>
      <c r="S155" s="115" t="s">
        <v>1453</v>
      </c>
      <c r="T155" s="107">
        <v>45744.0</v>
      </c>
      <c r="U155" s="90"/>
      <c r="V155" s="84"/>
      <c r="W155" s="84"/>
      <c r="X155" s="116">
        <v>150.0</v>
      </c>
      <c r="Y155" s="114">
        <v>45733.0</v>
      </c>
      <c r="Z155" s="93"/>
      <c r="AA155" s="84"/>
      <c r="AB155" s="84"/>
      <c r="AC155" s="84"/>
      <c r="AD155" s="94">
        <f t="shared" si="7"/>
        <v>300</v>
      </c>
      <c r="AE155" s="84"/>
      <c r="AF155" s="84"/>
      <c r="AG155" s="84"/>
      <c r="AH155" s="84"/>
      <c r="AI155" s="84"/>
    </row>
    <row r="156">
      <c r="A156" s="132">
        <v>45726.56694284722</v>
      </c>
      <c r="B156" s="84" t="s">
        <v>1640</v>
      </c>
      <c r="C156" s="84" t="s">
        <v>1641</v>
      </c>
      <c r="D156" s="105">
        <v>5.1918588997E10</v>
      </c>
      <c r="E156" s="78">
        <v>7.1921722E7</v>
      </c>
      <c r="F156" s="84" t="s">
        <v>1642</v>
      </c>
      <c r="G156" s="84" t="s">
        <v>1643</v>
      </c>
      <c r="H156" s="84" t="s">
        <v>1336</v>
      </c>
      <c r="I156" s="84" t="s">
        <v>1336</v>
      </c>
      <c r="J156" s="84" t="s">
        <v>1337</v>
      </c>
      <c r="K156" s="84" t="s">
        <v>906</v>
      </c>
      <c r="L156" s="84" t="s">
        <v>1552</v>
      </c>
      <c r="M156" s="109">
        <v>45726.0</v>
      </c>
      <c r="N156" s="105">
        <v>27.0</v>
      </c>
      <c r="O156" s="87">
        <v>200.0</v>
      </c>
      <c r="P156" s="84" t="s">
        <v>805</v>
      </c>
      <c r="Q156" s="84"/>
      <c r="R156" s="84" t="s">
        <v>988</v>
      </c>
      <c r="S156" s="115" t="s">
        <v>1453</v>
      </c>
      <c r="T156" s="107">
        <v>45775.0</v>
      </c>
      <c r="U156" s="90"/>
      <c r="V156" s="84"/>
      <c r="W156" s="84"/>
      <c r="X156" s="116">
        <v>199.0</v>
      </c>
      <c r="Y156" s="114">
        <v>45744.0</v>
      </c>
      <c r="Z156" s="93"/>
      <c r="AA156" s="93"/>
      <c r="AB156" s="84"/>
      <c r="AC156" s="84"/>
      <c r="AD156" s="94">
        <f t="shared" si="7"/>
        <v>399</v>
      </c>
      <c r="AE156" s="84"/>
      <c r="AF156" s="84"/>
      <c r="AG156" s="84"/>
      <c r="AH156" s="84"/>
      <c r="AI156" s="84"/>
    </row>
    <row r="157">
      <c r="A157" s="132">
        <v>45730.71997766204</v>
      </c>
      <c r="B157" s="117" t="s">
        <v>1644</v>
      </c>
      <c r="C157" s="117" t="s">
        <v>1645</v>
      </c>
      <c r="D157" s="118">
        <v>5.1992602443E10</v>
      </c>
      <c r="E157" s="126">
        <v>7.0339448E7</v>
      </c>
      <c r="F157" s="117" t="s">
        <v>1646</v>
      </c>
      <c r="G157" s="117" t="s">
        <v>1647</v>
      </c>
      <c r="H157" s="117" t="s">
        <v>30</v>
      </c>
      <c r="I157" s="117" t="s">
        <v>1124</v>
      </c>
      <c r="J157" s="117" t="s">
        <v>1124</v>
      </c>
      <c r="K157" s="117" t="s">
        <v>875</v>
      </c>
      <c r="L157" s="117" t="s">
        <v>1417</v>
      </c>
      <c r="M157" s="109">
        <v>45732.0</v>
      </c>
      <c r="N157" s="105">
        <v>30.0</v>
      </c>
      <c r="O157" s="87">
        <v>100.0</v>
      </c>
      <c r="P157" s="84" t="s">
        <v>805</v>
      </c>
      <c r="Q157" s="84"/>
      <c r="R157" s="128" t="s">
        <v>806</v>
      </c>
      <c r="S157" s="115" t="s">
        <v>1453</v>
      </c>
      <c r="T157" s="131">
        <v>45806.0</v>
      </c>
      <c r="U157" s="90"/>
      <c r="V157" s="84"/>
      <c r="W157" s="84"/>
      <c r="X157" s="116">
        <v>499.0</v>
      </c>
      <c r="Y157" s="114">
        <v>45746.0</v>
      </c>
      <c r="Z157" s="93"/>
      <c r="AA157" s="93"/>
      <c r="AB157" s="84"/>
      <c r="AC157" s="84"/>
      <c r="AD157" s="94">
        <f t="shared" si="7"/>
        <v>599</v>
      </c>
      <c r="AE157" s="84"/>
      <c r="AF157" s="84"/>
      <c r="AG157" s="84"/>
      <c r="AH157" s="84"/>
      <c r="AI157" s="84"/>
    </row>
    <row r="158">
      <c r="A158" s="124">
        <v>45735.81780160879</v>
      </c>
      <c r="B158" s="84" t="s">
        <v>1648</v>
      </c>
      <c r="C158" s="84" t="s">
        <v>1649</v>
      </c>
      <c r="D158" s="78">
        <v>5.1994825143E10</v>
      </c>
      <c r="E158" s="78">
        <v>4.4881455E7</v>
      </c>
      <c r="F158" s="84" t="s">
        <v>1650</v>
      </c>
      <c r="G158" s="84" t="s">
        <v>1651</v>
      </c>
      <c r="H158" s="84" t="s">
        <v>1390</v>
      </c>
      <c r="I158" s="84" t="s">
        <v>1652</v>
      </c>
      <c r="J158" s="84" t="s">
        <v>846</v>
      </c>
      <c r="K158" s="84" t="s">
        <v>861</v>
      </c>
      <c r="L158" s="84" t="s">
        <v>848</v>
      </c>
      <c r="M158" s="109">
        <v>45745.0</v>
      </c>
      <c r="N158" s="105">
        <v>37.0</v>
      </c>
      <c r="O158" s="87">
        <v>100.0</v>
      </c>
      <c r="P158" s="84" t="s">
        <v>805</v>
      </c>
      <c r="Q158" s="84"/>
      <c r="R158" s="84" t="s">
        <v>1018</v>
      </c>
      <c r="S158" s="115" t="s">
        <v>807</v>
      </c>
      <c r="T158" s="84"/>
      <c r="U158" s="90"/>
      <c r="V158" s="84"/>
      <c r="W158" s="84"/>
      <c r="X158" s="116">
        <v>2499.0</v>
      </c>
      <c r="Y158" s="114">
        <v>45850.0</v>
      </c>
      <c r="Z158" s="93"/>
      <c r="AA158" s="93"/>
      <c r="AB158" s="84"/>
      <c r="AC158" s="84"/>
      <c r="AD158" s="94">
        <f t="shared" si="7"/>
        <v>2599</v>
      </c>
      <c r="AE158" s="84"/>
      <c r="AF158" s="84"/>
      <c r="AG158" s="84"/>
      <c r="AH158" s="84"/>
      <c r="AI158" s="84"/>
    </row>
    <row r="159">
      <c r="A159" s="124">
        <v>45740.86793821759</v>
      </c>
      <c r="B159" s="84" t="s">
        <v>1653</v>
      </c>
      <c r="C159" s="84" t="s">
        <v>1654</v>
      </c>
      <c r="D159" s="78">
        <v>5.1900187308E10</v>
      </c>
      <c r="E159" s="78">
        <v>7.0021298E7</v>
      </c>
      <c r="F159" s="84" t="s">
        <v>1655</v>
      </c>
      <c r="G159" s="84" t="s">
        <v>1656</v>
      </c>
      <c r="H159" s="84" t="s">
        <v>1657</v>
      </c>
      <c r="I159" s="84" t="s">
        <v>1658</v>
      </c>
      <c r="J159" s="84" t="s">
        <v>855</v>
      </c>
      <c r="K159" s="84" t="s">
        <v>980</v>
      </c>
      <c r="L159" s="84" t="s">
        <v>848</v>
      </c>
      <c r="M159" s="109">
        <v>45745.0</v>
      </c>
      <c r="N159" s="105">
        <v>33.0</v>
      </c>
      <c r="O159" s="87">
        <v>1000.0</v>
      </c>
      <c r="P159" s="84" t="s">
        <v>805</v>
      </c>
      <c r="Q159" s="84"/>
      <c r="R159" s="84" t="s">
        <v>806</v>
      </c>
      <c r="S159" s="115" t="s">
        <v>1453</v>
      </c>
      <c r="T159" s="107">
        <v>45812.0</v>
      </c>
      <c r="U159" s="90" t="s">
        <v>1578</v>
      </c>
      <c r="V159" s="133">
        <v>45881.0</v>
      </c>
      <c r="W159" s="84"/>
      <c r="X159" s="91">
        <v>200.0</v>
      </c>
      <c r="Y159" s="92">
        <v>45881.0</v>
      </c>
      <c r="Z159" s="103">
        <v>1200.0</v>
      </c>
      <c r="AA159" s="92">
        <v>45894.0</v>
      </c>
      <c r="AB159" s="84"/>
      <c r="AC159" s="84"/>
      <c r="AD159" s="94">
        <f t="shared" si="7"/>
        <v>2400</v>
      </c>
      <c r="AE159" s="84"/>
      <c r="AF159" s="84"/>
      <c r="AG159" s="84"/>
      <c r="AH159" s="84"/>
      <c r="AI159" s="84"/>
    </row>
    <row r="160">
      <c r="A160" s="124">
        <v>45741.71996766204</v>
      </c>
      <c r="B160" s="84" t="s">
        <v>373</v>
      </c>
      <c r="C160" s="84" t="s">
        <v>1659</v>
      </c>
      <c r="D160" s="78">
        <v>5.1993792037E10</v>
      </c>
      <c r="E160" s="127" t="s">
        <v>1660</v>
      </c>
      <c r="F160" s="84" t="s">
        <v>1661</v>
      </c>
      <c r="G160" s="84" t="s">
        <v>1662</v>
      </c>
      <c r="H160" s="84" t="s">
        <v>1663</v>
      </c>
      <c r="I160" s="84" t="s">
        <v>30</v>
      </c>
      <c r="J160" s="84" t="s">
        <v>1124</v>
      </c>
      <c r="K160" s="84" t="s">
        <v>1664</v>
      </c>
      <c r="L160" s="84" t="s">
        <v>814</v>
      </c>
      <c r="M160" s="109">
        <v>45760.0</v>
      </c>
      <c r="N160" s="105">
        <v>60.0</v>
      </c>
      <c r="O160" s="87">
        <v>150.0</v>
      </c>
      <c r="P160" s="84" t="s">
        <v>805</v>
      </c>
      <c r="Q160" s="84"/>
      <c r="R160" s="84" t="s">
        <v>806</v>
      </c>
      <c r="S160" s="115" t="s">
        <v>1453</v>
      </c>
      <c r="T160" s="107">
        <v>45812.0</v>
      </c>
      <c r="U160" s="90"/>
      <c r="V160" s="84"/>
      <c r="W160" s="84"/>
      <c r="X160" s="116">
        <v>249.0</v>
      </c>
      <c r="Y160" s="114">
        <v>45755.0</v>
      </c>
      <c r="Z160" s="93"/>
      <c r="AA160" s="93"/>
      <c r="AB160" s="84"/>
      <c r="AC160" s="84"/>
      <c r="AD160" s="94">
        <f t="shared" si="7"/>
        <v>399</v>
      </c>
      <c r="AE160" s="84"/>
      <c r="AF160" s="84"/>
      <c r="AG160" s="84"/>
      <c r="AH160" s="84"/>
      <c r="AI160" s="84"/>
    </row>
    <row r="161">
      <c r="A161" s="124">
        <v>45742.828942719905</v>
      </c>
      <c r="B161" s="84" t="s">
        <v>1665</v>
      </c>
      <c r="C161" s="84" t="s">
        <v>1666</v>
      </c>
      <c r="D161" s="78">
        <v>5.1937139191E10</v>
      </c>
      <c r="E161" s="78">
        <v>4.4829558E7</v>
      </c>
      <c r="F161" s="84" t="s">
        <v>1667</v>
      </c>
      <c r="G161" s="84" t="s">
        <v>1668</v>
      </c>
      <c r="H161" s="84" t="s">
        <v>1669</v>
      </c>
      <c r="I161" s="84" t="s">
        <v>1124</v>
      </c>
      <c r="J161" s="84" t="s">
        <v>30</v>
      </c>
      <c r="K161" s="84" t="s">
        <v>1670</v>
      </c>
      <c r="L161" s="84" t="s">
        <v>848</v>
      </c>
      <c r="M161" s="109">
        <v>45745.0</v>
      </c>
      <c r="N161" s="105">
        <v>37.0</v>
      </c>
      <c r="O161" s="87">
        <v>100.0</v>
      </c>
      <c r="P161" s="84" t="s">
        <v>805</v>
      </c>
      <c r="Q161" s="84"/>
      <c r="R161" s="84" t="s">
        <v>1018</v>
      </c>
      <c r="S161" s="115" t="s">
        <v>1453</v>
      </c>
      <c r="T161" s="107">
        <v>45812.0</v>
      </c>
      <c r="U161" s="90"/>
      <c r="V161" s="84"/>
      <c r="W161" s="84"/>
      <c r="X161" s="116">
        <v>650.0</v>
      </c>
      <c r="Y161" s="114">
        <v>45749.0</v>
      </c>
      <c r="Z161" s="116">
        <v>750.0</v>
      </c>
      <c r="AA161" s="114">
        <v>45776.0</v>
      </c>
      <c r="AB161" s="116">
        <v>750.0</v>
      </c>
      <c r="AC161" s="114">
        <v>45806.0</v>
      </c>
      <c r="AD161" s="116">
        <v>750.0</v>
      </c>
      <c r="AE161" s="114">
        <v>45837.0</v>
      </c>
      <c r="AF161" s="84"/>
      <c r="AG161" s="84"/>
      <c r="AH161" s="84"/>
      <c r="AI161" s="84"/>
    </row>
    <row r="162">
      <c r="A162" s="113">
        <v>45747.78612775463</v>
      </c>
      <c r="B162" s="84" t="s">
        <v>1671</v>
      </c>
      <c r="C162" s="84" t="s">
        <v>1672</v>
      </c>
      <c r="D162" s="105">
        <v>5.1968271187E10</v>
      </c>
      <c r="E162" s="78">
        <v>4.0457444E7</v>
      </c>
      <c r="F162" s="84" t="s">
        <v>1673</v>
      </c>
      <c r="G162" s="84" t="s">
        <v>1674</v>
      </c>
      <c r="H162" s="84" t="s">
        <v>1675</v>
      </c>
      <c r="I162" s="84" t="s">
        <v>30</v>
      </c>
      <c r="J162" s="84" t="s">
        <v>30</v>
      </c>
      <c r="K162" s="84" t="s">
        <v>980</v>
      </c>
      <c r="L162" s="84" t="s">
        <v>848</v>
      </c>
      <c r="M162" s="109">
        <v>45759.0</v>
      </c>
      <c r="N162" s="105">
        <v>46.0</v>
      </c>
      <c r="O162" s="87">
        <v>750.0</v>
      </c>
      <c r="P162" s="84" t="s">
        <v>805</v>
      </c>
      <c r="Q162" s="84"/>
      <c r="R162" s="84" t="s">
        <v>1018</v>
      </c>
      <c r="S162" s="115" t="s">
        <v>1453</v>
      </c>
      <c r="T162" s="131">
        <v>45790.0</v>
      </c>
      <c r="U162" s="90"/>
      <c r="V162" s="84"/>
      <c r="W162" s="84"/>
      <c r="X162" s="116">
        <v>750.0</v>
      </c>
      <c r="Y162" s="114">
        <v>45777.0</v>
      </c>
      <c r="Z162" s="116">
        <v>750.0</v>
      </c>
      <c r="AA162" s="114">
        <v>45807.0</v>
      </c>
      <c r="AB162" s="116">
        <v>750.0</v>
      </c>
      <c r="AC162" s="114">
        <v>45838.0</v>
      </c>
      <c r="AD162" s="94">
        <f>O162+X162+Z162+AB162</f>
        <v>3000</v>
      </c>
      <c r="AE162" s="84"/>
      <c r="AF162" s="84"/>
      <c r="AG162" s="84"/>
      <c r="AH162" s="84"/>
      <c r="AI162" s="84"/>
    </row>
    <row r="163">
      <c r="A163" s="89"/>
      <c r="B163" s="84"/>
      <c r="C163" s="84"/>
      <c r="D163" s="84"/>
      <c r="E163" s="84"/>
      <c r="F163" s="84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123"/>
      <c r="Z163" s="123"/>
      <c r="AA163" s="123"/>
      <c r="AB163" s="123"/>
      <c r="AC163" s="123"/>
      <c r="AD163" s="93"/>
      <c r="AE163" s="93"/>
      <c r="AF163" s="93"/>
      <c r="AG163" s="93"/>
      <c r="AH163" s="93"/>
      <c r="AI163" s="93"/>
    </row>
    <row r="164">
      <c r="A164" s="113">
        <v>45692.678577928236</v>
      </c>
      <c r="B164" s="84" t="s">
        <v>1676</v>
      </c>
      <c r="C164" s="84" t="s">
        <v>1677</v>
      </c>
      <c r="D164" s="105">
        <v>5.1962275831E10</v>
      </c>
      <c r="E164" s="78">
        <v>4.340166E7</v>
      </c>
      <c r="F164" s="84" t="s">
        <v>1678</v>
      </c>
      <c r="G164" s="84" t="s">
        <v>1679</v>
      </c>
      <c r="H164" s="84" t="s">
        <v>1680</v>
      </c>
      <c r="I164" s="84" t="s">
        <v>30</v>
      </c>
      <c r="J164" s="84" t="s">
        <v>30</v>
      </c>
      <c r="K164" s="84" t="s">
        <v>1681</v>
      </c>
      <c r="L164" s="84" t="s">
        <v>804</v>
      </c>
      <c r="M164" s="109">
        <v>45702.0</v>
      </c>
      <c r="N164" s="105">
        <v>40.0</v>
      </c>
      <c r="O164" s="87">
        <v>100.0</v>
      </c>
      <c r="P164" s="84" t="s">
        <v>805</v>
      </c>
      <c r="Q164" s="84"/>
      <c r="R164" s="128" t="s">
        <v>1018</v>
      </c>
      <c r="S164" s="115" t="s">
        <v>1453</v>
      </c>
      <c r="T164" s="113">
        <v>45712.0</v>
      </c>
      <c r="U164" s="90"/>
      <c r="V164" s="123"/>
      <c r="W164" s="84"/>
      <c r="X164" s="116">
        <v>299.0</v>
      </c>
      <c r="Y164" s="114">
        <v>45698.0</v>
      </c>
      <c r="Z164" s="123"/>
      <c r="AA164" s="123"/>
      <c r="AB164" s="123"/>
      <c r="AC164" s="123"/>
      <c r="AD164" s="94">
        <f t="shared" ref="AD164:AD176" si="8">O164+X164+Z164+AB164</f>
        <v>399</v>
      </c>
      <c r="AE164" s="93"/>
      <c r="AF164" s="93"/>
      <c r="AG164" s="93"/>
      <c r="AH164" s="93"/>
      <c r="AI164" s="93"/>
    </row>
    <row r="165">
      <c r="A165" s="124">
        <v>45699.55333800926</v>
      </c>
      <c r="B165" s="84" t="s">
        <v>1682</v>
      </c>
      <c r="C165" s="84" t="s">
        <v>1683</v>
      </c>
      <c r="D165" s="78">
        <v>5.1956045046E10</v>
      </c>
      <c r="E165" s="78">
        <v>2.1450824E7</v>
      </c>
      <c r="F165" s="84" t="s">
        <v>1684</v>
      </c>
      <c r="G165" s="84" t="s">
        <v>1685</v>
      </c>
      <c r="H165" s="84" t="s">
        <v>812</v>
      </c>
      <c r="I165" s="84" t="s">
        <v>812</v>
      </c>
      <c r="J165" s="84" t="s">
        <v>812</v>
      </c>
      <c r="K165" s="84" t="s">
        <v>1300</v>
      </c>
      <c r="L165" s="84" t="s">
        <v>814</v>
      </c>
      <c r="M165" s="109">
        <v>45704.0</v>
      </c>
      <c r="N165" s="105">
        <v>71.0</v>
      </c>
      <c r="O165" s="87">
        <v>100.0</v>
      </c>
      <c r="P165" s="84" t="s">
        <v>805</v>
      </c>
      <c r="Q165" s="84"/>
      <c r="R165" s="84" t="s">
        <v>1686</v>
      </c>
      <c r="S165" s="115" t="s">
        <v>1453</v>
      </c>
      <c r="T165" s="107">
        <v>45812.0</v>
      </c>
      <c r="U165" s="90"/>
      <c r="V165" s="123"/>
      <c r="W165" s="123"/>
      <c r="X165" s="116">
        <v>199.0</v>
      </c>
      <c r="Y165" s="114">
        <v>45716.0</v>
      </c>
      <c r="Z165" s="123"/>
      <c r="AA165" s="123"/>
      <c r="AB165" s="123"/>
      <c r="AC165" s="123"/>
      <c r="AD165" s="94">
        <f t="shared" si="8"/>
        <v>299</v>
      </c>
      <c r="AE165" s="93"/>
      <c r="AF165" s="93"/>
      <c r="AG165" s="93"/>
      <c r="AH165" s="93"/>
      <c r="AI165" s="93"/>
    </row>
    <row r="166">
      <c r="A166" s="132">
        <v>45700.56967590278</v>
      </c>
      <c r="B166" s="84" t="s">
        <v>1687</v>
      </c>
      <c r="C166" s="84" t="s">
        <v>1688</v>
      </c>
      <c r="D166" s="105">
        <v>5.1943835025E10</v>
      </c>
      <c r="E166" s="78">
        <v>4.5398753E7</v>
      </c>
      <c r="F166" s="84" t="s">
        <v>1689</v>
      </c>
      <c r="G166" s="84" t="s">
        <v>1690</v>
      </c>
      <c r="H166" s="84" t="s">
        <v>1024</v>
      </c>
      <c r="I166" s="84" t="s">
        <v>1024</v>
      </c>
      <c r="J166" s="84" t="s">
        <v>951</v>
      </c>
      <c r="K166" s="84" t="s">
        <v>927</v>
      </c>
      <c r="L166" s="84" t="s">
        <v>893</v>
      </c>
      <c r="M166" s="109">
        <v>45700.0</v>
      </c>
      <c r="N166" s="105">
        <v>43.0</v>
      </c>
      <c r="O166" s="87">
        <v>210.0</v>
      </c>
      <c r="P166" s="84" t="s">
        <v>805</v>
      </c>
      <c r="Q166" s="84"/>
      <c r="R166" s="84" t="s">
        <v>806</v>
      </c>
      <c r="S166" s="115" t="s">
        <v>1453</v>
      </c>
      <c r="T166" s="107">
        <v>45771.0</v>
      </c>
      <c r="U166" s="90"/>
      <c r="V166" s="123"/>
      <c r="W166" s="123"/>
      <c r="X166" s="116">
        <v>210.0</v>
      </c>
      <c r="Y166" s="114">
        <v>45713.0</v>
      </c>
      <c r="Z166" s="123"/>
      <c r="AA166" s="123"/>
      <c r="AB166" s="123"/>
      <c r="AC166" s="123"/>
      <c r="AD166" s="94">
        <f t="shared" si="8"/>
        <v>420</v>
      </c>
      <c r="AE166" s="123"/>
      <c r="AF166" s="123"/>
      <c r="AG166" s="123"/>
      <c r="AH166" s="123"/>
      <c r="AI166" s="123"/>
    </row>
    <row r="167">
      <c r="A167" s="124">
        <v>45700.74931763889</v>
      </c>
      <c r="B167" s="84" t="s">
        <v>1691</v>
      </c>
      <c r="C167" s="84" t="s">
        <v>1692</v>
      </c>
      <c r="D167" s="78">
        <v>5.1955968648E10</v>
      </c>
      <c r="E167" s="78">
        <v>7.2219094E7</v>
      </c>
      <c r="F167" s="84" t="s">
        <v>1693</v>
      </c>
      <c r="G167" s="84" t="s">
        <v>1694</v>
      </c>
      <c r="H167" s="84" t="s">
        <v>1695</v>
      </c>
      <c r="I167" s="84" t="s">
        <v>1696</v>
      </c>
      <c r="J167" s="84" t="s">
        <v>951</v>
      </c>
      <c r="K167" s="84" t="s">
        <v>1697</v>
      </c>
      <c r="L167" s="84" t="s">
        <v>848</v>
      </c>
      <c r="M167" s="109">
        <v>45696.0</v>
      </c>
      <c r="N167" s="105">
        <v>31.0</v>
      </c>
      <c r="O167" s="87">
        <v>350.0</v>
      </c>
      <c r="P167" s="84" t="s">
        <v>920</v>
      </c>
      <c r="Q167" s="105">
        <v>2.0610969012E10</v>
      </c>
      <c r="R167" s="128" t="s">
        <v>822</v>
      </c>
      <c r="S167" s="115" t="s">
        <v>807</v>
      </c>
      <c r="T167" s="123"/>
      <c r="U167" s="90"/>
      <c r="V167" s="123"/>
      <c r="W167" s="123"/>
      <c r="X167" s="116">
        <v>150.0</v>
      </c>
      <c r="Y167" s="114">
        <v>45814.0</v>
      </c>
      <c r="Z167" s="123"/>
      <c r="AA167" s="123"/>
      <c r="AB167" s="123"/>
      <c r="AC167" s="123"/>
      <c r="AD167" s="94">
        <f t="shared" si="8"/>
        <v>500</v>
      </c>
      <c r="AE167" s="93"/>
      <c r="AF167" s="93"/>
      <c r="AG167" s="93"/>
      <c r="AH167" s="93"/>
      <c r="AI167" s="93"/>
    </row>
    <row r="168">
      <c r="A168" s="113">
        <v>45700.8089025</v>
      </c>
      <c r="B168" s="84" t="s">
        <v>1698</v>
      </c>
      <c r="C168" s="84" t="s">
        <v>1699</v>
      </c>
      <c r="D168" s="105">
        <v>5.1955936079E10</v>
      </c>
      <c r="E168" s="78">
        <v>7.1208561E7</v>
      </c>
      <c r="F168" s="84" t="s">
        <v>1700</v>
      </c>
      <c r="G168" s="84" t="s">
        <v>1701</v>
      </c>
      <c r="H168" s="84" t="s">
        <v>1702</v>
      </c>
      <c r="I168" s="84" t="s">
        <v>30</v>
      </c>
      <c r="J168" s="84" t="s">
        <v>1124</v>
      </c>
      <c r="K168" s="84" t="s">
        <v>1703</v>
      </c>
      <c r="L168" s="84" t="s">
        <v>804</v>
      </c>
      <c r="M168" s="109">
        <v>45702.0</v>
      </c>
      <c r="N168" s="105">
        <v>33.0</v>
      </c>
      <c r="O168" s="87">
        <v>100.0</v>
      </c>
      <c r="P168" s="84" t="s">
        <v>805</v>
      </c>
      <c r="Q168" s="84"/>
      <c r="R168" s="128" t="s">
        <v>822</v>
      </c>
      <c r="S168" s="115" t="s">
        <v>1453</v>
      </c>
      <c r="T168" s="107">
        <v>45722.0</v>
      </c>
      <c r="U168" s="90"/>
      <c r="V168" s="123"/>
      <c r="W168" s="123"/>
      <c r="X168" s="116">
        <v>299.0</v>
      </c>
      <c r="Y168" s="114">
        <v>45836.0</v>
      </c>
      <c r="Z168" s="123"/>
      <c r="AA168" s="123"/>
      <c r="AB168" s="123"/>
      <c r="AC168" s="123"/>
      <c r="AD168" s="94">
        <f t="shared" si="8"/>
        <v>399</v>
      </c>
      <c r="AE168" s="93"/>
      <c r="AF168" s="93"/>
      <c r="AG168" s="93"/>
      <c r="AH168" s="93"/>
      <c r="AI168" s="93"/>
    </row>
    <row r="169">
      <c r="A169" s="113">
        <v>45703.441874236116</v>
      </c>
      <c r="B169" s="84" t="s">
        <v>1704</v>
      </c>
      <c r="C169" s="84" t="s">
        <v>1705</v>
      </c>
      <c r="D169" s="105">
        <v>5.1938443838E10</v>
      </c>
      <c r="E169" s="78">
        <v>4.156717E7</v>
      </c>
      <c r="F169" s="84" t="s">
        <v>1706</v>
      </c>
      <c r="G169" s="84" t="s">
        <v>1707</v>
      </c>
      <c r="H169" s="84" t="s">
        <v>1708</v>
      </c>
      <c r="I169" s="84" t="s">
        <v>1709</v>
      </c>
      <c r="J169" s="84" t="s">
        <v>905</v>
      </c>
      <c r="K169" s="84" t="s">
        <v>1710</v>
      </c>
      <c r="L169" s="84" t="s">
        <v>848</v>
      </c>
      <c r="M169" s="109">
        <v>45711.0</v>
      </c>
      <c r="N169" s="105">
        <v>41.0</v>
      </c>
      <c r="O169" s="87">
        <v>250.0</v>
      </c>
      <c r="P169" s="84" t="s">
        <v>805</v>
      </c>
      <c r="Q169" s="84"/>
      <c r="R169" s="128" t="s">
        <v>806</v>
      </c>
      <c r="S169" s="115" t="s">
        <v>1453</v>
      </c>
      <c r="T169" s="107">
        <v>45727.0</v>
      </c>
      <c r="U169" s="90"/>
      <c r="V169" s="123"/>
      <c r="W169" s="123"/>
      <c r="X169" s="116">
        <v>2349.0</v>
      </c>
      <c r="Y169" s="114">
        <v>45723.0</v>
      </c>
      <c r="Z169" s="123"/>
      <c r="AA169" s="123"/>
      <c r="AB169" s="123"/>
      <c r="AC169" s="123"/>
      <c r="AD169" s="94">
        <f t="shared" si="8"/>
        <v>2599</v>
      </c>
      <c r="AE169" s="93"/>
      <c r="AF169" s="93"/>
      <c r="AG169" s="93"/>
      <c r="AH169" s="93"/>
      <c r="AI169" s="93"/>
    </row>
    <row r="170">
      <c r="A170" s="132">
        <v>45703.50184795139</v>
      </c>
      <c r="B170" s="84" t="s">
        <v>1711</v>
      </c>
      <c r="C170" s="84" t="s">
        <v>1712</v>
      </c>
      <c r="D170" s="105">
        <v>5.1948685586E10</v>
      </c>
      <c r="E170" s="78">
        <v>3.265817E7</v>
      </c>
      <c r="F170" s="84" t="s">
        <v>1713</v>
      </c>
      <c r="G170" s="84" t="s">
        <v>1714</v>
      </c>
      <c r="H170" s="84" t="s">
        <v>1715</v>
      </c>
      <c r="I170" s="84" t="s">
        <v>1124</v>
      </c>
      <c r="J170" s="84" t="s">
        <v>1124</v>
      </c>
      <c r="K170" s="84" t="s">
        <v>1716</v>
      </c>
      <c r="L170" s="84" t="s">
        <v>804</v>
      </c>
      <c r="M170" s="109">
        <v>45716.0</v>
      </c>
      <c r="N170" s="105">
        <v>50.0</v>
      </c>
      <c r="O170" s="87">
        <v>50.0</v>
      </c>
      <c r="P170" s="84" t="s">
        <v>920</v>
      </c>
      <c r="Q170" s="105">
        <v>2.0612120057E10</v>
      </c>
      <c r="R170" s="128" t="s">
        <v>822</v>
      </c>
      <c r="S170" s="115" t="s">
        <v>1453</v>
      </c>
      <c r="T170" s="107">
        <v>45752.0</v>
      </c>
      <c r="U170" s="90"/>
      <c r="V170" s="123"/>
      <c r="W170" s="123"/>
      <c r="X170" s="116">
        <v>249.0</v>
      </c>
      <c r="Y170" s="114">
        <v>45835.0</v>
      </c>
      <c r="Z170" s="123"/>
      <c r="AA170" s="123"/>
      <c r="AB170" s="123"/>
      <c r="AC170" s="123"/>
      <c r="AD170" s="94">
        <f t="shared" si="8"/>
        <v>299</v>
      </c>
      <c r="AE170" s="93"/>
      <c r="AF170" s="93"/>
      <c r="AG170" s="93"/>
      <c r="AH170" s="93"/>
      <c r="AI170" s="93"/>
    </row>
    <row r="171">
      <c r="A171" s="124">
        <v>45707.47943340278</v>
      </c>
      <c r="B171" s="84" t="s">
        <v>1717</v>
      </c>
      <c r="C171" s="84" t="s">
        <v>1718</v>
      </c>
      <c r="D171" s="78">
        <v>5.1982209314E10</v>
      </c>
      <c r="E171" s="78">
        <v>7.0134521E7</v>
      </c>
      <c r="F171" s="84" t="s">
        <v>1719</v>
      </c>
      <c r="G171" s="84" t="s">
        <v>1720</v>
      </c>
      <c r="H171" s="84" t="s">
        <v>1721</v>
      </c>
      <c r="I171" s="84" t="s">
        <v>867</v>
      </c>
      <c r="J171" s="84" t="s">
        <v>867</v>
      </c>
      <c r="K171" s="84" t="s">
        <v>1722</v>
      </c>
      <c r="L171" s="84" t="s">
        <v>848</v>
      </c>
      <c r="M171" s="109">
        <v>45711.0</v>
      </c>
      <c r="N171" s="105">
        <v>30.0</v>
      </c>
      <c r="O171" s="87">
        <v>900.0</v>
      </c>
      <c r="P171" s="84" t="s">
        <v>805</v>
      </c>
      <c r="Q171" s="84"/>
      <c r="R171" s="84" t="s">
        <v>806</v>
      </c>
      <c r="S171" s="115" t="s">
        <v>1453</v>
      </c>
      <c r="T171" s="107">
        <v>45812.0</v>
      </c>
      <c r="U171" s="90"/>
      <c r="V171" s="123"/>
      <c r="W171" s="123"/>
      <c r="X171" s="116">
        <v>850.0</v>
      </c>
      <c r="Y171" s="114">
        <v>45752.0</v>
      </c>
      <c r="Z171" s="116">
        <v>850.0</v>
      </c>
      <c r="AA171" s="114">
        <v>45767.0</v>
      </c>
      <c r="AB171" s="123"/>
      <c r="AC171" s="123"/>
      <c r="AD171" s="94">
        <f t="shared" si="8"/>
        <v>2600</v>
      </c>
      <c r="AE171" s="93"/>
      <c r="AF171" s="93"/>
      <c r="AG171" s="93"/>
      <c r="AH171" s="93"/>
      <c r="AI171" s="93"/>
    </row>
    <row r="172">
      <c r="A172" s="132">
        <v>45709.76445453704</v>
      </c>
      <c r="B172" s="130" t="s">
        <v>1723</v>
      </c>
      <c r="C172" s="84" t="s">
        <v>1724</v>
      </c>
      <c r="D172" s="105">
        <v>5.1900206378E10</v>
      </c>
      <c r="E172" s="78">
        <v>4.7099761E7</v>
      </c>
      <c r="F172" s="84" t="s">
        <v>1725</v>
      </c>
      <c r="G172" s="84" t="s">
        <v>1726</v>
      </c>
      <c r="H172" s="84" t="s">
        <v>1727</v>
      </c>
      <c r="I172" s="84" t="s">
        <v>1728</v>
      </c>
      <c r="J172" s="84" t="s">
        <v>1728</v>
      </c>
      <c r="K172" s="84" t="s">
        <v>980</v>
      </c>
      <c r="L172" s="130" t="s">
        <v>848</v>
      </c>
      <c r="M172" s="109">
        <v>45711.0</v>
      </c>
      <c r="N172" s="105">
        <v>34.0</v>
      </c>
      <c r="O172" s="87">
        <v>500.0</v>
      </c>
      <c r="P172" s="84" t="s">
        <v>805</v>
      </c>
      <c r="Q172" s="84"/>
      <c r="R172" s="134" t="s">
        <v>806</v>
      </c>
      <c r="S172" s="115" t="s">
        <v>1453</v>
      </c>
      <c r="T172" s="107">
        <v>45752.0</v>
      </c>
      <c r="U172" s="90"/>
      <c r="V172" s="123"/>
      <c r="W172" s="123"/>
      <c r="X172" s="116">
        <v>2299.0</v>
      </c>
      <c r="Y172" s="114">
        <v>45745.0</v>
      </c>
      <c r="Z172" s="123"/>
      <c r="AA172" s="123"/>
      <c r="AB172" s="123"/>
      <c r="AC172" s="123"/>
      <c r="AD172" s="94">
        <f t="shared" si="8"/>
        <v>2799</v>
      </c>
      <c r="AE172" s="93"/>
      <c r="AF172" s="93"/>
      <c r="AG172" s="93"/>
      <c r="AH172" s="93"/>
      <c r="AI172" s="93"/>
    </row>
    <row r="173">
      <c r="A173" s="113">
        <v>45712.576380150465</v>
      </c>
      <c r="B173" s="84" t="s">
        <v>1729</v>
      </c>
      <c r="C173" s="84" t="s">
        <v>1730</v>
      </c>
      <c r="D173" s="105">
        <v>5.1995555459E10</v>
      </c>
      <c r="E173" s="78">
        <v>4.5935738E7</v>
      </c>
      <c r="F173" s="84" t="s">
        <v>1731</v>
      </c>
      <c r="G173" s="84" t="s">
        <v>1732</v>
      </c>
      <c r="H173" s="84" t="s">
        <v>827</v>
      </c>
      <c r="I173" s="84" t="s">
        <v>828</v>
      </c>
      <c r="J173" s="84" t="s">
        <v>972</v>
      </c>
      <c r="K173" s="84" t="s">
        <v>1557</v>
      </c>
      <c r="L173" s="130" t="s">
        <v>848</v>
      </c>
      <c r="M173" s="109">
        <v>45711.0</v>
      </c>
      <c r="N173" s="105">
        <v>35.0</v>
      </c>
      <c r="O173" s="87">
        <v>100.0</v>
      </c>
      <c r="P173" s="84" t="s">
        <v>805</v>
      </c>
      <c r="Q173" s="84"/>
      <c r="R173" s="84" t="s">
        <v>1018</v>
      </c>
      <c r="S173" s="115" t="s">
        <v>1453</v>
      </c>
      <c r="T173" s="107">
        <v>45763.0</v>
      </c>
      <c r="U173" s="90" t="s">
        <v>1578</v>
      </c>
      <c r="V173" s="114">
        <v>45836.0</v>
      </c>
      <c r="W173" s="123"/>
      <c r="X173" s="87">
        <v>900.0</v>
      </c>
      <c r="Y173" s="114">
        <v>45728.0</v>
      </c>
      <c r="Z173" s="87">
        <v>850.0</v>
      </c>
      <c r="AA173" s="114">
        <v>45836.0</v>
      </c>
      <c r="AB173" s="87">
        <v>750.0</v>
      </c>
      <c r="AC173" s="92">
        <v>45884.0</v>
      </c>
      <c r="AD173" s="94">
        <f t="shared" si="8"/>
        <v>2600</v>
      </c>
      <c r="AE173" s="93"/>
      <c r="AF173" s="93"/>
      <c r="AG173" s="93"/>
      <c r="AH173" s="93"/>
      <c r="AI173" s="93"/>
    </row>
    <row r="174">
      <c r="A174" s="124">
        <v>45713.55621384259</v>
      </c>
      <c r="B174" s="84" t="s">
        <v>1733</v>
      </c>
      <c r="C174" s="84" t="s">
        <v>1734</v>
      </c>
      <c r="D174" s="78">
        <v>5.194511795E10</v>
      </c>
      <c r="E174" s="127" t="s">
        <v>1735</v>
      </c>
      <c r="F174" s="84" t="s">
        <v>1736</v>
      </c>
      <c r="G174" s="84" t="s">
        <v>1737</v>
      </c>
      <c r="H174" s="84" t="s">
        <v>1738</v>
      </c>
      <c r="I174" s="84" t="s">
        <v>933</v>
      </c>
      <c r="J174" s="84" t="s">
        <v>932</v>
      </c>
      <c r="K174" s="84" t="s">
        <v>1739</v>
      </c>
      <c r="L174" s="84" t="s">
        <v>884</v>
      </c>
      <c r="M174" s="109">
        <v>45725.0</v>
      </c>
      <c r="N174" s="105">
        <v>66.0</v>
      </c>
      <c r="O174" s="87">
        <v>200.0</v>
      </c>
      <c r="P174" s="84" t="s">
        <v>805</v>
      </c>
      <c r="Q174" s="84"/>
      <c r="R174" s="84" t="s">
        <v>806</v>
      </c>
      <c r="S174" s="115" t="s">
        <v>1453</v>
      </c>
      <c r="T174" s="107">
        <v>45812.0</v>
      </c>
      <c r="U174" s="90"/>
      <c r="V174" s="123"/>
      <c r="W174" s="123"/>
      <c r="X174" s="116">
        <v>250.0</v>
      </c>
      <c r="Y174" s="114">
        <v>45741.0</v>
      </c>
      <c r="Z174" s="123"/>
      <c r="AA174" s="123"/>
      <c r="AB174" s="123"/>
      <c r="AC174" s="123"/>
      <c r="AD174" s="94">
        <f t="shared" si="8"/>
        <v>450</v>
      </c>
      <c r="AE174" s="93"/>
      <c r="AF174" s="93"/>
      <c r="AG174" s="93"/>
      <c r="AH174" s="93"/>
      <c r="AI174" s="93"/>
    </row>
    <row r="175">
      <c r="A175" s="132">
        <v>45715.6774349537</v>
      </c>
      <c r="B175" s="84" t="s">
        <v>1740</v>
      </c>
      <c r="C175" s="84" t="s">
        <v>1741</v>
      </c>
      <c r="D175" s="78">
        <v>5.1983512784E10</v>
      </c>
      <c r="E175" s="78">
        <v>7.0077837E7</v>
      </c>
      <c r="F175" s="84" t="s">
        <v>1742</v>
      </c>
      <c r="G175" s="84" t="s">
        <v>1743</v>
      </c>
      <c r="H175" s="84" t="s">
        <v>891</v>
      </c>
      <c r="I175" s="84" t="s">
        <v>891</v>
      </c>
      <c r="J175" s="84" t="s">
        <v>891</v>
      </c>
      <c r="K175" s="84" t="s">
        <v>803</v>
      </c>
      <c r="L175" s="84" t="s">
        <v>814</v>
      </c>
      <c r="M175" s="109">
        <v>45718.0</v>
      </c>
      <c r="N175" s="105">
        <v>27.0</v>
      </c>
      <c r="O175" s="87">
        <v>100.0</v>
      </c>
      <c r="P175" s="84" t="s">
        <v>805</v>
      </c>
      <c r="Q175" s="84"/>
      <c r="R175" s="134" t="s">
        <v>806</v>
      </c>
      <c r="S175" s="115" t="s">
        <v>1453</v>
      </c>
      <c r="T175" s="107">
        <v>45777.0</v>
      </c>
      <c r="U175" s="90"/>
      <c r="V175" s="123"/>
      <c r="W175" s="123"/>
      <c r="X175" s="116">
        <v>299.0</v>
      </c>
      <c r="Y175" s="114">
        <v>45726.0</v>
      </c>
      <c r="Z175" s="123"/>
      <c r="AA175" s="123"/>
      <c r="AB175" s="123"/>
      <c r="AC175" s="123"/>
      <c r="AD175" s="94">
        <f t="shared" si="8"/>
        <v>399</v>
      </c>
      <c r="AE175" s="93"/>
      <c r="AF175" s="93"/>
      <c r="AG175" s="93"/>
      <c r="AH175" s="93"/>
      <c r="AI175" s="93"/>
    </row>
    <row r="176">
      <c r="A176" s="132">
        <v>45715.70926722222</v>
      </c>
      <c r="B176" s="84" t="s">
        <v>1744</v>
      </c>
      <c r="C176" s="84" t="s">
        <v>1745</v>
      </c>
      <c r="D176" s="105">
        <v>5.1980051777E10</v>
      </c>
      <c r="E176" s="78">
        <v>4.3401538E7</v>
      </c>
      <c r="F176" s="84" t="s">
        <v>1746</v>
      </c>
      <c r="G176" s="84" t="s">
        <v>1747</v>
      </c>
      <c r="H176" s="84" t="s">
        <v>1748</v>
      </c>
      <c r="I176" s="84" t="s">
        <v>1749</v>
      </c>
      <c r="J176" s="84" t="s">
        <v>846</v>
      </c>
      <c r="K176" s="84" t="s">
        <v>1154</v>
      </c>
      <c r="L176" s="84" t="s">
        <v>804</v>
      </c>
      <c r="M176" s="109">
        <v>45716.0</v>
      </c>
      <c r="N176" s="105">
        <v>39.0</v>
      </c>
      <c r="O176" s="87">
        <v>200.0</v>
      </c>
      <c r="P176" s="84" t="s">
        <v>805</v>
      </c>
      <c r="Q176" s="84"/>
      <c r="R176" s="84" t="s">
        <v>806</v>
      </c>
      <c r="S176" s="115" t="s">
        <v>1453</v>
      </c>
      <c r="T176" s="107">
        <v>45771.0</v>
      </c>
      <c r="U176" s="90"/>
      <c r="V176" s="123"/>
      <c r="W176" s="123"/>
      <c r="X176" s="116">
        <v>150.0</v>
      </c>
      <c r="Y176" s="114">
        <v>45736.0</v>
      </c>
      <c r="Z176" s="123"/>
      <c r="AA176" s="123"/>
      <c r="AB176" s="123"/>
      <c r="AC176" s="123"/>
      <c r="AD176" s="94">
        <f t="shared" si="8"/>
        <v>350</v>
      </c>
      <c r="AE176" s="93"/>
      <c r="AF176" s="93"/>
      <c r="AG176" s="93"/>
      <c r="AH176" s="93"/>
      <c r="AI176" s="93"/>
    </row>
    <row r="177">
      <c r="A177" s="89"/>
      <c r="B177" s="84"/>
      <c r="C177" s="84"/>
      <c r="D177" s="84"/>
      <c r="E177" s="84"/>
      <c r="F177" s="84"/>
      <c r="G177" s="84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123"/>
      <c r="T177" s="123"/>
      <c r="U177" s="90"/>
      <c r="V177" s="123"/>
      <c r="W177" s="123"/>
      <c r="X177" s="123"/>
      <c r="Y177" s="123"/>
      <c r="Z177" s="123"/>
      <c r="AA177" s="123"/>
      <c r="AB177" s="123"/>
      <c r="AC177" s="123"/>
      <c r="AD177" s="93"/>
      <c r="AE177" s="93"/>
      <c r="AF177" s="93"/>
      <c r="AG177" s="93"/>
      <c r="AH177" s="93"/>
      <c r="AI177" s="93"/>
    </row>
    <row r="178">
      <c r="A178" s="113">
        <v>45660.529484872684</v>
      </c>
      <c r="B178" s="84" t="s">
        <v>1750</v>
      </c>
      <c r="C178" s="84" t="s">
        <v>1751</v>
      </c>
      <c r="D178" s="105">
        <v>5.1906212089E10</v>
      </c>
      <c r="E178" s="78">
        <v>7.4321361E7</v>
      </c>
      <c r="F178" s="84" t="s">
        <v>1752</v>
      </c>
      <c r="G178" s="84" t="s">
        <v>1753</v>
      </c>
      <c r="H178" s="84" t="s">
        <v>1702</v>
      </c>
      <c r="I178" s="84" t="s">
        <v>1124</v>
      </c>
      <c r="J178" s="84" t="s">
        <v>1124</v>
      </c>
      <c r="K178" s="84" t="s">
        <v>821</v>
      </c>
      <c r="L178" s="84" t="s">
        <v>893</v>
      </c>
      <c r="M178" s="109">
        <v>45665.0</v>
      </c>
      <c r="N178" s="105">
        <v>26.0</v>
      </c>
      <c r="O178" s="87">
        <v>245.0</v>
      </c>
      <c r="P178" s="84" t="s">
        <v>805</v>
      </c>
      <c r="Q178" s="105">
        <v>7.4321361E7</v>
      </c>
      <c r="R178" s="128" t="s">
        <v>806</v>
      </c>
      <c r="S178" s="115" t="s">
        <v>1453</v>
      </c>
      <c r="T178" s="107">
        <v>45777.0</v>
      </c>
      <c r="U178" s="90"/>
      <c r="V178" s="84"/>
      <c r="W178" s="84"/>
      <c r="X178" s="116">
        <v>254.0</v>
      </c>
      <c r="Y178" s="114">
        <v>45688.0</v>
      </c>
      <c r="Z178" s="123"/>
      <c r="AA178" s="123"/>
      <c r="AB178" s="123"/>
      <c r="AC178" s="123"/>
      <c r="AD178" s="94">
        <f t="shared" ref="AD178:AD201" si="9">O178+X178+Z178+AB178</f>
        <v>499</v>
      </c>
      <c r="AE178" s="93"/>
      <c r="AF178" s="93"/>
      <c r="AG178" s="93"/>
      <c r="AH178" s="93"/>
      <c r="AI178" s="93"/>
    </row>
    <row r="179">
      <c r="A179" s="124">
        <v>45663.3857615625</v>
      </c>
      <c r="B179" s="84" t="s">
        <v>1754</v>
      </c>
      <c r="C179" s="84" t="s">
        <v>1755</v>
      </c>
      <c r="D179" s="78">
        <v>5.1917148779E10</v>
      </c>
      <c r="E179" s="78">
        <v>7.1966077E7</v>
      </c>
      <c r="F179" s="84" t="s">
        <v>1756</v>
      </c>
      <c r="G179" s="84" t="s">
        <v>1757</v>
      </c>
      <c r="H179" s="84" t="s">
        <v>1009</v>
      </c>
      <c r="I179" s="84" t="s">
        <v>1009</v>
      </c>
      <c r="J179" s="84" t="s">
        <v>1009</v>
      </c>
      <c r="K179" s="84" t="s">
        <v>847</v>
      </c>
      <c r="L179" s="84" t="s">
        <v>1758</v>
      </c>
      <c r="M179" s="109">
        <v>45666.0</v>
      </c>
      <c r="N179" s="105">
        <v>31.0</v>
      </c>
      <c r="O179" s="87">
        <v>100.0</v>
      </c>
      <c r="P179" s="84" t="s">
        <v>920</v>
      </c>
      <c r="Q179" s="105">
        <v>1.0719660776E10</v>
      </c>
      <c r="R179" s="128" t="s">
        <v>806</v>
      </c>
      <c r="S179" s="115" t="s">
        <v>1453</v>
      </c>
      <c r="T179" s="107">
        <v>45812.0</v>
      </c>
      <c r="U179" s="90"/>
      <c r="V179" s="84"/>
      <c r="W179" s="84"/>
      <c r="X179" s="116">
        <v>699.0</v>
      </c>
      <c r="Y179" s="114">
        <v>45689.0</v>
      </c>
      <c r="Z179" s="123"/>
      <c r="AA179" s="123"/>
      <c r="AB179" s="123"/>
      <c r="AC179" s="123"/>
      <c r="AD179" s="94">
        <f t="shared" si="9"/>
        <v>799</v>
      </c>
      <c r="AE179" s="93"/>
      <c r="AF179" s="93"/>
      <c r="AG179" s="93"/>
      <c r="AH179" s="93"/>
      <c r="AI179" s="93"/>
    </row>
    <row r="180">
      <c r="A180" s="113">
        <v>45663.654337037035</v>
      </c>
      <c r="B180" s="84" t="s">
        <v>1759</v>
      </c>
      <c r="C180" s="84" t="s">
        <v>1760</v>
      </c>
      <c r="D180" s="105">
        <v>5.1926733847E10</v>
      </c>
      <c r="E180" s="78">
        <v>8.0142969E7</v>
      </c>
      <c r="F180" s="84" t="s">
        <v>1761</v>
      </c>
      <c r="G180" s="84" t="s">
        <v>1762</v>
      </c>
      <c r="H180" s="84" t="s">
        <v>1763</v>
      </c>
      <c r="I180" s="84" t="s">
        <v>1048</v>
      </c>
      <c r="J180" s="84" t="s">
        <v>867</v>
      </c>
      <c r="K180" s="84" t="s">
        <v>1207</v>
      </c>
      <c r="L180" s="84" t="s">
        <v>848</v>
      </c>
      <c r="M180" s="109">
        <v>45661.0</v>
      </c>
      <c r="N180" s="105">
        <v>47.0</v>
      </c>
      <c r="O180" s="87">
        <v>500.0</v>
      </c>
      <c r="P180" s="84" t="s">
        <v>805</v>
      </c>
      <c r="Q180" s="84"/>
      <c r="R180" s="84" t="s">
        <v>822</v>
      </c>
      <c r="S180" s="115" t="s">
        <v>1453</v>
      </c>
      <c r="T180" s="107">
        <v>45705.0</v>
      </c>
      <c r="U180" s="90"/>
      <c r="V180" s="84"/>
      <c r="W180" s="84"/>
      <c r="X180" s="116">
        <v>2099.0</v>
      </c>
      <c r="Y180" s="114">
        <v>45687.0</v>
      </c>
      <c r="Z180" s="123"/>
      <c r="AA180" s="123"/>
      <c r="AB180" s="123"/>
      <c r="AC180" s="123"/>
      <c r="AD180" s="94">
        <f t="shared" si="9"/>
        <v>2599</v>
      </c>
      <c r="AE180" s="93"/>
      <c r="AF180" s="93"/>
      <c r="AG180" s="93"/>
      <c r="AH180" s="93"/>
      <c r="AI180" s="93"/>
    </row>
    <row r="181">
      <c r="A181" s="124">
        <v>45663.71462125</v>
      </c>
      <c r="B181" s="84" t="s">
        <v>1764</v>
      </c>
      <c r="C181" s="84" t="s">
        <v>1765</v>
      </c>
      <c r="D181" s="78">
        <v>5.1937205217E10</v>
      </c>
      <c r="E181" s="78">
        <v>4.5226693E7</v>
      </c>
      <c r="F181" s="84" t="s">
        <v>1766</v>
      </c>
      <c r="G181" s="84" t="s">
        <v>1767</v>
      </c>
      <c r="H181" s="84" t="s">
        <v>1189</v>
      </c>
      <c r="I181" s="84" t="s">
        <v>881</v>
      </c>
      <c r="J181" s="84" t="s">
        <v>905</v>
      </c>
      <c r="K181" s="84" t="s">
        <v>847</v>
      </c>
      <c r="L181" s="84" t="s">
        <v>1417</v>
      </c>
      <c r="M181" s="109">
        <v>45662.0</v>
      </c>
      <c r="N181" s="105">
        <v>36.0</v>
      </c>
      <c r="O181" s="87">
        <v>150.0</v>
      </c>
      <c r="P181" s="84" t="s">
        <v>805</v>
      </c>
      <c r="Q181" s="84"/>
      <c r="R181" s="128" t="s">
        <v>822</v>
      </c>
      <c r="S181" s="115" t="s">
        <v>1453</v>
      </c>
      <c r="T181" s="107">
        <v>45812.0</v>
      </c>
      <c r="U181" s="90"/>
      <c r="V181" s="84"/>
      <c r="W181" s="84"/>
      <c r="X181" s="116">
        <v>200.0</v>
      </c>
      <c r="Y181" s="114">
        <v>45811.0</v>
      </c>
      <c r="Z181" s="116">
        <v>249.0</v>
      </c>
      <c r="AA181" s="114">
        <v>45837.0</v>
      </c>
      <c r="AB181" s="123"/>
      <c r="AC181" s="123"/>
      <c r="AD181" s="94">
        <f t="shared" si="9"/>
        <v>599</v>
      </c>
      <c r="AE181" s="93"/>
      <c r="AF181" s="93"/>
      <c r="AG181" s="93"/>
      <c r="AH181" s="93"/>
      <c r="AI181" s="93"/>
    </row>
    <row r="182">
      <c r="A182" s="124">
        <v>45663.83199769676</v>
      </c>
      <c r="B182" s="84" t="s">
        <v>1768</v>
      </c>
      <c r="C182" s="84" t="s">
        <v>1769</v>
      </c>
      <c r="D182" s="78">
        <v>5.1962798969E10</v>
      </c>
      <c r="E182" s="78">
        <v>7.6230227E7</v>
      </c>
      <c r="F182" s="84" t="s">
        <v>1770</v>
      </c>
      <c r="G182" s="84" t="s">
        <v>1771</v>
      </c>
      <c r="H182" s="84" t="s">
        <v>1772</v>
      </c>
      <c r="I182" s="84" t="s">
        <v>1773</v>
      </c>
      <c r="J182" s="84" t="s">
        <v>1131</v>
      </c>
      <c r="K182" s="84" t="s">
        <v>1132</v>
      </c>
      <c r="L182" s="84" t="s">
        <v>814</v>
      </c>
      <c r="M182" s="109">
        <v>45669.0</v>
      </c>
      <c r="N182" s="105">
        <v>30.0</v>
      </c>
      <c r="O182" s="87">
        <v>200.0</v>
      </c>
      <c r="P182" s="84" t="s">
        <v>805</v>
      </c>
      <c r="Q182" s="84"/>
      <c r="R182" s="84" t="s">
        <v>806</v>
      </c>
      <c r="S182" s="115" t="s">
        <v>1453</v>
      </c>
      <c r="T182" s="107">
        <v>45812.0</v>
      </c>
      <c r="U182" s="90"/>
      <c r="V182" s="84"/>
      <c r="W182" s="84"/>
      <c r="X182" s="116">
        <v>220.0</v>
      </c>
      <c r="Y182" s="114">
        <v>45674.0</v>
      </c>
      <c r="Z182" s="123"/>
      <c r="AA182" s="123"/>
      <c r="AB182" s="123"/>
      <c r="AC182" s="123"/>
      <c r="AD182" s="94">
        <f t="shared" si="9"/>
        <v>420</v>
      </c>
      <c r="AE182" s="93"/>
      <c r="AF182" s="93"/>
      <c r="AG182" s="93"/>
      <c r="AH182" s="93"/>
      <c r="AI182" s="93"/>
    </row>
    <row r="183">
      <c r="A183" s="124">
        <v>45667.50219667824</v>
      </c>
      <c r="B183" s="84" t="s">
        <v>1774</v>
      </c>
      <c r="C183" s="84" t="s">
        <v>1775</v>
      </c>
      <c r="D183" s="78">
        <v>5.1918541227E10</v>
      </c>
      <c r="E183" s="78">
        <v>7.7575559E7</v>
      </c>
      <c r="F183" s="84" t="s">
        <v>1776</v>
      </c>
      <c r="G183" s="84" t="s">
        <v>1777</v>
      </c>
      <c r="H183" s="84" t="s">
        <v>1778</v>
      </c>
      <c r="I183" s="84" t="s">
        <v>1042</v>
      </c>
      <c r="J183" s="84" t="s">
        <v>827</v>
      </c>
      <c r="K183" s="84" t="s">
        <v>1779</v>
      </c>
      <c r="L183" s="84" t="s">
        <v>1552</v>
      </c>
      <c r="M183" s="109">
        <v>45664.0</v>
      </c>
      <c r="N183" s="105">
        <v>29.0</v>
      </c>
      <c r="O183" s="87">
        <v>50.0</v>
      </c>
      <c r="P183" s="84" t="s">
        <v>805</v>
      </c>
      <c r="Q183" s="84"/>
      <c r="R183" s="84" t="s">
        <v>1561</v>
      </c>
      <c r="S183" s="115" t="s">
        <v>1453</v>
      </c>
      <c r="T183" s="107">
        <v>45812.0</v>
      </c>
      <c r="U183" s="90"/>
      <c r="V183" s="84"/>
      <c r="W183" s="84"/>
      <c r="X183" s="116">
        <v>269.0</v>
      </c>
      <c r="Y183" s="114">
        <v>45674.0</v>
      </c>
      <c r="Z183" s="123"/>
      <c r="AA183" s="123"/>
      <c r="AB183" s="123"/>
      <c r="AC183" s="123"/>
      <c r="AD183" s="94">
        <f t="shared" si="9"/>
        <v>319</v>
      </c>
      <c r="AE183" s="93"/>
      <c r="AF183" s="93"/>
      <c r="AG183" s="93"/>
      <c r="AH183" s="93"/>
      <c r="AI183" s="93"/>
    </row>
    <row r="184">
      <c r="A184" s="113">
        <v>45667.63543734954</v>
      </c>
      <c r="B184" s="84" t="s">
        <v>1780</v>
      </c>
      <c r="C184" s="84" t="s">
        <v>1781</v>
      </c>
      <c r="D184" s="105">
        <v>5.1980686299E10</v>
      </c>
      <c r="E184" s="78">
        <v>4.8639379E7</v>
      </c>
      <c r="F184" s="84" t="s">
        <v>1782</v>
      </c>
      <c r="G184" s="84" t="s">
        <v>1783</v>
      </c>
      <c r="H184" s="84" t="s">
        <v>1783</v>
      </c>
      <c r="I184" s="84" t="s">
        <v>30</v>
      </c>
      <c r="J184" s="84" t="s">
        <v>30</v>
      </c>
      <c r="K184" s="84" t="s">
        <v>1784</v>
      </c>
      <c r="L184" s="84" t="s">
        <v>804</v>
      </c>
      <c r="M184" s="109">
        <v>45667.0</v>
      </c>
      <c r="N184" s="105">
        <v>29.0</v>
      </c>
      <c r="O184" s="87">
        <v>180.0</v>
      </c>
      <c r="P184" s="84" t="s">
        <v>805</v>
      </c>
      <c r="Q184" s="84"/>
      <c r="R184" s="84" t="s">
        <v>806</v>
      </c>
      <c r="S184" s="115" t="s">
        <v>1453</v>
      </c>
      <c r="T184" s="107">
        <v>45715.0</v>
      </c>
      <c r="U184" s="90"/>
      <c r="V184" s="84"/>
      <c r="W184" s="84"/>
      <c r="X184" s="116">
        <v>170.0</v>
      </c>
      <c r="Y184" s="114">
        <v>45682.0</v>
      </c>
      <c r="Z184" s="123"/>
      <c r="AA184" s="123"/>
      <c r="AB184" s="123"/>
      <c r="AC184" s="123"/>
      <c r="AD184" s="94">
        <f t="shared" si="9"/>
        <v>350</v>
      </c>
      <c r="AE184" s="93"/>
      <c r="AF184" s="93"/>
      <c r="AG184" s="93"/>
      <c r="AH184" s="93"/>
      <c r="AI184" s="93"/>
    </row>
    <row r="185">
      <c r="A185" s="124">
        <v>45667.749611770836</v>
      </c>
      <c r="B185" s="84" t="s">
        <v>1785</v>
      </c>
      <c r="C185" s="84" t="s">
        <v>1786</v>
      </c>
      <c r="D185" s="78">
        <v>5.194663143E10</v>
      </c>
      <c r="E185" s="78">
        <v>4.6094193E7</v>
      </c>
      <c r="F185" s="84" t="s">
        <v>1787</v>
      </c>
      <c r="G185" s="84" t="s">
        <v>1788</v>
      </c>
      <c r="H185" s="84" t="s">
        <v>1789</v>
      </c>
      <c r="I185" s="84" t="s">
        <v>1790</v>
      </c>
      <c r="J185" s="84" t="s">
        <v>1791</v>
      </c>
      <c r="K185" s="84" t="s">
        <v>1792</v>
      </c>
      <c r="L185" s="84" t="s">
        <v>804</v>
      </c>
      <c r="M185" s="109">
        <v>45667.0</v>
      </c>
      <c r="N185" s="105">
        <v>35.0</v>
      </c>
      <c r="O185" s="87">
        <v>50.0</v>
      </c>
      <c r="P185" s="84" t="s">
        <v>920</v>
      </c>
      <c r="Q185" s="105">
        <v>2.0603266511E10</v>
      </c>
      <c r="R185" s="84" t="s">
        <v>1686</v>
      </c>
      <c r="S185" s="115" t="s">
        <v>1453</v>
      </c>
      <c r="T185" s="107">
        <v>45812.0</v>
      </c>
      <c r="U185" s="90"/>
      <c r="V185" s="84"/>
      <c r="W185" s="84"/>
      <c r="X185" s="116">
        <v>249.0</v>
      </c>
      <c r="Y185" s="114">
        <v>45687.0</v>
      </c>
      <c r="Z185" s="123"/>
      <c r="AA185" s="123"/>
      <c r="AB185" s="123"/>
      <c r="AC185" s="123"/>
      <c r="AD185" s="94">
        <f t="shared" si="9"/>
        <v>299</v>
      </c>
      <c r="AE185" s="93"/>
      <c r="AF185" s="93"/>
      <c r="AG185" s="93"/>
      <c r="AH185" s="93"/>
      <c r="AI185" s="93"/>
    </row>
    <row r="186">
      <c r="A186" s="113">
        <v>45668.50902773148</v>
      </c>
      <c r="B186" s="84" t="s">
        <v>1793</v>
      </c>
      <c r="C186" s="84" t="s">
        <v>1794</v>
      </c>
      <c r="D186" s="105">
        <v>5.1982184523E10</v>
      </c>
      <c r="E186" s="78">
        <v>4.5000304E7</v>
      </c>
      <c r="F186" s="84" t="s">
        <v>1795</v>
      </c>
      <c r="G186" s="84" t="s">
        <v>1796</v>
      </c>
      <c r="H186" s="84" t="s">
        <v>1123</v>
      </c>
      <c r="I186" s="84" t="s">
        <v>30</v>
      </c>
      <c r="J186" s="84" t="s">
        <v>30</v>
      </c>
      <c r="K186" s="84" t="s">
        <v>1797</v>
      </c>
      <c r="L186" s="84" t="s">
        <v>848</v>
      </c>
      <c r="M186" s="109">
        <v>45675.0</v>
      </c>
      <c r="N186" s="105">
        <v>36.0</v>
      </c>
      <c r="O186" s="87">
        <v>700.0</v>
      </c>
      <c r="P186" s="84" t="s">
        <v>920</v>
      </c>
      <c r="Q186" s="84" t="s">
        <v>1798</v>
      </c>
      <c r="R186" s="84" t="s">
        <v>1018</v>
      </c>
      <c r="S186" s="115" t="s">
        <v>1453</v>
      </c>
      <c r="T186" s="107">
        <v>45705.0</v>
      </c>
      <c r="U186" s="90"/>
      <c r="V186" s="84"/>
      <c r="W186" s="84"/>
      <c r="X186" s="116">
        <v>700.0</v>
      </c>
      <c r="Y186" s="114">
        <v>45757.0</v>
      </c>
      <c r="Z186" s="116">
        <v>700.0</v>
      </c>
      <c r="AA186" s="114">
        <v>45787.0</v>
      </c>
      <c r="AB186" s="116">
        <v>450.0</v>
      </c>
      <c r="AC186" s="114">
        <v>45818.0</v>
      </c>
      <c r="AD186" s="94">
        <f t="shared" si="9"/>
        <v>2550</v>
      </c>
      <c r="AE186" s="93"/>
      <c r="AF186" s="93"/>
      <c r="AG186" s="93"/>
      <c r="AH186" s="93"/>
      <c r="AI186" s="93"/>
    </row>
    <row r="187">
      <c r="A187" s="124">
        <v>45671.470677881945</v>
      </c>
      <c r="B187" s="84" t="s">
        <v>1799</v>
      </c>
      <c r="C187" s="84" t="s">
        <v>1800</v>
      </c>
      <c r="D187" s="78">
        <v>5.1955101552E10</v>
      </c>
      <c r="E187" s="78">
        <v>2.5760182E7</v>
      </c>
      <c r="F187" s="84" t="s">
        <v>1801</v>
      </c>
      <c r="G187" s="84" t="s">
        <v>1802</v>
      </c>
      <c r="H187" s="84" t="s">
        <v>1802</v>
      </c>
      <c r="I187" s="84" t="s">
        <v>30</v>
      </c>
      <c r="J187" s="84" t="s">
        <v>30</v>
      </c>
      <c r="K187" s="84" t="s">
        <v>1803</v>
      </c>
      <c r="L187" s="84" t="s">
        <v>1804</v>
      </c>
      <c r="M187" s="109">
        <v>45672.0</v>
      </c>
      <c r="N187" s="105">
        <v>50.0</v>
      </c>
      <c r="O187" s="87">
        <v>100.0</v>
      </c>
      <c r="P187" s="84" t="s">
        <v>805</v>
      </c>
      <c r="Q187" s="84"/>
      <c r="R187" s="84" t="s">
        <v>1805</v>
      </c>
      <c r="S187" s="115" t="s">
        <v>1453</v>
      </c>
      <c r="T187" s="107">
        <v>45812.0</v>
      </c>
      <c r="U187" s="90"/>
      <c r="V187" s="84"/>
      <c r="W187" s="84"/>
      <c r="X187" s="116">
        <v>399.0</v>
      </c>
      <c r="Y187" s="114">
        <v>45683.0</v>
      </c>
      <c r="Z187" s="123"/>
      <c r="AA187" s="123"/>
      <c r="AB187" s="123"/>
      <c r="AC187" s="123"/>
      <c r="AD187" s="94">
        <f t="shared" si="9"/>
        <v>499</v>
      </c>
      <c r="AE187" s="93"/>
      <c r="AF187" s="93"/>
      <c r="AG187" s="93"/>
      <c r="AH187" s="93"/>
      <c r="AI187" s="93"/>
    </row>
    <row r="188">
      <c r="A188" s="124">
        <v>45674.71318846065</v>
      </c>
      <c r="B188" s="84" t="s">
        <v>1806</v>
      </c>
      <c r="C188" s="84" t="s">
        <v>1807</v>
      </c>
      <c r="D188" s="78">
        <v>5.1945533938E10</v>
      </c>
      <c r="E188" s="78">
        <v>1.7445804E7</v>
      </c>
      <c r="F188" s="84" t="s">
        <v>1808</v>
      </c>
      <c r="G188" s="84" t="s">
        <v>1809</v>
      </c>
      <c r="H188" s="84" t="s">
        <v>1810</v>
      </c>
      <c r="I188" s="84" t="s">
        <v>1811</v>
      </c>
      <c r="J188" s="84" t="s">
        <v>1812</v>
      </c>
      <c r="K188" s="84" t="s">
        <v>1813</v>
      </c>
      <c r="L188" s="84" t="s">
        <v>884</v>
      </c>
      <c r="M188" s="109">
        <v>45675.0</v>
      </c>
      <c r="N188" s="105">
        <v>52.0</v>
      </c>
      <c r="O188" s="87">
        <v>100.0</v>
      </c>
      <c r="P188" s="84" t="s">
        <v>805</v>
      </c>
      <c r="Q188" s="84"/>
      <c r="R188" s="84" t="s">
        <v>806</v>
      </c>
      <c r="S188" s="115" t="s">
        <v>1453</v>
      </c>
      <c r="T188" s="107">
        <v>45812.0</v>
      </c>
      <c r="U188" s="90"/>
      <c r="V188" s="84"/>
      <c r="W188" s="84"/>
      <c r="X188" s="87">
        <v>100.0</v>
      </c>
      <c r="Y188" s="114">
        <v>45680.0</v>
      </c>
      <c r="Z188" s="116">
        <v>250.0</v>
      </c>
      <c r="AA188" s="114">
        <v>45688.0</v>
      </c>
      <c r="AB188" s="123"/>
      <c r="AC188" s="123"/>
      <c r="AD188" s="94">
        <f t="shared" si="9"/>
        <v>450</v>
      </c>
      <c r="AE188" s="93"/>
      <c r="AF188" s="93"/>
      <c r="AG188" s="93"/>
      <c r="AH188" s="93"/>
      <c r="AI188" s="93"/>
    </row>
    <row r="189">
      <c r="A189" s="124">
        <v>45675.525615555554</v>
      </c>
      <c r="B189" s="84" t="s">
        <v>1814</v>
      </c>
      <c r="C189" s="84" t="s">
        <v>1815</v>
      </c>
      <c r="D189" s="78">
        <v>5.1918482711E10</v>
      </c>
      <c r="E189" s="78">
        <v>7.0240411E7</v>
      </c>
      <c r="F189" s="84" t="s">
        <v>1816</v>
      </c>
      <c r="G189" s="84" t="s">
        <v>1817</v>
      </c>
      <c r="H189" s="84" t="s">
        <v>1818</v>
      </c>
      <c r="I189" s="84" t="s">
        <v>1460</v>
      </c>
      <c r="J189" s="84" t="s">
        <v>1460</v>
      </c>
      <c r="K189" s="84" t="s">
        <v>1016</v>
      </c>
      <c r="L189" s="84" t="s">
        <v>848</v>
      </c>
      <c r="M189" s="109">
        <v>45675.0</v>
      </c>
      <c r="N189" s="105">
        <v>35.0</v>
      </c>
      <c r="O189" s="87">
        <v>1200.0</v>
      </c>
      <c r="P189" s="84" t="s">
        <v>805</v>
      </c>
      <c r="Q189" s="84"/>
      <c r="R189" s="84" t="s">
        <v>806</v>
      </c>
      <c r="S189" s="115" t="s">
        <v>1453</v>
      </c>
      <c r="T189" s="107">
        <v>45812.0</v>
      </c>
      <c r="U189" s="90" t="s">
        <v>1578</v>
      </c>
      <c r="V189" s="114">
        <v>45838.0</v>
      </c>
      <c r="W189" s="84"/>
      <c r="X189" s="87">
        <v>600.0</v>
      </c>
      <c r="Y189" s="114">
        <v>45838.0</v>
      </c>
      <c r="Z189" s="116">
        <v>600.0</v>
      </c>
      <c r="AA189" s="114">
        <v>45858.0</v>
      </c>
      <c r="AB189" s="123"/>
      <c r="AC189" s="123"/>
      <c r="AD189" s="94">
        <f t="shared" si="9"/>
        <v>2400</v>
      </c>
      <c r="AE189" s="93"/>
      <c r="AF189" s="93"/>
      <c r="AG189" s="93"/>
      <c r="AH189" s="93"/>
      <c r="AI189" s="93"/>
    </row>
    <row r="190">
      <c r="A190" s="124">
        <v>45677.68120769676</v>
      </c>
      <c r="B190" s="84" t="s">
        <v>1819</v>
      </c>
      <c r="C190" s="84" t="s">
        <v>1820</v>
      </c>
      <c r="D190" s="78">
        <v>5.1955957411E10</v>
      </c>
      <c r="E190" s="78">
        <v>7.3673691E7</v>
      </c>
      <c r="F190" s="84" t="s">
        <v>1821</v>
      </c>
      <c r="G190" s="84" t="s">
        <v>1822</v>
      </c>
      <c r="H190" s="84" t="s">
        <v>1823</v>
      </c>
      <c r="I190" s="84" t="s">
        <v>1824</v>
      </c>
      <c r="J190" s="84" t="s">
        <v>1153</v>
      </c>
      <c r="K190" s="84" t="s">
        <v>1480</v>
      </c>
      <c r="L190" s="84" t="s">
        <v>1552</v>
      </c>
      <c r="M190" s="109">
        <v>45677.0</v>
      </c>
      <c r="N190" s="105">
        <v>29.0</v>
      </c>
      <c r="O190" s="87">
        <v>200.0</v>
      </c>
      <c r="P190" s="84" t="s">
        <v>805</v>
      </c>
      <c r="Q190" s="84"/>
      <c r="R190" s="84" t="s">
        <v>988</v>
      </c>
      <c r="S190" s="115" t="s">
        <v>1453</v>
      </c>
      <c r="T190" s="107">
        <v>45812.0</v>
      </c>
      <c r="U190" s="90"/>
      <c r="V190" s="84"/>
      <c r="W190" s="84"/>
      <c r="X190" s="116">
        <v>249.0</v>
      </c>
      <c r="Y190" s="114">
        <v>45703.0</v>
      </c>
      <c r="Z190" s="123"/>
      <c r="AA190" s="123"/>
      <c r="AB190" s="123"/>
      <c r="AC190" s="123"/>
      <c r="AD190" s="94">
        <f t="shared" si="9"/>
        <v>449</v>
      </c>
      <c r="AE190" s="93"/>
      <c r="AF190" s="93"/>
      <c r="AG190" s="93"/>
      <c r="AH190" s="93"/>
      <c r="AI190" s="93"/>
    </row>
    <row r="191">
      <c r="A191" s="124">
        <v>45679.63677886574</v>
      </c>
      <c r="B191" s="84" t="s">
        <v>1825</v>
      </c>
      <c r="C191" s="84" t="s">
        <v>1826</v>
      </c>
      <c r="D191" s="78">
        <v>5.1947601655E10</v>
      </c>
      <c r="E191" s="78">
        <v>7.6924807E7</v>
      </c>
      <c r="F191" s="84" t="s">
        <v>1827</v>
      </c>
      <c r="G191" s="84" t="s">
        <v>1828</v>
      </c>
      <c r="H191" s="84" t="s">
        <v>1829</v>
      </c>
      <c r="I191" s="84" t="s">
        <v>899</v>
      </c>
      <c r="J191" s="84" t="s">
        <v>899</v>
      </c>
      <c r="K191" s="84" t="s">
        <v>847</v>
      </c>
      <c r="L191" s="84" t="s">
        <v>1417</v>
      </c>
      <c r="M191" s="109">
        <v>45683.0</v>
      </c>
      <c r="N191" s="105">
        <v>29.0</v>
      </c>
      <c r="O191" s="87">
        <v>300.0</v>
      </c>
      <c r="P191" s="84" t="s">
        <v>805</v>
      </c>
      <c r="Q191" s="84"/>
      <c r="R191" s="84" t="s">
        <v>1830</v>
      </c>
      <c r="S191" s="115" t="s">
        <v>1453</v>
      </c>
      <c r="T191" s="107">
        <v>45812.0</v>
      </c>
      <c r="U191" s="90"/>
      <c r="V191" s="84"/>
      <c r="W191" s="84"/>
      <c r="X191" s="116">
        <v>299.0</v>
      </c>
      <c r="Y191" s="114">
        <v>45710.0</v>
      </c>
      <c r="Z191" s="123"/>
      <c r="AA191" s="123"/>
      <c r="AB191" s="123"/>
      <c r="AC191" s="123"/>
      <c r="AD191" s="94">
        <f t="shared" si="9"/>
        <v>599</v>
      </c>
      <c r="AE191" s="93"/>
      <c r="AF191" s="93"/>
      <c r="AG191" s="93"/>
      <c r="AH191" s="93"/>
      <c r="AI191" s="93"/>
    </row>
    <row r="192">
      <c r="A192" s="124">
        <v>45681.47971003472</v>
      </c>
      <c r="B192" s="84" t="s">
        <v>1831</v>
      </c>
      <c r="C192" s="84" t="s">
        <v>1832</v>
      </c>
      <c r="D192" s="78">
        <v>5.1948561925E10</v>
      </c>
      <c r="E192" s="78">
        <v>7.1600962E7</v>
      </c>
      <c r="F192" s="84" t="s">
        <v>1833</v>
      </c>
      <c r="G192" s="84" t="s">
        <v>1834</v>
      </c>
      <c r="H192" s="84" t="s">
        <v>1835</v>
      </c>
      <c r="I192" s="84" t="s">
        <v>1836</v>
      </c>
      <c r="J192" s="84" t="s">
        <v>30</v>
      </c>
      <c r="K192" s="84" t="s">
        <v>1703</v>
      </c>
      <c r="L192" s="84" t="s">
        <v>804</v>
      </c>
      <c r="M192" s="109">
        <v>45681.0</v>
      </c>
      <c r="N192" s="105">
        <v>30.0</v>
      </c>
      <c r="O192" s="87">
        <v>200.0</v>
      </c>
      <c r="P192" s="84" t="s">
        <v>805</v>
      </c>
      <c r="Q192" s="84"/>
      <c r="R192" s="84" t="s">
        <v>806</v>
      </c>
      <c r="S192" s="115" t="s">
        <v>1453</v>
      </c>
      <c r="T192" s="107">
        <v>45812.0</v>
      </c>
      <c r="U192" s="90"/>
      <c r="V192" s="84"/>
      <c r="W192" s="84"/>
      <c r="X192" s="116">
        <v>150.0</v>
      </c>
      <c r="Y192" s="114">
        <v>45703.0</v>
      </c>
      <c r="Z192" s="123"/>
      <c r="AA192" s="123"/>
      <c r="AB192" s="123"/>
      <c r="AC192" s="123"/>
      <c r="AD192" s="94">
        <f t="shared" si="9"/>
        <v>350</v>
      </c>
      <c r="AE192" s="93"/>
      <c r="AF192" s="93"/>
      <c r="AG192" s="93"/>
      <c r="AH192" s="93"/>
      <c r="AI192" s="93"/>
    </row>
    <row r="193">
      <c r="A193" s="124">
        <v>45681.577126516204</v>
      </c>
      <c r="B193" s="84" t="s">
        <v>1837</v>
      </c>
      <c r="C193" s="84" t="s">
        <v>1838</v>
      </c>
      <c r="D193" s="78">
        <v>5.1956808393E10</v>
      </c>
      <c r="E193" s="78">
        <v>4.3276676E7</v>
      </c>
      <c r="F193" s="84" t="s">
        <v>1839</v>
      </c>
      <c r="G193" s="84" t="s">
        <v>1840</v>
      </c>
      <c r="H193" s="84" t="s">
        <v>1841</v>
      </c>
      <c r="I193" s="84" t="s">
        <v>1842</v>
      </c>
      <c r="J193" s="84" t="s">
        <v>891</v>
      </c>
      <c r="K193" s="84" t="s">
        <v>847</v>
      </c>
      <c r="L193" s="84" t="s">
        <v>884</v>
      </c>
      <c r="M193" s="109">
        <v>45689.0</v>
      </c>
      <c r="N193" s="105">
        <v>39.0</v>
      </c>
      <c r="O193" s="87">
        <v>100.0</v>
      </c>
      <c r="P193" s="84" t="s">
        <v>805</v>
      </c>
      <c r="Q193" s="84"/>
      <c r="R193" s="84" t="s">
        <v>1686</v>
      </c>
      <c r="S193" s="115" t="s">
        <v>1453</v>
      </c>
      <c r="T193" s="107">
        <v>45812.0</v>
      </c>
      <c r="U193" s="90"/>
      <c r="V193" s="84"/>
      <c r="W193" s="84"/>
      <c r="X193" s="116">
        <v>399.0</v>
      </c>
      <c r="Y193" s="114">
        <v>45691.0</v>
      </c>
      <c r="Z193" s="123"/>
      <c r="AA193" s="123"/>
      <c r="AB193" s="123"/>
      <c r="AC193" s="123"/>
      <c r="AD193" s="94">
        <f t="shared" si="9"/>
        <v>499</v>
      </c>
      <c r="AE193" s="93"/>
      <c r="AF193" s="93"/>
      <c r="AG193" s="93"/>
      <c r="AH193" s="93"/>
      <c r="AI193" s="93"/>
    </row>
    <row r="194">
      <c r="A194" s="124">
        <v>45681.749241412035</v>
      </c>
      <c r="B194" s="84" t="s">
        <v>1843</v>
      </c>
      <c r="C194" s="84" t="s">
        <v>1844</v>
      </c>
      <c r="D194" s="78">
        <v>5.1931364844E10</v>
      </c>
      <c r="E194" s="78">
        <v>7.1592788E7</v>
      </c>
      <c r="F194" s="84" t="s">
        <v>1845</v>
      </c>
      <c r="G194" s="84" t="s">
        <v>1846</v>
      </c>
      <c r="H194" s="84" t="s">
        <v>1847</v>
      </c>
      <c r="I194" s="84" t="s">
        <v>1847</v>
      </c>
      <c r="J194" s="84" t="s">
        <v>1460</v>
      </c>
      <c r="K194" s="84" t="s">
        <v>965</v>
      </c>
      <c r="L194" s="84" t="s">
        <v>884</v>
      </c>
      <c r="M194" s="109">
        <v>45689.0</v>
      </c>
      <c r="N194" s="105">
        <v>29.0</v>
      </c>
      <c r="O194" s="87">
        <v>100.0</v>
      </c>
      <c r="P194" s="84" t="s">
        <v>805</v>
      </c>
      <c r="Q194" s="84"/>
      <c r="R194" s="84" t="s">
        <v>822</v>
      </c>
      <c r="S194" s="115" t="s">
        <v>807</v>
      </c>
      <c r="T194" s="107">
        <v>45848.0</v>
      </c>
      <c r="U194" s="90"/>
      <c r="V194" s="84"/>
      <c r="W194" s="84"/>
      <c r="X194" s="87">
        <v>150.0</v>
      </c>
      <c r="Y194" s="114">
        <v>45848.0</v>
      </c>
      <c r="Z194" s="87">
        <v>150.0</v>
      </c>
      <c r="AA194" s="92">
        <v>45893.0</v>
      </c>
      <c r="AB194" s="123"/>
      <c r="AC194" s="123"/>
      <c r="AD194" s="94">
        <f t="shared" si="9"/>
        <v>400</v>
      </c>
      <c r="AE194" s="93"/>
      <c r="AF194" s="93"/>
      <c r="AG194" s="93"/>
      <c r="AH194" s="93"/>
      <c r="AI194" s="93"/>
    </row>
    <row r="195">
      <c r="A195" s="113">
        <v>45683.55331030092</v>
      </c>
      <c r="B195" s="84" t="s">
        <v>1848</v>
      </c>
      <c r="C195" s="84" t="s">
        <v>1849</v>
      </c>
      <c r="D195" s="105">
        <v>5.1950310341E10</v>
      </c>
      <c r="E195" s="78">
        <v>4.2904776E7</v>
      </c>
      <c r="F195" s="84" t="s">
        <v>1850</v>
      </c>
      <c r="G195" s="84" t="s">
        <v>1851</v>
      </c>
      <c r="H195" s="84" t="s">
        <v>1852</v>
      </c>
      <c r="I195" s="84" t="s">
        <v>899</v>
      </c>
      <c r="J195" s="84" t="s">
        <v>899</v>
      </c>
      <c r="K195" s="84" t="s">
        <v>1853</v>
      </c>
      <c r="L195" s="84" t="s">
        <v>1417</v>
      </c>
      <c r="M195" s="109">
        <v>45683.0</v>
      </c>
      <c r="N195" s="105">
        <v>39.0</v>
      </c>
      <c r="O195" s="87">
        <v>250.0</v>
      </c>
      <c r="P195" s="84" t="s">
        <v>805</v>
      </c>
      <c r="Q195" s="84"/>
      <c r="R195" s="84" t="s">
        <v>822</v>
      </c>
      <c r="S195" s="115" t="s">
        <v>1453</v>
      </c>
      <c r="T195" s="107">
        <v>45719.0</v>
      </c>
      <c r="U195" s="90"/>
      <c r="V195" s="84"/>
      <c r="W195" s="84"/>
      <c r="X195" s="116">
        <v>249.0</v>
      </c>
      <c r="Y195" s="114">
        <v>45703.0</v>
      </c>
      <c r="Z195" s="123"/>
      <c r="AA195" s="123"/>
      <c r="AB195" s="123"/>
      <c r="AC195" s="123"/>
      <c r="AD195" s="94">
        <f t="shared" si="9"/>
        <v>499</v>
      </c>
      <c r="AE195" s="93"/>
      <c r="AF195" s="93"/>
      <c r="AG195" s="93"/>
      <c r="AH195" s="93"/>
      <c r="AI195" s="93"/>
    </row>
    <row r="196">
      <c r="A196" s="113">
        <v>45684.78755150463</v>
      </c>
      <c r="B196" s="84" t="s">
        <v>1854</v>
      </c>
      <c r="C196" s="84" t="s">
        <v>1855</v>
      </c>
      <c r="D196" s="105">
        <v>5.1981725927E10</v>
      </c>
      <c r="E196" s="78">
        <v>4.7258267E7</v>
      </c>
      <c r="F196" s="84" t="s">
        <v>1856</v>
      </c>
      <c r="G196" s="84" t="s">
        <v>1857</v>
      </c>
      <c r="H196" s="84" t="s">
        <v>1858</v>
      </c>
      <c r="I196" s="84" t="s">
        <v>1858</v>
      </c>
      <c r="J196" s="84" t="s">
        <v>1858</v>
      </c>
      <c r="K196" s="84" t="s">
        <v>980</v>
      </c>
      <c r="L196" s="84" t="s">
        <v>884</v>
      </c>
      <c r="M196" s="109">
        <v>45689.0</v>
      </c>
      <c r="N196" s="105">
        <v>32.0</v>
      </c>
      <c r="O196" s="87">
        <v>200.0</v>
      </c>
      <c r="P196" s="84" t="s">
        <v>920</v>
      </c>
      <c r="Q196" s="105">
        <v>1.047258267E10</v>
      </c>
      <c r="R196" s="84" t="s">
        <v>1859</v>
      </c>
      <c r="S196" s="115" t="s">
        <v>1453</v>
      </c>
      <c r="T196" s="107">
        <v>45710.0</v>
      </c>
      <c r="U196" s="90"/>
      <c r="V196" s="84"/>
      <c r="W196" s="84"/>
      <c r="X196" s="116">
        <v>299.0</v>
      </c>
      <c r="Y196" s="114">
        <v>45703.0</v>
      </c>
      <c r="Z196" s="123"/>
      <c r="AA196" s="123"/>
      <c r="AB196" s="123"/>
      <c r="AC196" s="123"/>
      <c r="AD196" s="94">
        <f t="shared" si="9"/>
        <v>499</v>
      </c>
      <c r="AE196" s="93"/>
      <c r="AF196" s="93"/>
      <c r="AG196" s="93"/>
      <c r="AH196" s="93"/>
      <c r="AI196" s="93"/>
    </row>
    <row r="197">
      <c r="A197" s="124">
        <v>45686.43309582176</v>
      </c>
      <c r="B197" s="84" t="s">
        <v>1860</v>
      </c>
      <c r="C197" s="84" t="s">
        <v>1861</v>
      </c>
      <c r="D197" s="78">
        <v>5.1982191488E10</v>
      </c>
      <c r="E197" s="78">
        <v>8.0055144E7</v>
      </c>
      <c r="F197" s="84" t="s">
        <v>1862</v>
      </c>
      <c r="G197" s="84" t="s">
        <v>1863</v>
      </c>
      <c r="H197" s="84" t="s">
        <v>1055</v>
      </c>
      <c r="I197" s="84" t="s">
        <v>1055</v>
      </c>
      <c r="J197" s="84" t="s">
        <v>1055</v>
      </c>
      <c r="K197" s="84" t="s">
        <v>1864</v>
      </c>
      <c r="L197" s="84" t="s">
        <v>884</v>
      </c>
      <c r="M197" s="109">
        <v>45689.0</v>
      </c>
      <c r="N197" s="105">
        <v>45.0</v>
      </c>
      <c r="O197" s="87">
        <v>250.0</v>
      </c>
      <c r="P197" s="84" t="s">
        <v>920</v>
      </c>
      <c r="Q197" s="105">
        <v>1.0800551442E10</v>
      </c>
      <c r="R197" s="84" t="s">
        <v>806</v>
      </c>
      <c r="S197" s="115" t="s">
        <v>1453</v>
      </c>
      <c r="T197" s="107">
        <v>45812.0</v>
      </c>
      <c r="U197" s="90"/>
      <c r="V197" s="84"/>
      <c r="W197" s="84"/>
      <c r="X197" s="116">
        <v>200.0</v>
      </c>
      <c r="Y197" s="114">
        <v>45709.0</v>
      </c>
      <c r="Z197" s="123"/>
      <c r="AA197" s="123"/>
      <c r="AB197" s="123"/>
      <c r="AC197" s="123"/>
      <c r="AD197" s="94">
        <f t="shared" si="9"/>
        <v>450</v>
      </c>
      <c r="AE197" s="93"/>
      <c r="AF197" s="93"/>
      <c r="AG197" s="93"/>
      <c r="AH197" s="93"/>
      <c r="AI197" s="93"/>
    </row>
    <row r="198">
      <c r="A198" s="124">
        <v>45687.521631550924</v>
      </c>
      <c r="B198" s="84" t="s">
        <v>1865</v>
      </c>
      <c r="C198" s="84" t="s">
        <v>1866</v>
      </c>
      <c r="D198" s="78">
        <v>5.1993384095E10</v>
      </c>
      <c r="E198" s="78">
        <v>7.0122281E7</v>
      </c>
      <c r="F198" s="84" t="s">
        <v>1867</v>
      </c>
      <c r="G198" s="84" t="s">
        <v>1868</v>
      </c>
      <c r="H198" s="84" t="s">
        <v>1014</v>
      </c>
      <c r="I198" s="84" t="s">
        <v>890</v>
      </c>
      <c r="J198" s="84" t="s">
        <v>891</v>
      </c>
      <c r="K198" s="84" t="s">
        <v>821</v>
      </c>
      <c r="L198" s="84" t="s">
        <v>893</v>
      </c>
      <c r="M198" s="109">
        <v>45700.0</v>
      </c>
      <c r="N198" s="105">
        <v>27.0</v>
      </c>
      <c r="O198" s="87">
        <v>100.0</v>
      </c>
      <c r="P198" s="84" t="s">
        <v>805</v>
      </c>
      <c r="Q198" s="84"/>
      <c r="R198" s="84" t="s">
        <v>1686</v>
      </c>
      <c r="S198" s="115" t="s">
        <v>1453</v>
      </c>
      <c r="T198" s="107">
        <v>45812.0</v>
      </c>
      <c r="U198" s="90"/>
      <c r="V198" s="84"/>
      <c r="W198" s="84"/>
      <c r="X198" s="116">
        <v>145.9</v>
      </c>
      <c r="Y198" s="114">
        <v>45703.0</v>
      </c>
      <c r="Z198" s="116">
        <v>145.9</v>
      </c>
      <c r="AA198" s="114">
        <v>45716.0</v>
      </c>
      <c r="AB198" s="123"/>
      <c r="AC198" s="123"/>
      <c r="AD198" s="94">
        <f t="shared" si="9"/>
        <v>391.8</v>
      </c>
      <c r="AE198" s="93"/>
      <c r="AF198" s="93"/>
      <c r="AG198" s="93"/>
      <c r="AH198" s="93"/>
      <c r="AI198" s="93"/>
    </row>
    <row r="199">
      <c r="A199" s="124">
        <v>45687.762476550924</v>
      </c>
      <c r="B199" s="84" t="s">
        <v>1869</v>
      </c>
      <c r="C199" s="84" t="s">
        <v>1870</v>
      </c>
      <c r="D199" s="78">
        <v>5.1925550867E10</v>
      </c>
      <c r="E199" s="78">
        <v>7.6243452E7</v>
      </c>
      <c r="F199" s="84" t="s">
        <v>1871</v>
      </c>
      <c r="G199" s="84" t="s">
        <v>1872</v>
      </c>
      <c r="H199" s="84" t="s">
        <v>1294</v>
      </c>
      <c r="I199" s="84" t="s">
        <v>963</v>
      </c>
      <c r="J199" s="84" t="s">
        <v>964</v>
      </c>
      <c r="K199" s="84" t="s">
        <v>1016</v>
      </c>
      <c r="L199" s="84" t="s">
        <v>804</v>
      </c>
      <c r="M199" s="109">
        <v>45688.0</v>
      </c>
      <c r="N199" s="105">
        <v>30.0</v>
      </c>
      <c r="O199" s="87">
        <v>50.0</v>
      </c>
      <c r="P199" s="84" t="s">
        <v>805</v>
      </c>
      <c r="Q199" s="84"/>
      <c r="R199" s="134" t="s">
        <v>806</v>
      </c>
      <c r="S199" s="115" t="s">
        <v>1453</v>
      </c>
      <c r="T199" s="107">
        <v>45812.0</v>
      </c>
      <c r="U199" s="90"/>
      <c r="V199" s="84"/>
      <c r="W199" s="84"/>
      <c r="X199" s="116">
        <v>349.0</v>
      </c>
      <c r="Y199" s="114">
        <v>45703.0</v>
      </c>
      <c r="Z199" s="123"/>
      <c r="AA199" s="123"/>
      <c r="AB199" s="123"/>
      <c r="AC199" s="123"/>
      <c r="AD199" s="94">
        <f t="shared" si="9"/>
        <v>399</v>
      </c>
      <c r="AE199" s="93"/>
      <c r="AF199" s="93"/>
      <c r="AG199" s="93"/>
      <c r="AH199" s="93"/>
      <c r="AI199" s="93"/>
    </row>
    <row r="200">
      <c r="A200" s="113">
        <v>45687.824431319445</v>
      </c>
      <c r="B200" s="84" t="s">
        <v>1873</v>
      </c>
      <c r="C200" s="84" t="s">
        <v>1874</v>
      </c>
      <c r="D200" s="105">
        <v>5.1918413911E10</v>
      </c>
      <c r="E200" s="78">
        <v>4.1148674E7</v>
      </c>
      <c r="F200" s="84" t="s">
        <v>1875</v>
      </c>
      <c r="G200" s="84" t="s">
        <v>1876</v>
      </c>
      <c r="H200" s="84" t="s">
        <v>1877</v>
      </c>
      <c r="I200" s="84" t="s">
        <v>1878</v>
      </c>
      <c r="J200" s="84" t="s">
        <v>867</v>
      </c>
      <c r="K200" s="84" t="s">
        <v>847</v>
      </c>
      <c r="L200" s="84" t="s">
        <v>884</v>
      </c>
      <c r="M200" s="109">
        <v>45689.0</v>
      </c>
      <c r="N200" s="105">
        <v>45.0</v>
      </c>
      <c r="O200" s="87">
        <v>200.0</v>
      </c>
      <c r="P200" s="84" t="s">
        <v>920</v>
      </c>
      <c r="Q200" s="105">
        <v>1.0411486741E10</v>
      </c>
      <c r="R200" s="128" t="s">
        <v>806</v>
      </c>
      <c r="S200" s="115" t="s">
        <v>1453</v>
      </c>
      <c r="T200" s="107">
        <v>45710.0</v>
      </c>
      <c r="U200" s="90"/>
      <c r="V200" s="84"/>
      <c r="W200" s="84"/>
      <c r="X200" s="116">
        <v>299.0</v>
      </c>
      <c r="Y200" s="114">
        <v>45698.0</v>
      </c>
      <c r="Z200" s="123"/>
      <c r="AA200" s="123"/>
      <c r="AB200" s="123"/>
      <c r="AC200" s="123"/>
      <c r="AD200" s="94">
        <f t="shared" si="9"/>
        <v>499</v>
      </c>
      <c r="AE200" s="93"/>
      <c r="AF200" s="93"/>
      <c r="AG200" s="93"/>
      <c r="AH200" s="93"/>
      <c r="AI200" s="93"/>
    </row>
    <row r="201">
      <c r="A201" s="124">
        <v>45688.466866620365</v>
      </c>
      <c r="B201" s="84" t="s">
        <v>1879</v>
      </c>
      <c r="C201" s="84" t="s">
        <v>1880</v>
      </c>
      <c r="D201" s="78">
        <v>5.1948728534E10</v>
      </c>
      <c r="E201" s="78">
        <v>4.4709739E7</v>
      </c>
      <c r="F201" s="84" t="s">
        <v>1881</v>
      </c>
      <c r="G201" s="84" t="s">
        <v>1882</v>
      </c>
      <c r="H201" s="84" t="s">
        <v>873</v>
      </c>
      <c r="I201" s="84" t="s">
        <v>873</v>
      </c>
      <c r="J201" s="84" t="s">
        <v>964</v>
      </c>
      <c r="K201" s="84" t="s">
        <v>927</v>
      </c>
      <c r="L201" s="84" t="s">
        <v>893</v>
      </c>
      <c r="M201" s="109">
        <v>45686.0</v>
      </c>
      <c r="N201" s="105">
        <v>37.0</v>
      </c>
      <c r="O201" s="87">
        <v>100.0</v>
      </c>
      <c r="P201" s="84" t="s">
        <v>805</v>
      </c>
      <c r="Q201" s="84"/>
      <c r="R201" s="128" t="s">
        <v>806</v>
      </c>
      <c r="S201" s="115" t="s">
        <v>1453</v>
      </c>
      <c r="T201" s="107">
        <v>45812.0</v>
      </c>
      <c r="U201" s="90"/>
      <c r="V201" s="84"/>
      <c r="W201" s="84"/>
      <c r="X201" s="116">
        <v>299.0</v>
      </c>
      <c r="Y201" s="114">
        <v>45691.0</v>
      </c>
      <c r="Z201" s="123"/>
      <c r="AA201" s="123"/>
      <c r="AB201" s="123"/>
      <c r="AC201" s="123"/>
      <c r="AD201" s="94">
        <f t="shared" si="9"/>
        <v>399</v>
      </c>
      <c r="AE201" s="93"/>
      <c r="AF201" s="93"/>
      <c r="AG201" s="93"/>
      <c r="AH201" s="93"/>
      <c r="AI201" s="93"/>
    </row>
    <row r="202">
      <c r="A202" s="89"/>
      <c r="B202" s="84"/>
      <c r="C202" s="84"/>
      <c r="D202" s="84"/>
      <c r="E202" s="84"/>
      <c r="F202" s="84"/>
      <c r="G202" s="84"/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90"/>
      <c r="V202" s="84"/>
      <c r="W202" s="84"/>
      <c r="X202" s="84"/>
      <c r="Y202" s="123"/>
      <c r="Z202" s="123"/>
      <c r="AA202" s="123"/>
      <c r="AB202" s="123"/>
      <c r="AC202" s="123"/>
      <c r="AD202" s="93"/>
      <c r="AE202" s="93"/>
      <c r="AF202" s="93"/>
      <c r="AG202" s="93"/>
      <c r="AH202" s="93"/>
      <c r="AI202" s="93"/>
    </row>
    <row r="203">
      <c r="A203" s="124">
        <v>45629.4819853588</v>
      </c>
      <c r="B203" s="84" t="s">
        <v>1883</v>
      </c>
      <c r="C203" s="84" t="s">
        <v>1884</v>
      </c>
      <c r="D203" s="78">
        <v>5.198438896E10</v>
      </c>
      <c r="E203" s="78">
        <v>4.5599322E7</v>
      </c>
      <c r="F203" s="84" t="s">
        <v>1885</v>
      </c>
      <c r="G203" s="84" t="s">
        <v>1886</v>
      </c>
      <c r="H203" s="84" t="s">
        <v>1130</v>
      </c>
      <c r="I203" s="84" t="s">
        <v>1130</v>
      </c>
      <c r="J203" s="84" t="s">
        <v>1130</v>
      </c>
      <c r="K203" s="84" t="s">
        <v>1887</v>
      </c>
      <c r="L203" s="84" t="s">
        <v>893</v>
      </c>
      <c r="M203" s="109">
        <v>45630.0</v>
      </c>
      <c r="N203" s="105">
        <v>35.0</v>
      </c>
      <c r="O203" s="87">
        <v>50.0</v>
      </c>
      <c r="P203" s="84" t="s">
        <v>805</v>
      </c>
      <c r="Q203" s="84"/>
      <c r="R203" s="84" t="s">
        <v>806</v>
      </c>
      <c r="S203" s="115" t="s">
        <v>1453</v>
      </c>
      <c r="T203" s="107">
        <v>45812.0</v>
      </c>
      <c r="U203" s="90"/>
      <c r="V203" s="135"/>
      <c r="W203" s="135"/>
      <c r="X203" s="87">
        <v>100.0</v>
      </c>
      <c r="Y203" s="114">
        <v>45646.0</v>
      </c>
      <c r="Z203" s="116">
        <v>300.0</v>
      </c>
      <c r="AA203" s="114">
        <v>45677.0</v>
      </c>
      <c r="AB203" s="123"/>
      <c r="AC203" s="123"/>
      <c r="AD203" s="94">
        <f t="shared" ref="AD203:AD217" si="10">O203+X203+Z203+AB203</f>
        <v>450</v>
      </c>
      <c r="AE203" s="93"/>
      <c r="AF203" s="93"/>
      <c r="AG203" s="93"/>
      <c r="AH203" s="93"/>
      <c r="AI203" s="93"/>
    </row>
    <row r="204">
      <c r="A204" s="124">
        <v>45630.78052892361</v>
      </c>
      <c r="B204" s="84" t="s">
        <v>1888</v>
      </c>
      <c r="C204" s="84" t="s">
        <v>1889</v>
      </c>
      <c r="D204" s="78">
        <v>5.196561946E10</v>
      </c>
      <c r="E204" s="127" t="s">
        <v>1890</v>
      </c>
      <c r="F204" s="84" t="s">
        <v>1891</v>
      </c>
      <c r="G204" s="84" t="s">
        <v>1892</v>
      </c>
      <c r="H204" s="84" t="s">
        <v>1206</v>
      </c>
      <c r="I204" s="84" t="s">
        <v>1893</v>
      </c>
      <c r="J204" s="84" t="s">
        <v>1894</v>
      </c>
      <c r="K204" s="84" t="s">
        <v>813</v>
      </c>
      <c r="L204" s="84" t="s">
        <v>1552</v>
      </c>
      <c r="M204" s="109">
        <v>45629.0</v>
      </c>
      <c r="N204" s="105">
        <v>46.0</v>
      </c>
      <c r="O204" s="87">
        <v>200.0</v>
      </c>
      <c r="P204" s="84" t="s">
        <v>805</v>
      </c>
      <c r="Q204" s="84" t="s">
        <v>1895</v>
      </c>
      <c r="R204" s="84" t="s">
        <v>806</v>
      </c>
      <c r="S204" s="115" t="s">
        <v>1453</v>
      </c>
      <c r="T204" s="107">
        <v>45812.0</v>
      </c>
      <c r="U204" s="90"/>
      <c r="V204" s="135"/>
      <c r="W204" s="135"/>
      <c r="X204" s="116">
        <v>199.0</v>
      </c>
      <c r="Y204" s="114">
        <v>45646.0</v>
      </c>
      <c r="Z204" s="123"/>
      <c r="AA204" s="123"/>
      <c r="AB204" s="123"/>
      <c r="AC204" s="123"/>
      <c r="AD204" s="94">
        <f t="shared" si="10"/>
        <v>399</v>
      </c>
      <c r="AE204" s="93"/>
      <c r="AF204" s="93"/>
      <c r="AG204" s="93"/>
      <c r="AH204" s="93"/>
      <c r="AI204" s="93"/>
    </row>
    <row r="205">
      <c r="A205" s="113">
        <v>45631.73056427084</v>
      </c>
      <c r="B205" s="84" t="s">
        <v>1896</v>
      </c>
      <c r="C205" s="84" t="s">
        <v>1897</v>
      </c>
      <c r="D205" s="105">
        <v>5.1966972584E10</v>
      </c>
      <c r="E205" s="127" t="s">
        <v>1898</v>
      </c>
      <c r="F205" s="84" t="s">
        <v>1899</v>
      </c>
      <c r="G205" s="84" t="s">
        <v>1900</v>
      </c>
      <c r="H205" s="84" t="s">
        <v>1901</v>
      </c>
      <c r="I205" s="84" t="s">
        <v>933</v>
      </c>
      <c r="J205" s="84" t="s">
        <v>932</v>
      </c>
      <c r="K205" s="84" t="s">
        <v>1813</v>
      </c>
      <c r="L205" s="84" t="s">
        <v>848</v>
      </c>
      <c r="M205" s="109">
        <v>45640.0</v>
      </c>
      <c r="N205" s="105">
        <v>49.0</v>
      </c>
      <c r="O205" s="87">
        <v>100.0</v>
      </c>
      <c r="P205" s="84" t="s">
        <v>805</v>
      </c>
      <c r="Q205" s="84"/>
      <c r="R205" s="84" t="s">
        <v>1018</v>
      </c>
      <c r="S205" s="115" t="s">
        <v>1453</v>
      </c>
      <c r="T205" s="136">
        <v>45714.0</v>
      </c>
      <c r="U205" s="90"/>
      <c r="V205" s="135"/>
      <c r="W205" s="135"/>
      <c r="X205" s="87">
        <v>1000.0</v>
      </c>
      <c r="Y205" s="114">
        <v>45640.0</v>
      </c>
      <c r="Z205" s="116">
        <v>1499.0</v>
      </c>
      <c r="AA205" s="114">
        <v>45305.0</v>
      </c>
      <c r="AB205" s="123"/>
      <c r="AC205" s="123"/>
      <c r="AD205" s="94">
        <f t="shared" si="10"/>
        <v>2599</v>
      </c>
      <c r="AE205" s="93"/>
      <c r="AF205" s="93"/>
      <c r="AG205" s="93"/>
      <c r="AH205" s="93"/>
      <c r="AI205" s="93"/>
    </row>
    <row r="206">
      <c r="A206" s="113">
        <v>45632.62652767361</v>
      </c>
      <c r="B206" s="84" t="s">
        <v>1902</v>
      </c>
      <c r="C206" s="84" t="s">
        <v>1903</v>
      </c>
      <c r="D206" s="105">
        <v>5.1973669276E10</v>
      </c>
      <c r="E206" s="78">
        <v>4.75284E7</v>
      </c>
      <c r="F206" s="84" t="s">
        <v>1904</v>
      </c>
      <c r="G206" s="84" t="s">
        <v>1905</v>
      </c>
      <c r="H206" s="84" t="s">
        <v>1906</v>
      </c>
      <c r="I206" s="84" t="s">
        <v>1906</v>
      </c>
      <c r="J206" s="84" t="s">
        <v>1036</v>
      </c>
      <c r="K206" s="84" t="s">
        <v>1907</v>
      </c>
      <c r="L206" s="134" t="s">
        <v>848</v>
      </c>
      <c r="M206" s="109">
        <v>45640.0</v>
      </c>
      <c r="N206" s="105">
        <v>34.0</v>
      </c>
      <c r="O206" s="87">
        <v>650.0</v>
      </c>
      <c r="P206" s="84" t="s">
        <v>805</v>
      </c>
      <c r="Q206" s="84"/>
      <c r="R206" s="84" t="s">
        <v>822</v>
      </c>
      <c r="S206" s="115" t="s">
        <v>1453</v>
      </c>
      <c r="T206" s="136">
        <v>45726.0</v>
      </c>
      <c r="U206" s="90"/>
      <c r="V206" s="135"/>
      <c r="W206" s="135"/>
      <c r="X206" s="87">
        <v>500.0</v>
      </c>
      <c r="Y206" s="114">
        <v>45663.0</v>
      </c>
      <c r="Z206" s="116">
        <v>800.0</v>
      </c>
      <c r="AA206" s="114">
        <v>45723.0</v>
      </c>
      <c r="AB206" s="116">
        <v>650.0</v>
      </c>
      <c r="AC206" s="114">
        <v>45754.0</v>
      </c>
      <c r="AD206" s="94">
        <f t="shared" si="10"/>
        <v>2600</v>
      </c>
      <c r="AE206" s="93"/>
      <c r="AF206" s="93"/>
      <c r="AG206" s="93"/>
      <c r="AH206" s="93"/>
      <c r="AI206" s="93"/>
    </row>
    <row r="207">
      <c r="A207" s="124">
        <v>45634.483175138885</v>
      </c>
      <c r="B207" s="84" t="s">
        <v>1908</v>
      </c>
      <c r="C207" s="84" t="s">
        <v>1909</v>
      </c>
      <c r="D207" s="78">
        <v>5.1968004433E10</v>
      </c>
      <c r="E207" s="78">
        <v>4.6419258E7</v>
      </c>
      <c r="F207" s="84" t="s">
        <v>1910</v>
      </c>
      <c r="G207" s="84" t="s">
        <v>1911</v>
      </c>
      <c r="H207" s="84" t="s">
        <v>1912</v>
      </c>
      <c r="I207" s="84" t="s">
        <v>1130</v>
      </c>
      <c r="J207" s="84" t="s">
        <v>1130</v>
      </c>
      <c r="K207" s="84" t="s">
        <v>1664</v>
      </c>
      <c r="L207" s="84" t="s">
        <v>814</v>
      </c>
      <c r="M207" s="109">
        <v>45634.0</v>
      </c>
      <c r="N207" s="105">
        <v>34.0</v>
      </c>
      <c r="O207" s="87">
        <v>50.0</v>
      </c>
      <c r="P207" s="84" t="s">
        <v>920</v>
      </c>
      <c r="Q207" s="105">
        <v>2.060176114E10</v>
      </c>
      <c r="R207" s="84" t="s">
        <v>1561</v>
      </c>
      <c r="S207" s="115" t="s">
        <v>1453</v>
      </c>
      <c r="T207" s="107">
        <v>45812.0</v>
      </c>
      <c r="U207" s="90"/>
      <c r="V207" s="135"/>
      <c r="W207" s="135"/>
      <c r="X207" s="116">
        <v>299.0</v>
      </c>
      <c r="Y207" s="114">
        <v>45646.0</v>
      </c>
      <c r="Z207" s="123"/>
      <c r="AA207" s="123"/>
      <c r="AB207" s="123"/>
      <c r="AC207" s="123"/>
      <c r="AD207" s="94">
        <f t="shared" si="10"/>
        <v>349</v>
      </c>
      <c r="AE207" s="93"/>
      <c r="AF207" s="93"/>
      <c r="AG207" s="93"/>
      <c r="AH207" s="93"/>
      <c r="AI207" s="93"/>
    </row>
    <row r="208">
      <c r="A208" s="124">
        <v>45645.6869478588</v>
      </c>
      <c r="B208" s="84" t="s">
        <v>1913</v>
      </c>
      <c r="C208" s="84" t="s">
        <v>1914</v>
      </c>
      <c r="D208" s="78">
        <v>5.1928491834E10</v>
      </c>
      <c r="E208" s="78">
        <v>7.6218126E7</v>
      </c>
      <c r="F208" s="84" t="s">
        <v>1915</v>
      </c>
      <c r="G208" s="84" t="s">
        <v>1916</v>
      </c>
      <c r="H208" s="84" t="s">
        <v>1917</v>
      </c>
      <c r="I208" s="84" t="s">
        <v>1918</v>
      </c>
      <c r="J208" s="84" t="s">
        <v>846</v>
      </c>
      <c r="K208" s="84" t="s">
        <v>1919</v>
      </c>
      <c r="L208" s="84" t="s">
        <v>814</v>
      </c>
      <c r="M208" s="109">
        <v>45648.0</v>
      </c>
      <c r="N208" s="105">
        <v>24.0</v>
      </c>
      <c r="O208" s="87">
        <v>50.0</v>
      </c>
      <c r="P208" s="130" t="s">
        <v>805</v>
      </c>
      <c r="Q208" s="84"/>
      <c r="R208" s="84" t="s">
        <v>1686</v>
      </c>
      <c r="S208" s="115" t="s">
        <v>1453</v>
      </c>
      <c r="T208" s="107">
        <v>45812.0</v>
      </c>
      <c r="U208" s="90"/>
      <c r="V208" s="135"/>
      <c r="W208" s="135"/>
      <c r="X208" s="116">
        <v>349.0</v>
      </c>
      <c r="Y208" s="114">
        <v>45657.0</v>
      </c>
      <c r="Z208" s="123"/>
      <c r="AA208" s="123"/>
      <c r="AB208" s="123"/>
      <c r="AC208" s="123"/>
      <c r="AD208" s="94">
        <f t="shared" si="10"/>
        <v>399</v>
      </c>
      <c r="AE208" s="93"/>
      <c r="AF208" s="93"/>
      <c r="AG208" s="93"/>
      <c r="AH208" s="93"/>
      <c r="AI208" s="93"/>
    </row>
    <row r="209">
      <c r="A209" s="124">
        <v>45646.70723465278</v>
      </c>
      <c r="B209" s="84" t="s">
        <v>1920</v>
      </c>
      <c r="C209" s="84" t="s">
        <v>1921</v>
      </c>
      <c r="D209" s="78">
        <v>5.1996234874E10</v>
      </c>
      <c r="E209" s="78">
        <v>4.0005816E7</v>
      </c>
      <c r="F209" s="84" t="s">
        <v>1922</v>
      </c>
      <c r="G209" s="84" t="s">
        <v>1923</v>
      </c>
      <c r="H209" s="84" t="s">
        <v>1924</v>
      </c>
      <c r="I209" s="84" t="s">
        <v>1924</v>
      </c>
      <c r="J209" s="84" t="s">
        <v>30</v>
      </c>
      <c r="K209" s="84" t="s">
        <v>1501</v>
      </c>
      <c r="L209" s="84" t="s">
        <v>814</v>
      </c>
      <c r="M209" s="109">
        <v>45648.0</v>
      </c>
      <c r="N209" s="105">
        <v>46.0</v>
      </c>
      <c r="O209" s="87">
        <v>200.0</v>
      </c>
      <c r="P209" s="84" t="s">
        <v>805</v>
      </c>
      <c r="Q209" s="84"/>
      <c r="R209" s="84" t="s">
        <v>806</v>
      </c>
      <c r="S209" s="115" t="s">
        <v>1453</v>
      </c>
      <c r="T209" s="107">
        <v>45812.0</v>
      </c>
      <c r="U209" s="90"/>
      <c r="V209" s="135"/>
      <c r="W209" s="135"/>
      <c r="X209" s="116">
        <v>250.0</v>
      </c>
      <c r="Y209" s="114">
        <v>45672.0</v>
      </c>
      <c r="Z209" s="123"/>
      <c r="AA209" s="123"/>
      <c r="AB209" s="123"/>
      <c r="AC209" s="123"/>
      <c r="AD209" s="94">
        <f t="shared" si="10"/>
        <v>450</v>
      </c>
      <c r="AE209" s="93"/>
      <c r="AF209" s="93"/>
      <c r="AG209" s="93"/>
      <c r="AH209" s="93"/>
      <c r="AI209" s="93"/>
    </row>
    <row r="210">
      <c r="A210" s="124">
        <v>45649.77318113426</v>
      </c>
      <c r="B210" s="84" t="s">
        <v>1925</v>
      </c>
      <c r="C210" s="84" t="s">
        <v>1926</v>
      </c>
      <c r="D210" s="78">
        <v>5.199852724E10</v>
      </c>
      <c r="E210" s="78" t="s">
        <v>1927</v>
      </c>
      <c r="F210" s="84" t="s">
        <v>1928</v>
      </c>
      <c r="G210" s="84" t="s">
        <v>1929</v>
      </c>
      <c r="H210" s="84" t="s">
        <v>1930</v>
      </c>
      <c r="I210" s="84" t="s">
        <v>1930</v>
      </c>
      <c r="J210" s="84" t="s">
        <v>1931</v>
      </c>
      <c r="K210" s="84" t="s">
        <v>847</v>
      </c>
      <c r="L210" s="84" t="s">
        <v>848</v>
      </c>
      <c r="M210" s="109">
        <v>45654.0</v>
      </c>
      <c r="N210" s="105">
        <v>24.0</v>
      </c>
      <c r="O210" s="87">
        <v>1250.0</v>
      </c>
      <c r="P210" s="84" t="s">
        <v>805</v>
      </c>
      <c r="Q210" s="84"/>
      <c r="R210" s="84" t="s">
        <v>806</v>
      </c>
      <c r="S210" s="115" t="s">
        <v>1453</v>
      </c>
      <c r="T210" s="136">
        <v>45812.0</v>
      </c>
      <c r="U210" s="90"/>
      <c r="V210" s="135"/>
      <c r="W210" s="135"/>
      <c r="X210" s="87">
        <v>650.0</v>
      </c>
      <c r="Y210" s="114">
        <v>45687.0</v>
      </c>
      <c r="Z210" s="87">
        <v>200.0</v>
      </c>
      <c r="AA210" s="114">
        <v>45782.0</v>
      </c>
      <c r="AB210" s="116">
        <v>400.0</v>
      </c>
      <c r="AC210" s="114">
        <v>45805.0</v>
      </c>
      <c r="AD210" s="94">
        <f t="shared" si="10"/>
        <v>2500</v>
      </c>
      <c r="AE210" s="93"/>
      <c r="AF210" s="93"/>
      <c r="AG210" s="93"/>
      <c r="AH210" s="93"/>
      <c r="AI210" s="93"/>
    </row>
    <row r="211">
      <c r="A211" s="124">
        <v>45653.89821694445</v>
      </c>
      <c r="B211" s="84" t="s">
        <v>1932</v>
      </c>
      <c r="C211" s="84" t="s">
        <v>1933</v>
      </c>
      <c r="D211" s="78">
        <v>5.1989761899E10</v>
      </c>
      <c r="E211" s="78">
        <v>4.3737251E7</v>
      </c>
      <c r="F211" s="84" t="s">
        <v>1934</v>
      </c>
      <c r="G211" s="84" t="s">
        <v>1935</v>
      </c>
      <c r="H211" s="84" t="s">
        <v>1093</v>
      </c>
      <c r="I211" s="84" t="s">
        <v>30</v>
      </c>
      <c r="J211" s="84" t="s">
        <v>30</v>
      </c>
      <c r="K211" s="84" t="s">
        <v>1936</v>
      </c>
      <c r="L211" s="84" t="s">
        <v>804</v>
      </c>
      <c r="M211" s="109">
        <v>45667.0</v>
      </c>
      <c r="N211" s="105">
        <v>38.0</v>
      </c>
      <c r="O211" s="87">
        <v>150.0</v>
      </c>
      <c r="P211" s="84" t="s">
        <v>805</v>
      </c>
      <c r="Q211" s="84"/>
      <c r="R211" s="84" t="s">
        <v>806</v>
      </c>
      <c r="S211" s="115" t="s">
        <v>1453</v>
      </c>
      <c r="T211" s="136">
        <v>45812.0</v>
      </c>
      <c r="U211" s="90"/>
      <c r="V211" s="135"/>
      <c r="W211" s="135"/>
      <c r="X211" s="116">
        <v>150.0</v>
      </c>
      <c r="Y211" s="114">
        <v>45682.0</v>
      </c>
      <c r="Z211" s="123"/>
      <c r="AA211" s="123"/>
      <c r="AB211" s="123"/>
      <c r="AC211" s="123"/>
      <c r="AD211" s="94">
        <f t="shared" si="10"/>
        <v>300</v>
      </c>
      <c r="AE211" s="93"/>
      <c r="AF211" s="93"/>
      <c r="AG211" s="93"/>
      <c r="AH211" s="93"/>
      <c r="AI211" s="93"/>
    </row>
    <row r="212">
      <c r="A212" s="124">
        <v>45654.5455522338</v>
      </c>
      <c r="B212" s="84" t="s">
        <v>1937</v>
      </c>
      <c r="C212" s="84" t="s">
        <v>1938</v>
      </c>
      <c r="D212" s="78">
        <v>5.1979626122E10</v>
      </c>
      <c r="E212" s="78">
        <v>7.3707423E7</v>
      </c>
      <c r="F212" s="84" t="s">
        <v>1939</v>
      </c>
      <c r="G212" s="84" t="s">
        <v>1940</v>
      </c>
      <c r="H212" s="84" t="s">
        <v>1941</v>
      </c>
      <c r="I212" s="84" t="s">
        <v>1942</v>
      </c>
      <c r="J212" s="84" t="s">
        <v>1943</v>
      </c>
      <c r="K212" s="84" t="s">
        <v>847</v>
      </c>
      <c r="L212" s="84" t="s">
        <v>884</v>
      </c>
      <c r="M212" s="109">
        <v>45654.0</v>
      </c>
      <c r="N212" s="105">
        <v>28.0</v>
      </c>
      <c r="O212" s="87">
        <v>100.0</v>
      </c>
      <c r="P212" s="84" t="s">
        <v>805</v>
      </c>
      <c r="Q212" s="84"/>
      <c r="R212" s="84" t="s">
        <v>1830</v>
      </c>
      <c r="S212" s="115" t="s">
        <v>1453</v>
      </c>
      <c r="T212" s="136">
        <v>45813.0</v>
      </c>
      <c r="U212" s="90"/>
      <c r="V212" s="135"/>
      <c r="W212" s="135"/>
      <c r="X212" s="116">
        <v>299.0</v>
      </c>
      <c r="Y212" s="114">
        <v>45677.0</v>
      </c>
      <c r="Z212" s="123"/>
      <c r="AA212" s="123"/>
      <c r="AB212" s="123"/>
      <c r="AC212" s="123"/>
      <c r="AD212" s="94">
        <f t="shared" si="10"/>
        <v>399</v>
      </c>
      <c r="AE212" s="93"/>
      <c r="AF212" s="93"/>
      <c r="AG212" s="93"/>
      <c r="AH212" s="93"/>
      <c r="AI212" s="93"/>
    </row>
    <row r="213">
      <c r="A213" s="124">
        <v>45654.57214730324</v>
      </c>
      <c r="B213" s="84" t="s">
        <v>1944</v>
      </c>
      <c r="C213" s="84" t="s">
        <v>1945</v>
      </c>
      <c r="D213" s="78">
        <v>5.1936945255E10</v>
      </c>
      <c r="E213" s="78">
        <v>7.1402906E7</v>
      </c>
      <c r="F213" s="84" t="s">
        <v>1946</v>
      </c>
      <c r="G213" s="84" t="s">
        <v>1947</v>
      </c>
      <c r="H213" s="84" t="s">
        <v>1948</v>
      </c>
      <c r="I213" s="84" t="s">
        <v>1949</v>
      </c>
      <c r="J213" s="84" t="s">
        <v>1949</v>
      </c>
      <c r="K213" s="84" t="s">
        <v>1950</v>
      </c>
      <c r="L213" s="84" t="s">
        <v>884</v>
      </c>
      <c r="M213" s="109">
        <v>45654.0</v>
      </c>
      <c r="N213" s="105">
        <v>33.0</v>
      </c>
      <c r="O213" s="87">
        <v>280.0</v>
      </c>
      <c r="P213" s="84" t="s">
        <v>920</v>
      </c>
      <c r="Q213" s="105">
        <v>2.0603286333E10</v>
      </c>
      <c r="R213" s="84" t="s">
        <v>806</v>
      </c>
      <c r="S213" s="115" t="s">
        <v>1453</v>
      </c>
      <c r="T213" s="136">
        <v>45813.0</v>
      </c>
      <c r="U213" s="90"/>
      <c r="V213" s="135"/>
      <c r="W213" s="135"/>
      <c r="X213" s="116">
        <v>170.0</v>
      </c>
      <c r="Y213" s="114">
        <v>45672.0</v>
      </c>
      <c r="Z213" s="123"/>
      <c r="AA213" s="123"/>
      <c r="AB213" s="123"/>
      <c r="AC213" s="123"/>
      <c r="AD213" s="94">
        <f t="shared" si="10"/>
        <v>450</v>
      </c>
      <c r="AE213" s="93"/>
      <c r="AF213" s="93"/>
      <c r="AG213" s="93"/>
      <c r="AH213" s="93"/>
      <c r="AI213" s="93"/>
    </row>
    <row r="214">
      <c r="A214" s="124">
        <v>45656.671249907406</v>
      </c>
      <c r="B214" s="84" t="s">
        <v>1951</v>
      </c>
      <c r="C214" s="84" t="s">
        <v>1952</v>
      </c>
      <c r="D214" s="78">
        <v>5.1928489404E10</v>
      </c>
      <c r="E214" s="78">
        <v>4.428411E7</v>
      </c>
      <c r="F214" s="84" t="s">
        <v>1953</v>
      </c>
      <c r="G214" s="84" t="s">
        <v>1954</v>
      </c>
      <c r="H214" s="84" t="s">
        <v>994</v>
      </c>
      <c r="I214" s="84" t="s">
        <v>881</v>
      </c>
      <c r="J214" s="84" t="s">
        <v>1955</v>
      </c>
      <c r="K214" s="84" t="s">
        <v>1956</v>
      </c>
      <c r="L214" s="84" t="s">
        <v>893</v>
      </c>
      <c r="M214" s="109">
        <v>45665.0</v>
      </c>
      <c r="N214" s="105">
        <v>37.0</v>
      </c>
      <c r="O214" s="87">
        <v>50.0</v>
      </c>
      <c r="P214" s="84" t="s">
        <v>920</v>
      </c>
      <c r="Q214" s="105">
        <v>2.0623355741E10</v>
      </c>
      <c r="R214" s="84" t="s">
        <v>806</v>
      </c>
      <c r="S214" s="115" t="s">
        <v>1453</v>
      </c>
      <c r="T214" s="136">
        <v>45813.0</v>
      </c>
      <c r="U214" s="90"/>
      <c r="V214" s="135"/>
      <c r="W214" s="137" t="s">
        <v>1957</v>
      </c>
      <c r="X214" s="123"/>
      <c r="Y214" s="123"/>
      <c r="Z214" s="123"/>
      <c r="AA214" s="123"/>
      <c r="AB214" s="123"/>
      <c r="AC214" s="123"/>
      <c r="AD214" s="94">
        <f t="shared" si="10"/>
        <v>50</v>
      </c>
      <c r="AE214" s="93"/>
      <c r="AF214" s="93"/>
      <c r="AG214" s="93"/>
      <c r="AH214" s="93"/>
      <c r="AI214" s="93"/>
    </row>
    <row r="215">
      <c r="A215" s="124">
        <v>45656.746735416666</v>
      </c>
      <c r="B215" s="84" t="s">
        <v>1958</v>
      </c>
      <c r="C215" s="84" t="s">
        <v>1959</v>
      </c>
      <c r="D215" s="78">
        <v>5.1983964468E10</v>
      </c>
      <c r="E215" s="78">
        <v>4.5877591E7</v>
      </c>
      <c r="F215" s="84" t="s">
        <v>1960</v>
      </c>
      <c r="G215" s="84" t="s">
        <v>1961</v>
      </c>
      <c r="H215" s="84" t="s">
        <v>1336</v>
      </c>
      <c r="I215" s="84" t="s">
        <v>1336</v>
      </c>
      <c r="J215" s="84" t="s">
        <v>1791</v>
      </c>
      <c r="K215" s="84" t="s">
        <v>1962</v>
      </c>
      <c r="L215" s="84" t="s">
        <v>884</v>
      </c>
      <c r="M215" s="109">
        <v>45654.0</v>
      </c>
      <c r="N215" s="105">
        <v>35.0</v>
      </c>
      <c r="O215" s="87">
        <v>200.0</v>
      </c>
      <c r="P215" s="84" t="s">
        <v>805</v>
      </c>
      <c r="Q215" s="84"/>
      <c r="R215" s="84" t="s">
        <v>822</v>
      </c>
      <c r="S215" s="115" t="s">
        <v>1453</v>
      </c>
      <c r="T215" s="136">
        <v>45813.0</v>
      </c>
      <c r="U215" s="90"/>
      <c r="V215" s="135"/>
      <c r="W215" s="135"/>
      <c r="X215" s="116">
        <v>199.0</v>
      </c>
      <c r="Y215" s="114">
        <v>45677.0</v>
      </c>
      <c r="Z215" s="123"/>
      <c r="AA215" s="123"/>
      <c r="AB215" s="123"/>
      <c r="AC215" s="123"/>
      <c r="AD215" s="94">
        <f t="shared" si="10"/>
        <v>399</v>
      </c>
      <c r="AE215" s="93"/>
      <c r="AF215" s="93"/>
      <c r="AG215" s="93"/>
      <c r="AH215" s="93"/>
      <c r="AI215" s="93"/>
    </row>
    <row r="216">
      <c r="A216" s="113">
        <v>45657.697978321754</v>
      </c>
      <c r="B216" s="84" t="s">
        <v>1963</v>
      </c>
      <c r="C216" s="84" t="s">
        <v>1964</v>
      </c>
      <c r="D216" s="105">
        <v>5.1965822946E10</v>
      </c>
      <c r="E216" s="78">
        <v>4.4673015E7</v>
      </c>
      <c r="F216" s="84" t="s">
        <v>1965</v>
      </c>
      <c r="G216" s="84" t="s">
        <v>1966</v>
      </c>
      <c r="H216" s="84" t="s">
        <v>1967</v>
      </c>
      <c r="I216" s="84" t="s">
        <v>994</v>
      </c>
      <c r="J216" s="84" t="s">
        <v>905</v>
      </c>
      <c r="K216" s="84" t="s">
        <v>1219</v>
      </c>
      <c r="L216" s="84" t="s">
        <v>1417</v>
      </c>
      <c r="M216" s="109">
        <v>45662.0</v>
      </c>
      <c r="N216" s="105">
        <v>38.0</v>
      </c>
      <c r="O216" s="87">
        <v>200.0</v>
      </c>
      <c r="P216" s="84" t="s">
        <v>805</v>
      </c>
      <c r="Q216" s="84"/>
      <c r="R216" s="84" t="s">
        <v>1830</v>
      </c>
      <c r="S216" s="115" t="s">
        <v>1453</v>
      </c>
      <c r="T216" s="136">
        <v>45762.0</v>
      </c>
      <c r="U216" s="90"/>
      <c r="V216" s="84"/>
      <c r="W216" s="135"/>
      <c r="X216" s="116">
        <v>399.0</v>
      </c>
      <c r="Y216" s="114">
        <v>45677.0</v>
      </c>
      <c r="Z216" s="123"/>
      <c r="AA216" s="123"/>
      <c r="AB216" s="123"/>
      <c r="AC216" s="123"/>
      <c r="AD216" s="94">
        <f t="shared" si="10"/>
        <v>599</v>
      </c>
      <c r="AE216" s="93"/>
      <c r="AF216" s="93"/>
      <c r="AG216" s="93"/>
      <c r="AH216" s="93"/>
      <c r="AI216" s="93"/>
    </row>
    <row r="217">
      <c r="A217" s="113">
        <v>45657.69923769676</v>
      </c>
      <c r="B217" s="84" t="s">
        <v>1968</v>
      </c>
      <c r="C217" s="84" t="s">
        <v>1969</v>
      </c>
      <c r="D217" s="105">
        <v>5.1943457338E10</v>
      </c>
      <c r="E217" s="78">
        <v>4.2870231E7</v>
      </c>
      <c r="F217" s="84" t="s">
        <v>1970</v>
      </c>
      <c r="G217" s="84" t="s">
        <v>1971</v>
      </c>
      <c r="H217" s="84" t="s">
        <v>1024</v>
      </c>
      <c r="I217" s="84" t="s">
        <v>1024</v>
      </c>
      <c r="J217" s="84" t="s">
        <v>951</v>
      </c>
      <c r="K217" s="84" t="s">
        <v>1571</v>
      </c>
      <c r="L217" s="84" t="s">
        <v>1972</v>
      </c>
      <c r="M217" s="109" t="s">
        <v>1346</v>
      </c>
      <c r="N217" s="105">
        <v>40.0</v>
      </c>
      <c r="O217" s="87">
        <v>200.0</v>
      </c>
      <c r="P217" s="84" t="s">
        <v>920</v>
      </c>
      <c r="Q217" s="105">
        <v>2.0601353432E10</v>
      </c>
      <c r="R217" s="84" t="s">
        <v>1830</v>
      </c>
      <c r="S217" s="115" t="s">
        <v>1453</v>
      </c>
      <c r="T217" s="136">
        <v>45806.0</v>
      </c>
      <c r="U217" s="90"/>
      <c r="V217" s="135"/>
      <c r="W217" s="135"/>
      <c r="X217" s="116">
        <v>200.0</v>
      </c>
      <c r="Y217" s="114">
        <v>45672.0</v>
      </c>
      <c r="Z217" s="123"/>
      <c r="AA217" s="123"/>
      <c r="AB217" s="123"/>
      <c r="AC217" s="123"/>
      <c r="AD217" s="94">
        <f t="shared" si="10"/>
        <v>400</v>
      </c>
      <c r="AE217" s="93"/>
      <c r="AF217" s="93"/>
      <c r="AG217" s="93"/>
      <c r="AH217" s="93"/>
      <c r="AI217" s="93"/>
    </row>
    <row r="218">
      <c r="A218" s="135"/>
      <c r="B218" s="135"/>
      <c r="C218" s="135"/>
      <c r="D218" s="135"/>
      <c r="E218" s="135"/>
      <c r="F218" s="135"/>
      <c r="G218" s="135"/>
      <c r="H218" s="135"/>
      <c r="I218" s="135"/>
      <c r="J218" s="135"/>
      <c r="K218" s="135"/>
      <c r="L218" s="135"/>
      <c r="M218" s="135"/>
      <c r="N218" s="135"/>
      <c r="O218" s="135"/>
      <c r="P218" s="135"/>
      <c r="Q218" s="135"/>
      <c r="R218" s="135"/>
      <c r="S218" s="135"/>
      <c r="T218" s="135"/>
      <c r="U218" s="90"/>
      <c r="V218" s="135"/>
      <c r="W218" s="135"/>
      <c r="X218" s="135"/>
      <c r="Y218" s="123"/>
      <c r="Z218" s="123"/>
      <c r="AA218" s="123"/>
      <c r="AB218" s="123"/>
      <c r="AC218" s="123"/>
      <c r="AD218" s="93"/>
      <c r="AE218" s="93"/>
      <c r="AF218" s="93"/>
      <c r="AG218" s="93"/>
      <c r="AH218" s="93"/>
      <c r="AI218" s="93"/>
    </row>
    <row r="219">
      <c r="A219" s="113">
        <v>45604.709584895834</v>
      </c>
      <c r="B219" s="84" t="s">
        <v>168</v>
      </c>
      <c r="C219" s="84" t="s">
        <v>1973</v>
      </c>
      <c r="D219" s="138">
        <v>5.1958208557E10</v>
      </c>
      <c r="E219" s="78">
        <v>4.4400049E7</v>
      </c>
      <c r="F219" s="84" t="s">
        <v>1974</v>
      </c>
      <c r="G219" s="84" t="s">
        <v>1234</v>
      </c>
      <c r="H219" s="84" t="s">
        <v>1975</v>
      </c>
      <c r="I219" s="84" t="s">
        <v>1234</v>
      </c>
      <c r="J219" s="84" t="s">
        <v>1234</v>
      </c>
      <c r="K219" s="84" t="s">
        <v>1976</v>
      </c>
      <c r="L219" s="134" t="s">
        <v>804</v>
      </c>
      <c r="M219" s="109">
        <v>45613.0</v>
      </c>
      <c r="N219" s="105">
        <v>44.0</v>
      </c>
      <c r="O219" s="87">
        <v>100.0</v>
      </c>
      <c r="P219" s="84" t="s">
        <v>805</v>
      </c>
      <c r="Q219" s="84"/>
      <c r="R219" s="84" t="s">
        <v>1977</v>
      </c>
      <c r="S219" s="115" t="s">
        <v>1453</v>
      </c>
      <c r="T219" s="89"/>
      <c r="U219" s="90"/>
      <c r="V219" s="123"/>
      <c r="W219" s="123"/>
      <c r="X219" s="116">
        <v>100.0</v>
      </c>
      <c r="Y219" s="114">
        <v>45611.0</v>
      </c>
      <c r="Z219" s="116">
        <v>100.0</v>
      </c>
      <c r="AA219" s="114">
        <v>45626.0</v>
      </c>
      <c r="AB219" s="123"/>
      <c r="AC219" s="123"/>
      <c r="AD219" s="94">
        <f t="shared" ref="AD219:AD222" si="11">O219+X219+Z219+AB219</f>
        <v>300</v>
      </c>
      <c r="AE219" s="93"/>
      <c r="AF219" s="93"/>
      <c r="AG219" s="93"/>
      <c r="AH219" s="93"/>
      <c r="AI219" s="93"/>
    </row>
    <row r="220">
      <c r="A220" s="124">
        <v>45608.722485081016</v>
      </c>
      <c r="B220" s="84" t="s">
        <v>1978</v>
      </c>
      <c r="C220" s="84" t="s">
        <v>1979</v>
      </c>
      <c r="D220" s="78">
        <v>5.1996815024E10</v>
      </c>
      <c r="E220" s="127" t="s">
        <v>1980</v>
      </c>
      <c r="F220" s="84" t="s">
        <v>1981</v>
      </c>
      <c r="G220" s="84" t="s">
        <v>1982</v>
      </c>
      <c r="H220" s="84" t="s">
        <v>1983</v>
      </c>
      <c r="I220" s="84" t="s">
        <v>1124</v>
      </c>
      <c r="J220" s="84" t="s">
        <v>1124</v>
      </c>
      <c r="K220" s="84" t="s">
        <v>980</v>
      </c>
      <c r="L220" s="84" t="s">
        <v>1552</v>
      </c>
      <c r="M220" s="109">
        <v>45608.0</v>
      </c>
      <c r="N220" s="105">
        <v>62.0</v>
      </c>
      <c r="O220" s="87">
        <v>200.0</v>
      </c>
      <c r="P220" s="84" t="s">
        <v>805</v>
      </c>
      <c r="Q220" s="84"/>
      <c r="R220" s="84" t="s">
        <v>988</v>
      </c>
      <c r="S220" s="115" t="s">
        <v>1453</v>
      </c>
      <c r="T220" s="136">
        <v>45813.0</v>
      </c>
      <c r="U220" s="90"/>
      <c r="V220" s="123"/>
      <c r="W220" s="123"/>
      <c r="X220" s="116">
        <v>200.0</v>
      </c>
      <c r="Y220" s="114">
        <v>45625.0</v>
      </c>
      <c r="Z220" s="123"/>
      <c r="AA220" s="123"/>
      <c r="AB220" s="123"/>
      <c r="AC220" s="123"/>
      <c r="AD220" s="94">
        <f t="shared" si="11"/>
        <v>400</v>
      </c>
      <c r="AE220" s="93"/>
      <c r="AF220" s="93"/>
      <c r="AG220" s="93"/>
      <c r="AH220" s="93"/>
      <c r="AI220" s="93"/>
    </row>
    <row r="221">
      <c r="A221" s="124">
        <v>45611.46734130787</v>
      </c>
      <c r="B221" s="84" t="s">
        <v>1984</v>
      </c>
      <c r="C221" s="84" t="s">
        <v>1985</v>
      </c>
      <c r="D221" s="78">
        <v>5.1918293538E10</v>
      </c>
      <c r="E221" s="78">
        <v>4.0126002E7</v>
      </c>
      <c r="F221" s="84" t="s">
        <v>1986</v>
      </c>
      <c r="G221" s="84" t="s">
        <v>1987</v>
      </c>
      <c r="H221" s="84" t="s">
        <v>1988</v>
      </c>
      <c r="I221" s="84" t="s">
        <v>30</v>
      </c>
      <c r="J221" s="84" t="s">
        <v>30</v>
      </c>
      <c r="K221" s="84" t="s">
        <v>913</v>
      </c>
      <c r="L221" s="84" t="s">
        <v>814</v>
      </c>
      <c r="M221" s="109">
        <v>45613.0</v>
      </c>
      <c r="N221" s="105">
        <v>45.0</v>
      </c>
      <c r="O221" s="87">
        <v>200.0</v>
      </c>
      <c r="P221" s="84" t="s">
        <v>805</v>
      </c>
      <c r="Q221" s="84"/>
      <c r="R221" s="84" t="s">
        <v>1989</v>
      </c>
      <c r="S221" s="115" t="s">
        <v>1453</v>
      </c>
      <c r="T221" s="136">
        <v>45813.0</v>
      </c>
      <c r="U221" s="90"/>
      <c r="V221" s="123"/>
      <c r="W221" s="123"/>
      <c r="X221" s="116">
        <v>199.0</v>
      </c>
      <c r="Y221" s="114">
        <v>45623.0</v>
      </c>
      <c r="Z221" s="123"/>
      <c r="AA221" s="123"/>
      <c r="AB221" s="123"/>
      <c r="AC221" s="123"/>
      <c r="AD221" s="94">
        <f t="shared" si="11"/>
        <v>399</v>
      </c>
      <c r="AE221" s="93"/>
      <c r="AF221" s="93"/>
      <c r="AG221" s="93"/>
      <c r="AH221" s="93"/>
      <c r="AI221" s="93"/>
    </row>
    <row r="222">
      <c r="A222" s="124">
        <v>45615.6673807176</v>
      </c>
      <c r="B222" s="84" t="s">
        <v>1990</v>
      </c>
      <c r="C222" s="84" t="s">
        <v>1991</v>
      </c>
      <c r="D222" s="78">
        <v>5.195881728E10</v>
      </c>
      <c r="E222" s="78">
        <v>7.383026E7</v>
      </c>
      <c r="F222" s="84" t="s">
        <v>1992</v>
      </c>
      <c r="G222" s="84" t="s">
        <v>1993</v>
      </c>
      <c r="H222" s="84" t="s">
        <v>1994</v>
      </c>
      <c r="I222" s="84" t="s">
        <v>1995</v>
      </c>
      <c r="J222" s="84" t="s">
        <v>855</v>
      </c>
      <c r="K222" s="84" t="s">
        <v>1207</v>
      </c>
      <c r="L222" s="84" t="s">
        <v>804</v>
      </c>
      <c r="M222" s="109">
        <v>45625.0</v>
      </c>
      <c r="N222" s="105">
        <v>32.0</v>
      </c>
      <c r="O222" s="87">
        <v>50.0</v>
      </c>
      <c r="P222" s="84" t="s">
        <v>805</v>
      </c>
      <c r="Q222" s="84"/>
      <c r="R222" s="84" t="s">
        <v>822</v>
      </c>
      <c r="S222" s="115" t="s">
        <v>1424</v>
      </c>
      <c r="T222" s="123"/>
      <c r="U222" s="90"/>
      <c r="V222" s="123"/>
      <c r="W222" s="123"/>
      <c r="X222" s="116">
        <v>249.0</v>
      </c>
      <c r="Y222" s="114">
        <v>45621.0</v>
      </c>
      <c r="Z222" s="123"/>
      <c r="AA222" s="123"/>
      <c r="AB222" s="123"/>
      <c r="AC222" s="123"/>
      <c r="AD222" s="94">
        <f t="shared" si="11"/>
        <v>299</v>
      </c>
      <c r="AE222" s="93"/>
      <c r="AF222" s="93"/>
      <c r="AG222" s="93"/>
      <c r="AH222" s="93"/>
      <c r="AI222" s="93"/>
    </row>
    <row r="223">
      <c r="A223" s="124">
        <v>45617.6478653125</v>
      </c>
      <c r="B223" s="84" t="s">
        <v>1996</v>
      </c>
      <c r="C223" s="84" t="s">
        <v>1997</v>
      </c>
      <c r="D223" s="78">
        <v>5.1966384887E10</v>
      </c>
      <c r="E223" s="78">
        <v>7.0935065E7</v>
      </c>
      <c r="F223" s="84" t="s">
        <v>1998</v>
      </c>
      <c r="G223" s="84" t="s">
        <v>1999</v>
      </c>
      <c r="H223" s="84" t="s">
        <v>2000</v>
      </c>
      <c r="I223" s="84" t="s">
        <v>2001</v>
      </c>
      <c r="J223" s="84" t="s">
        <v>2001</v>
      </c>
      <c r="K223" s="84" t="s">
        <v>2002</v>
      </c>
      <c r="L223" s="84" t="s">
        <v>848</v>
      </c>
      <c r="M223" s="109">
        <v>45620.0</v>
      </c>
      <c r="N223" s="105">
        <v>21.0</v>
      </c>
      <c r="O223" s="87">
        <v>200.0</v>
      </c>
      <c r="P223" s="84" t="s">
        <v>805</v>
      </c>
      <c r="Q223" s="84"/>
      <c r="R223" s="128" t="s">
        <v>1018</v>
      </c>
      <c r="S223" s="115" t="s">
        <v>1453</v>
      </c>
      <c r="T223" s="131">
        <v>45817.0</v>
      </c>
      <c r="U223" s="90"/>
      <c r="V223" s="123"/>
      <c r="W223" s="123"/>
      <c r="X223" s="87">
        <v>800.0</v>
      </c>
      <c r="Y223" s="114">
        <v>45626.0</v>
      </c>
      <c r="Z223" s="87">
        <f>490+510</f>
        <v>1000</v>
      </c>
      <c r="AA223" s="114">
        <v>45663.0</v>
      </c>
      <c r="AB223" s="87">
        <v>300.0</v>
      </c>
      <c r="AC223" s="114">
        <v>45717.0</v>
      </c>
      <c r="AD223" s="87">
        <v>200.0</v>
      </c>
      <c r="AE223" s="114">
        <v>45754.0</v>
      </c>
      <c r="AF223" s="87">
        <v>100.0</v>
      </c>
      <c r="AG223" s="114">
        <v>45774.0</v>
      </c>
      <c r="AH223" s="116">
        <v>400.0</v>
      </c>
      <c r="AI223" s="114">
        <v>45813.0</v>
      </c>
    </row>
    <row r="224">
      <c r="A224" s="124">
        <v>45617.657096435185</v>
      </c>
      <c r="B224" s="84" t="s">
        <v>2003</v>
      </c>
      <c r="C224" s="84" t="s">
        <v>2004</v>
      </c>
      <c r="D224" s="78">
        <v>5.1943858564E10</v>
      </c>
      <c r="E224" s="78">
        <v>7.2084219E7</v>
      </c>
      <c r="F224" s="84" t="s">
        <v>2005</v>
      </c>
      <c r="G224" s="84" t="s">
        <v>2006</v>
      </c>
      <c r="H224" s="84" t="s">
        <v>2007</v>
      </c>
      <c r="I224" s="84" t="s">
        <v>2008</v>
      </c>
      <c r="J224" s="84" t="s">
        <v>951</v>
      </c>
      <c r="K224" s="84" t="s">
        <v>1670</v>
      </c>
      <c r="L224" s="84" t="s">
        <v>884</v>
      </c>
      <c r="M224" s="109">
        <v>45620.0</v>
      </c>
      <c r="N224" s="105">
        <v>30.0</v>
      </c>
      <c r="O224" s="87">
        <v>200.0</v>
      </c>
      <c r="P224" s="84" t="s">
        <v>805</v>
      </c>
      <c r="Q224" s="84"/>
      <c r="R224" s="84" t="s">
        <v>806</v>
      </c>
      <c r="S224" s="115" t="s">
        <v>1453</v>
      </c>
      <c r="T224" s="136">
        <v>45813.0</v>
      </c>
      <c r="U224" s="139" t="s">
        <v>1578</v>
      </c>
      <c r="V224" s="140">
        <v>45884.0</v>
      </c>
      <c r="W224" s="123"/>
      <c r="X224" s="91">
        <v>199.0</v>
      </c>
      <c r="Y224" s="92">
        <v>45884.0</v>
      </c>
      <c r="Z224" s="123"/>
      <c r="AA224" s="123"/>
      <c r="AB224" s="123"/>
      <c r="AC224" s="123"/>
      <c r="AD224" s="94">
        <f t="shared" ref="AD224:AD232" si="12">O224+X224+Z224+AB224</f>
        <v>399</v>
      </c>
      <c r="AE224" s="93"/>
      <c r="AF224" s="93"/>
      <c r="AG224" s="93"/>
      <c r="AH224" s="93"/>
      <c r="AI224" s="93"/>
    </row>
    <row r="225">
      <c r="A225" s="124">
        <v>45618.61954849537</v>
      </c>
      <c r="B225" s="84" t="s">
        <v>2009</v>
      </c>
      <c r="C225" s="84" t="s">
        <v>2010</v>
      </c>
      <c r="D225" s="78">
        <v>5.1958338844E10</v>
      </c>
      <c r="E225" s="78">
        <v>2.4002002E7</v>
      </c>
      <c r="F225" s="84" t="s">
        <v>2011</v>
      </c>
      <c r="G225" s="84" t="s">
        <v>2012</v>
      </c>
      <c r="H225" s="84" t="s">
        <v>2013</v>
      </c>
      <c r="I225" s="84" t="s">
        <v>1249</v>
      </c>
      <c r="J225" s="84" t="s">
        <v>1250</v>
      </c>
      <c r="K225" s="84" t="s">
        <v>1300</v>
      </c>
      <c r="L225" s="84" t="s">
        <v>814</v>
      </c>
      <c r="M225" s="109">
        <v>45627.0</v>
      </c>
      <c r="N225" s="105">
        <v>48.0</v>
      </c>
      <c r="O225" s="87">
        <v>50.0</v>
      </c>
      <c r="P225" s="84" t="s">
        <v>805</v>
      </c>
      <c r="Q225" s="84"/>
      <c r="R225" s="84" t="s">
        <v>1977</v>
      </c>
      <c r="S225" s="115" t="s">
        <v>1453</v>
      </c>
      <c r="T225" s="136">
        <v>45813.0</v>
      </c>
      <c r="U225" s="90"/>
      <c r="V225" s="123"/>
      <c r="W225" s="123"/>
      <c r="X225" s="116">
        <v>349.0</v>
      </c>
      <c r="Y225" s="114">
        <v>45621.0</v>
      </c>
      <c r="Z225" s="123"/>
      <c r="AA225" s="123"/>
      <c r="AB225" s="123"/>
      <c r="AC225" s="123"/>
      <c r="AD225" s="94">
        <f t="shared" si="12"/>
        <v>399</v>
      </c>
      <c r="AE225" s="93"/>
      <c r="AF225" s="93"/>
      <c r="AG225" s="93"/>
      <c r="AH225" s="93"/>
      <c r="AI225" s="93"/>
    </row>
    <row r="226">
      <c r="A226" s="124">
        <v>45618.722958391205</v>
      </c>
      <c r="B226" s="84" t="s">
        <v>2014</v>
      </c>
      <c r="C226" s="84" t="s">
        <v>2015</v>
      </c>
      <c r="D226" s="78">
        <v>5.1943410618E10</v>
      </c>
      <c r="E226" s="78">
        <v>3.291755E7</v>
      </c>
      <c r="F226" s="84" t="s">
        <v>2016</v>
      </c>
      <c r="G226" s="84" t="s">
        <v>2017</v>
      </c>
      <c r="H226" s="84" t="s">
        <v>1067</v>
      </c>
      <c r="I226" s="84" t="s">
        <v>1068</v>
      </c>
      <c r="J226" s="84" t="s">
        <v>2018</v>
      </c>
      <c r="K226" s="84" t="s">
        <v>1300</v>
      </c>
      <c r="L226" s="84" t="s">
        <v>814</v>
      </c>
      <c r="M226" s="109">
        <v>45627.0</v>
      </c>
      <c r="N226" s="105">
        <v>55.0</v>
      </c>
      <c r="O226" s="87">
        <v>50.0</v>
      </c>
      <c r="P226" s="84" t="s">
        <v>920</v>
      </c>
      <c r="Q226" s="105">
        <v>2.0165009925E10</v>
      </c>
      <c r="R226" s="84" t="s">
        <v>822</v>
      </c>
      <c r="S226" s="115" t="s">
        <v>1453</v>
      </c>
      <c r="T226" s="136">
        <v>45813.0</v>
      </c>
      <c r="U226" s="90"/>
      <c r="V226" s="123"/>
      <c r="W226" s="123"/>
      <c r="X226" s="116">
        <v>249.0</v>
      </c>
      <c r="Y226" s="114">
        <v>45622.0</v>
      </c>
      <c r="Z226" s="123"/>
      <c r="AA226" s="123"/>
      <c r="AB226" s="123"/>
      <c r="AC226" s="123"/>
      <c r="AD226" s="94">
        <f t="shared" si="12"/>
        <v>299</v>
      </c>
      <c r="AE226" s="93"/>
      <c r="AF226" s="93"/>
      <c r="AG226" s="84"/>
      <c r="AH226" s="93"/>
      <c r="AI226" s="93"/>
    </row>
    <row r="227">
      <c r="A227" s="124">
        <v>45622.769011655095</v>
      </c>
      <c r="B227" s="84" t="s">
        <v>2019</v>
      </c>
      <c r="C227" s="84" t="s">
        <v>2020</v>
      </c>
      <c r="D227" s="78">
        <v>5.195729875E10</v>
      </c>
      <c r="E227" s="78">
        <v>7.4861881E7</v>
      </c>
      <c r="F227" s="84" t="s">
        <v>2021</v>
      </c>
      <c r="G227" s="84" t="s">
        <v>2022</v>
      </c>
      <c r="H227" s="84" t="s">
        <v>2023</v>
      </c>
      <c r="I227" s="84" t="s">
        <v>1234</v>
      </c>
      <c r="J227" s="84" t="s">
        <v>899</v>
      </c>
      <c r="K227" s="84" t="s">
        <v>995</v>
      </c>
      <c r="L227" s="84" t="s">
        <v>814</v>
      </c>
      <c r="M227" s="109">
        <v>45627.0</v>
      </c>
      <c r="N227" s="105">
        <v>29.0</v>
      </c>
      <c r="O227" s="87">
        <v>50.0</v>
      </c>
      <c r="P227" s="84" t="s">
        <v>805</v>
      </c>
      <c r="Q227" s="84"/>
      <c r="R227" s="84" t="s">
        <v>1977</v>
      </c>
      <c r="S227" s="115" t="s">
        <v>1453</v>
      </c>
      <c r="T227" s="136">
        <v>45813.0</v>
      </c>
      <c r="U227" s="90"/>
      <c r="V227" s="123"/>
      <c r="W227" s="123"/>
      <c r="X227" s="116">
        <v>299.0</v>
      </c>
      <c r="Y227" s="114">
        <v>45625.0</v>
      </c>
      <c r="Z227" s="123"/>
      <c r="AA227" s="123"/>
      <c r="AB227" s="123"/>
      <c r="AC227" s="123"/>
      <c r="AD227" s="94">
        <f t="shared" si="12"/>
        <v>349</v>
      </c>
      <c r="AE227" s="93"/>
      <c r="AF227" s="93"/>
      <c r="AG227" s="93"/>
      <c r="AH227" s="93"/>
      <c r="AI227" s="93"/>
    </row>
    <row r="228">
      <c r="A228" s="124">
        <v>45623.76382920139</v>
      </c>
      <c r="B228" s="84" t="s">
        <v>2024</v>
      </c>
      <c r="C228" s="84" t="s">
        <v>2025</v>
      </c>
      <c r="D228" s="78">
        <v>5.1930422948E10</v>
      </c>
      <c r="E228" s="78">
        <v>7.7040449E7</v>
      </c>
      <c r="F228" s="84" t="s">
        <v>2026</v>
      </c>
      <c r="G228" s="84" t="s">
        <v>2027</v>
      </c>
      <c r="H228" s="84" t="s">
        <v>2028</v>
      </c>
      <c r="I228" s="84" t="s">
        <v>2029</v>
      </c>
      <c r="J228" s="84" t="s">
        <v>1894</v>
      </c>
      <c r="K228" s="84" t="s">
        <v>2030</v>
      </c>
      <c r="L228" s="84" t="s">
        <v>804</v>
      </c>
      <c r="M228" s="109">
        <v>45614.0</v>
      </c>
      <c r="N228" s="105">
        <v>28.0</v>
      </c>
      <c r="O228" s="87">
        <v>20.0</v>
      </c>
      <c r="P228" s="84" t="s">
        <v>920</v>
      </c>
      <c r="Q228" s="105">
        <v>1.0770404491E10</v>
      </c>
      <c r="R228" s="84" t="s">
        <v>806</v>
      </c>
      <c r="S228" s="115" t="s">
        <v>1453</v>
      </c>
      <c r="T228" s="136">
        <v>45813.0</v>
      </c>
      <c r="U228" s="90"/>
      <c r="V228" s="123"/>
      <c r="W228" s="123"/>
      <c r="X228" s="116">
        <v>130.0</v>
      </c>
      <c r="Y228" s="114">
        <v>45625.0</v>
      </c>
      <c r="Z228" s="116">
        <v>200.0</v>
      </c>
      <c r="AA228" s="114">
        <v>45641.0</v>
      </c>
      <c r="AB228" s="123"/>
      <c r="AC228" s="123"/>
      <c r="AD228" s="94">
        <f t="shared" si="12"/>
        <v>350</v>
      </c>
      <c r="AE228" s="93"/>
      <c r="AF228" s="93"/>
      <c r="AG228" s="93"/>
      <c r="AH228" s="93"/>
      <c r="AI228" s="93"/>
    </row>
    <row r="229">
      <c r="A229" s="113">
        <v>45624.55278755787</v>
      </c>
      <c r="B229" s="84" t="s">
        <v>2031</v>
      </c>
      <c r="C229" s="84" t="s">
        <v>2032</v>
      </c>
      <c r="D229" s="138">
        <v>5.1959715087E10</v>
      </c>
      <c r="E229" s="78">
        <v>4.4218128E7</v>
      </c>
      <c r="F229" s="84" t="s">
        <v>2033</v>
      </c>
      <c r="G229" s="84" t="s">
        <v>2034</v>
      </c>
      <c r="H229" s="84" t="s">
        <v>2035</v>
      </c>
      <c r="I229" s="84" t="s">
        <v>2036</v>
      </c>
      <c r="J229" s="84" t="s">
        <v>867</v>
      </c>
      <c r="K229" s="84" t="s">
        <v>2037</v>
      </c>
      <c r="L229" s="134" t="s">
        <v>884</v>
      </c>
      <c r="M229" s="109">
        <v>45627.0</v>
      </c>
      <c r="N229" s="105">
        <v>43.0</v>
      </c>
      <c r="O229" s="87">
        <v>100.0</v>
      </c>
      <c r="P229" s="84" t="s">
        <v>805</v>
      </c>
      <c r="Q229" s="84"/>
      <c r="R229" s="84" t="s">
        <v>1018</v>
      </c>
      <c r="S229" s="115" t="s">
        <v>1453</v>
      </c>
      <c r="T229" s="136">
        <v>45714.0</v>
      </c>
      <c r="U229" s="90"/>
      <c r="V229" s="123"/>
      <c r="W229" s="123"/>
      <c r="X229" s="87">
        <v>100.0</v>
      </c>
      <c r="Y229" s="114">
        <v>45629.0</v>
      </c>
      <c r="Z229" s="116">
        <v>199.0</v>
      </c>
      <c r="AA229" s="114">
        <v>45633.0</v>
      </c>
      <c r="AB229" s="123"/>
      <c r="AC229" s="123"/>
      <c r="AD229" s="94">
        <f t="shared" si="12"/>
        <v>399</v>
      </c>
      <c r="AE229" s="93"/>
      <c r="AF229" s="93"/>
      <c r="AG229" s="93"/>
      <c r="AH229" s="93"/>
      <c r="AI229" s="93"/>
    </row>
    <row r="230">
      <c r="A230" s="124">
        <v>45624.62323158565</v>
      </c>
      <c r="B230" s="84" t="s">
        <v>2038</v>
      </c>
      <c r="C230" s="84" t="s">
        <v>2039</v>
      </c>
      <c r="D230" s="78">
        <v>5.1960532946E10</v>
      </c>
      <c r="E230" s="78">
        <v>7.2361216E7</v>
      </c>
      <c r="F230" s="84" t="s">
        <v>2040</v>
      </c>
      <c r="G230" s="84" t="s">
        <v>2041</v>
      </c>
      <c r="H230" s="84" t="s">
        <v>2042</v>
      </c>
      <c r="I230" s="84" t="s">
        <v>2008</v>
      </c>
      <c r="J230" s="84" t="s">
        <v>951</v>
      </c>
      <c r="K230" s="84" t="s">
        <v>1447</v>
      </c>
      <c r="L230" s="84" t="s">
        <v>1331</v>
      </c>
      <c r="M230" s="109">
        <v>45627.0</v>
      </c>
      <c r="N230" s="105">
        <v>32.0</v>
      </c>
      <c r="O230" s="87">
        <v>100.0</v>
      </c>
      <c r="P230" s="84" t="s">
        <v>805</v>
      </c>
      <c r="Q230" s="84"/>
      <c r="R230" s="84" t="s">
        <v>806</v>
      </c>
      <c r="S230" s="115" t="s">
        <v>1424</v>
      </c>
      <c r="T230" s="123"/>
      <c r="U230" s="90"/>
      <c r="V230" s="123"/>
      <c r="W230" s="123"/>
      <c r="X230" s="116">
        <v>2699.0</v>
      </c>
      <c r="Y230" s="114">
        <v>45625.0</v>
      </c>
      <c r="Z230" s="123"/>
      <c r="AA230" s="123"/>
      <c r="AB230" s="123"/>
      <c r="AC230" s="123"/>
      <c r="AD230" s="94">
        <f t="shared" si="12"/>
        <v>2799</v>
      </c>
      <c r="AE230" s="93"/>
      <c r="AF230" s="93"/>
      <c r="AG230" s="93"/>
      <c r="AH230" s="93"/>
      <c r="AI230" s="93"/>
    </row>
    <row r="231">
      <c r="A231" s="124">
        <v>45625.608360300925</v>
      </c>
      <c r="B231" s="84" t="s">
        <v>2043</v>
      </c>
      <c r="C231" s="84" t="s">
        <v>2044</v>
      </c>
      <c r="D231" s="78">
        <v>5.1921464906E10</v>
      </c>
      <c r="E231" s="78">
        <v>7.0233721E7</v>
      </c>
      <c r="F231" s="84" t="s">
        <v>2045</v>
      </c>
      <c r="G231" s="84" t="s">
        <v>2046</v>
      </c>
      <c r="H231" s="84" t="s">
        <v>963</v>
      </c>
      <c r="I231" s="84" t="s">
        <v>963</v>
      </c>
      <c r="J231" s="84" t="s">
        <v>964</v>
      </c>
      <c r="K231" s="84" t="s">
        <v>861</v>
      </c>
      <c r="L231" s="84" t="s">
        <v>884</v>
      </c>
      <c r="M231" s="109">
        <v>45627.0</v>
      </c>
      <c r="N231" s="105">
        <v>32.0</v>
      </c>
      <c r="O231" s="87">
        <v>50.0</v>
      </c>
      <c r="P231" s="84" t="s">
        <v>805</v>
      </c>
      <c r="Q231" s="84"/>
      <c r="R231" s="84" t="s">
        <v>806</v>
      </c>
      <c r="S231" s="115" t="s">
        <v>1453</v>
      </c>
      <c r="T231" s="136">
        <v>45813.0</v>
      </c>
      <c r="U231" s="90"/>
      <c r="V231" s="123"/>
      <c r="W231" s="123"/>
      <c r="X231" s="116">
        <v>200.0</v>
      </c>
      <c r="Y231" s="114">
        <v>45627.0</v>
      </c>
      <c r="Z231" s="116">
        <v>200.0</v>
      </c>
      <c r="AA231" s="114">
        <v>45641.0</v>
      </c>
      <c r="AB231" s="123"/>
      <c r="AC231" s="123"/>
      <c r="AD231" s="94">
        <f t="shared" si="12"/>
        <v>450</v>
      </c>
      <c r="AE231" s="93"/>
      <c r="AF231" s="93"/>
      <c r="AG231" s="93"/>
      <c r="AH231" s="93"/>
      <c r="AI231" s="93"/>
    </row>
    <row r="232">
      <c r="A232" s="124">
        <v>45626.45054042824</v>
      </c>
      <c r="B232" s="84" t="s">
        <v>2047</v>
      </c>
      <c r="C232" s="84" t="s">
        <v>2048</v>
      </c>
      <c r="D232" s="78">
        <v>5.1951671912E10</v>
      </c>
      <c r="E232" s="127" t="s">
        <v>2049</v>
      </c>
      <c r="F232" s="84" t="s">
        <v>2050</v>
      </c>
      <c r="G232" s="84" t="s">
        <v>2051</v>
      </c>
      <c r="H232" s="84" t="s">
        <v>1014</v>
      </c>
      <c r="I232" s="84" t="s">
        <v>1015</v>
      </c>
      <c r="J232" s="84" t="s">
        <v>891</v>
      </c>
      <c r="K232" s="84" t="s">
        <v>1154</v>
      </c>
      <c r="L232" s="84" t="s">
        <v>893</v>
      </c>
      <c r="M232" s="109">
        <v>45630.0</v>
      </c>
      <c r="N232" s="105">
        <v>52.0</v>
      </c>
      <c r="O232" s="87">
        <v>290.0</v>
      </c>
      <c r="P232" s="84" t="s">
        <v>805</v>
      </c>
      <c r="Q232" s="84"/>
      <c r="R232" s="84" t="s">
        <v>1977</v>
      </c>
      <c r="S232" s="115" t="s">
        <v>1453</v>
      </c>
      <c r="T232" s="136">
        <v>45813.0</v>
      </c>
      <c r="U232" s="90"/>
      <c r="V232" s="123"/>
      <c r="W232" s="123"/>
      <c r="X232" s="116">
        <v>210.0</v>
      </c>
      <c r="Y232" s="114">
        <v>45626.0</v>
      </c>
      <c r="Z232" s="123"/>
      <c r="AA232" s="123"/>
      <c r="AB232" s="123"/>
      <c r="AC232" s="123"/>
      <c r="AD232" s="94">
        <f t="shared" si="12"/>
        <v>500</v>
      </c>
      <c r="AE232" s="93"/>
      <c r="AF232" s="93"/>
      <c r="AG232" s="93"/>
      <c r="AH232" s="93"/>
      <c r="AI232" s="93"/>
    </row>
    <row r="233">
      <c r="A233" s="89"/>
      <c r="B233" s="84"/>
      <c r="C233" s="84"/>
      <c r="D233" s="84"/>
      <c r="E233" s="84"/>
      <c r="F233" s="84"/>
      <c r="G233" s="84"/>
      <c r="H233" s="84"/>
      <c r="I233" s="84"/>
      <c r="J233" s="84"/>
      <c r="K233" s="84"/>
      <c r="L233" s="84"/>
      <c r="M233" s="123"/>
      <c r="N233" s="84"/>
      <c r="O233" s="84"/>
      <c r="P233" s="84"/>
      <c r="Q233" s="84"/>
      <c r="R233" s="84"/>
      <c r="S233" s="84"/>
      <c r="T233" s="123"/>
      <c r="U233" s="90"/>
      <c r="V233" s="123"/>
      <c r="W233" s="123"/>
      <c r="X233" s="123"/>
      <c r="Y233" s="123"/>
      <c r="Z233" s="123"/>
      <c r="AA233" s="123"/>
      <c r="AB233" s="123"/>
      <c r="AC233" s="123"/>
      <c r="AD233" s="93"/>
      <c r="AE233" s="93"/>
      <c r="AF233" s="93"/>
      <c r="AG233" s="93"/>
      <c r="AH233" s="93"/>
      <c r="AI233" s="93"/>
    </row>
    <row r="234">
      <c r="A234" s="124">
        <v>45574.52442021991</v>
      </c>
      <c r="B234" s="84" t="s">
        <v>2052</v>
      </c>
      <c r="C234" s="84" t="s">
        <v>2053</v>
      </c>
      <c r="D234" s="78">
        <v>5.1947143906E10</v>
      </c>
      <c r="E234" s="78">
        <v>4.5703074E7</v>
      </c>
      <c r="F234" s="84" t="s">
        <v>2054</v>
      </c>
      <c r="G234" s="84" t="s">
        <v>2055</v>
      </c>
      <c r="H234" s="84" t="s">
        <v>1489</v>
      </c>
      <c r="I234" s="84" t="s">
        <v>1124</v>
      </c>
      <c r="J234" s="84" t="s">
        <v>1124</v>
      </c>
      <c r="K234" s="84" t="s">
        <v>2056</v>
      </c>
      <c r="L234" s="84" t="s">
        <v>2057</v>
      </c>
      <c r="M234" s="109">
        <v>45577.0</v>
      </c>
      <c r="N234" s="105">
        <v>35.0</v>
      </c>
      <c r="O234" s="87">
        <v>50.0</v>
      </c>
      <c r="P234" s="84" t="s">
        <v>805</v>
      </c>
      <c r="Q234" s="84"/>
      <c r="R234" s="84" t="s">
        <v>1561</v>
      </c>
      <c r="S234" s="115" t="s">
        <v>1453</v>
      </c>
      <c r="T234" s="136">
        <v>45813.0</v>
      </c>
      <c r="U234" s="90"/>
      <c r="V234" s="123"/>
      <c r="W234" s="123"/>
      <c r="X234" s="141">
        <v>399.0</v>
      </c>
      <c r="Y234" s="114">
        <v>45577.0</v>
      </c>
      <c r="Z234" s="123"/>
      <c r="AA234" s="123"/>
      <c r="AB234" s="123"/>
      <c r="AC234" s="123"/>
      <c r="AD234" s="94">
        <f t="shared" ref="AD234:AD239" si="13">O234+X234+Z234+AB234</f>
        <v>449</v>
      </c>
      <c r="AE234" s="93"/>
      <c r="AF234" s="93"/>
      <c r="AG234" s="93"/>
      <c r="AH234" s="93"/>
      <c r="AI234" s="93"/>
    </row>
    <row r="235">
      <c r="A235" s="113">
        <v>45576.50147811342</v>
      </c>
      <c r="B235" s="84" t="s">
        <v>2058</v>
      </c>
      <c r="C235" s="84" t="s">
        <v>2059</v>
      </c>
      <c r="D235" s="78">
        <v>5.1915084859E10</v>
      </c>
      <c r="E235" s="78">
        <v>3.3598188E7</v>
      </c>
      <c r="F235" s="84" t="s">
        <v>2060</v>
      </c>
      <c r="G235" s="84" t="s">
        <v>2061</v>
      </c>
      <c r="H235" s="84" t="s">
        <v>2062</v>
      </c>
      <c r="I235" s="84" t="s">
        <v>1625</v>
      </c>
      <c r="J235" s="84" t="s">
        <v>912</v>
      </c>
      <c r="K235" s="84" t="s">
        <v>2063</v>
      </c>
      <c r="L235" s="134" t="s">
        <v>848</v>
      </c>
      <c r="M235" s="109">
        <v>45584.0</v>
      </c>
      <c r="N235" s="105">
        <v>50.0</v>
      </c>
      <c r="O235" s="87">
        <v>100.0</v>
      </c>
      <c r="P235" s="84" t="s">
        <v>805</v>
      </c>
      <c r="Q235" s="84"/>
      <c r="R235" s="134" t="s">
        <v>822</v>
      </c>
      <c r="S235" s="115" t="s">
        <v>1453</v>
      </c>
      <c r="T235" s="89"/>
      <c r="U235" s="90"/>
      <c r="V235" s="123"/>
      <c r="W235" s="123"/>
      <c r="X235" s="142">
        <v>900.0</v>
      </c>
      <c r="Y235" s="114">
        <v>45584.0</v>
      </c>
      <c r="Z235" s="141">
        <v>1000.0</v>
      </c>
      <c r="AA235" s="114">
        <v>45607.0</v>
      </c>
      <c r="AB235" s="116">
        <v>1000.0</v>
      </c>
      <c r="AC235" s="114">
        <v>45637.0</v>
      </c>
      <c r="AD235" s="94">
        <f t="shared" si="13"/>
        <v>3000</v>
      </c>
      <c r="AE235" s="93"/>
      <c r="AF235" s="93"/>
      <c r="AG235" s="93"/>
      <c r="AH235" s="93"/>
      <c r="AI235" s="93"/>
    </row>
    <row r="236">
      <c r="A236" s="124">
        <v>45576.738300983794</v>
      </c>
      <c r="B236" s="84" t="s">
        <v>2064</v>
      </c>
      <c r="C236" s="84" t="s">
        <v>2065</v>
      </c>
      <c r="D236" s="78">
        <v>5.199495477E10</v>
      </c>
      <c r="E236" s="127" t="s">
        <v>2066</v>
      </c>
      <c r="F236" s="84" t="s">
        <v>2067</v>
      </c>
      <c r="G236" s="84" t="s">
        <v>2068</v>
      </c>
      <c r="H236" s="84" t="s">
        <v>1949</v>
      </c>
      <c r="I236" s="84" t="s">
        <v>1949</v>
      </c>
      <c r="J236" s="84" t="s">
        <v>1949</v>
      </c>
      <c r="K236" s="84" t="s">
        <v>2063</v>
      </c>
      <c r="L236" s="84" t="s">
        <v>848</v>
      </c>
      <c r="M236" s="109">
        <v>45584.0</v>
      </c>
      <c r="N236" s="105">
        <v>56.0</v>
      </c>
      <c r="O236" s="87">
        <v>100.0</v>
      </c>
      <c r="P236" s="84" t="s">
        <v>805</v>
      </c>
      <c r="Q236" s="84"/>
      <c r="R236" s="84" t="s">
        <v>1830</v>
      </c>
      <c r="S236" s="115" t="s">
        <v>1453</v>
      </c>
      <c r="T236" s="136">
        <v>45813.0</v>
      </c>
      <c r="U236" s="90"/>
      <c r="V236" s="123"/>
      <c r="W236" s="123"/>
      <c r="X236" s="142">
        <v>700.0</v>
      </c>
      <c r="Y236" s="114">
        <v>45577.0</v>
      </c>
      <c r="Z236" s="141">
        <v>800.0</v>
      </c>
      <c r="AA236" s="114">
        <v>45607.0</v>
      </c>
      <c r="AB236" s="116">
        <v>800.0</v>
      </c>
      <c r="AC236" s="114">
        <v>45637.0</v>
      </c>
      <c r="AD236" s="94">
        <f t="shared" si="13"/>
        <v>2400</v>
      </c>
      <c r="AE236" s="93"/>
      <c r="AF236" s="93"/>
      <c r="AG236" s="93"/>
      <c r="AH236" s="93"/>
      <c r="AI236" s="93"/>
    </row>
    <row r="237">
      <c r="A237" s="113">
        <v>45579.664051562504</v>
      </c>
      <c r="B237" s="84" t="s">
        <v>2069</v>
      </c>
      <c r="C237" s="84" t="s">
        <v>2070</v>
      </c>
      <c r="D237" s="78">
        <v>5.1987685355E10</v>
      </c>
      <c r="E237" s="78">
        <v>4.6813379E7</v>
      </c>
      <c r="F237" s="84" t="s">
        <v>2071</v>
      </c>
      <c r="G237" s="84" t="s">
        <v>2072</v>
      </c>
      <c r="H237" s="84" t="s">
        <v>2073</v>
      </c>
      <c r="I237" s="84" t="s">
        <v>2074</v>
      </c>
      <c r="J237" s="84" t="s">
        <v>867</v>
      </c>
      <c r="K237" s="84" t="s">
        <v>847</v>
      </c>
      <c r="L237" s="134" t="s">
        <v>848</v>
      </c>
      <c r="M237" s="109">
        <v>45584.0</v>
      </c>
      <c r="N237" s="105">
        <v>33.0</v>
      </c>
      <c r="O237" s="87">
        <v>1000.0</v>
      </c>
      <c r="P237" s="84" t="s">
        <v>805</v>
      </c>
      <c r="Q237" s="84"/>
      <c r="R237" s="84" t="s">
        <v>822</v>
      </c>
      <c r="S237" s="115" t="s">
        <v>1453</v>
      </c>
      <c r="T237" s="89"/>
      <c r="U237" s="90"/>
      <c r="V237" s="123"/>
      <c r="W237" s="123"/>
      <c r="X237" s="141">
        <v>1000.0</v>
      </c>
      <c r="Y237" s="114">
        <v>45624.0</v>
      </c>
      <c r="Z237" s="141">
        <v>1000.0</v>
      </c>
      <c r="AA237" s="114">
        <v>45654.0</v>
      </c>
      <c r="AB237" s="123"/>
      <c r="AC237" s="123"/>
      <c r="AD237" s="94">
        <f t="shared" si="13"/>
        <v>3000</v>
      </c>
      <c r="AE237" s="93"/>
      <c r="AF237" s="93"/>
      <c r="AG237" s="93"/>
      <c r="AH237" s="93"/>
      <c r="AI237" s="93"/>
    </row>
    <row r="238">
      <c r="A238" s="124">
        <v>45580.5124634838</v>
      </c>
      <c r="B238" s="84" t="s">
        <v>2075</v>
      </c>
      <c r="C238" s="84" t="s">
        <v>2076</v>
      </c>
      <c r="D238" s="78">
        <v>5.1943418089E10</v>
      </c>
      <c r="E238" s="127" t="s">
        <v>2077</v>
      </c>
      <c r="F238" s="84" t="s">
        <v>2078</v>
      </c>
      <c r="G238" s="84" t="s">
        <v>2079</v>
      </c>
      <c r="H238" s="84" t="s">
        <v>1014</v>
      </c>
      <c r="I238" s="84" t="s">
        <v>890</v>
      </c>
      <c r="J238" s="84" t="s">
        <v>891</v>
      </c>
      <c r="K238" s="84" t="s">
        <v>1207</v>
      </c>
      <c r="L238" s="84" t="s">
        <v>848</v>
      </c>
      <c r="M238" s="109">
        <v>45584.0</v>
      </c>
      <c r="N238" s="105">
        <v>67.0</v>
      </c>
      <c r="O238" s="87">
        <v>800.0</v>
      </c>
      <c r="P238" s="84" t="s">
        <v>805</v>
      </c>
      <c r="Q238" s="84"/>
      <c r="R238" s="84" t="s">
        <v>1018</v>
      </c>
      <c r="S238" s="115" t="s">
        <v>1453</v>
      </c>
      <c r="T238" s="136">
        <v>45813.0</v>
      </c>
      <c r="U238" s="90"/>
      <c r="V238" s="123"/>
      <c r="W238" s="123"/>
      <c r="X238" s="141">
        <v>800.0</v>
      </c>
      <c r="Y238" s="114">
        <v>45611.0</v>
      </c>
      <c r="Z238" s="141">
        <v>800.0</v>
      </c>
      <c r="AA238" s="114">
        <v>45641.0</v>
      </c>
      <c r="AB238" s="116">
        <v>800.0</v>
      </c>
      <c r="AC238" s="114">
        <v>45672.0</v>
      </c>
      <c r="AD238" s="94">
        <f t="shared" si="13"/>
        <v>3200</v>
      </c>
      <c r="AE238" s="93"/>
      <c r="AF238" s="93"/>
      <c r="AG238" s="93"/>
      <c r="AH238" s="93"/>
      <c r="AI238" s="93"/>
    </row>
    <row r="239">
      <c r="A239" s="124">
        <v>45589.777407754635</v>
      </c>
      <c r="B239" s="84" t="s">
        <v>2080</v>
      </c>
      <c r="C239" s="84" t="s">
        <v>2081</v>
      </c>
      <c r="D239" s="78">
        <v>5.1906147253E10</v>
      </c>
      <c r="E239" s="78">
        <v>7.4917921E7</v>
      </c>
      <c r="F239" s="84" t="s">
        <v>2082</v>
      </c>
      <c r="G239" s="84" t="s">
        <v>2083</v>
      </c>
      <c r="H239" s="84" t="s">
        <v>1607</v>
      </c>
      <c r="I239" s="84" t="s">
        <v>30</v>
      </c>
      <c r="J239" s="84" t="s">
        <v>30</v>
      </c>
      <c r="K239" s="84" t="s">
        <v>2084</v>
      </c>
      <c r="L239" s="84" t="s">
        <v>804</v>
      </c>
      <c r="M239" s="109">
        <v>45590.0</v>
      </c>
      <c r="N239" s="105">
        <v>26.0</v>
      </c>
      <c r="O239" s="87">
        <v>50.0</v>
      </c>
      <c r="P239" s="84" t="s">
        <v>920</v>
      </c>
      <c r="Q239" s="105">
        <v>1.0749179215E10</v>
      </c>
      <c r="R239" s="84" t="s">
        <v>1977</v>
      </c>
      <c r="S239" s="115" t="s">
        <v>1453</v>
      </c>
      <c r="T239" s="136">
        <v>45813.0</v>
      </c>
      <c r="U239" s="90"/>
      <c r="V239" s="123"/>
      <c r="W239" s="123"/>
      <c r="X239" s="142">
        <v>50.0</v>
      </c>
      <c r="Y239" s="114">
        <v>45590.0</v>
      </c>
      <c r="Z239" s="141">
        <v>199.0</v>
      </c>
      <c r="AA239" s="114">
        <v>45593.0</v>
      </c>
      <c r="AB239" s="123"/>
      <c r="AC239" s="123"/>
      <c r="AD239" s="94">
        <f t="shared" si="13"/>
        <v>299</v>
      </c>
      <c r="AE239" s="93"/>
      <c r="AF239" s="93"/>
      <c r="AG239" s="93"/>
      <c r="AH239" s="93"/>
      <c r="AI239" s="93"/>
    </row>
    <row r="240">
      <c r="A240" s="89"/>
      <c r="B240" s="84"/>
      <c r="C240" s="84"/>
      <c r="D240" s="84"/>
      <c r="E240" s="84"/>
      <c r="F240" s="84"/>
      <c r="G240" s="84"/>
      <c r="H240" s="84"/>
      <c r="I240" s="84"/>
      <c r="J240" s="84"/>
      <c r="K240" s="84"/>
      <c r="L240" s="123"/>
      <c r="M240" s="123"/>
      <c r="N240" s="123"/>
      <c r="O240" s="123"/>
      <c r="P240" s="123"/>
      <c r="Q240" s="123"/>
      <c r="R240" s="123"/>
      <c r="S240" s="123"/>
      <c r="T240" s="123"/>
      <c r="U240" s="90"/>
      <c r="V240" s="123"/>
      <c r="W240" s="123"/>
      <c r="X240" s="123"/>
      <c r="Y240" s="123"/>
      <c r="Z240" s="123"/>
      <c r="AA240" s="123"/>
      <c r="AB240" s="123"/>
      <c r="AC240" s="123"/>
      <c r="AD240" s="93"/>
      <c r="AE240" s="93"/>
      <c r="AF240" s="93"/>
      <c r="AG240" s="93"/>
      <c r="AH240" s="93"/>
      <c r="AI240" s="93"/>
    </row>
    <row r="241">
      <c r="A241" s="89"/>
      <c r="B241" s="84"/>
      <c r="C241" s="84"/>
      <c r="D241" s="84"/>
      <c r="E241" s="84"/>
      <c r="F241" s="84"/>
      <c r="G241" s="84"/>
      <c r="H241" s="84"/>
      <c r="I241" s="84"/>
      <c r="J241" s="84"/>
      <c r="K241" s="84"/>
      <c r="L241" s="123"/>
      <c r="M241" s="123"/>
      <c r="N241" s="123"/>
      <c r="O241" s="123"/>
      <c r="P241" s="123"/>
      <c r="Q241" s="123"/>
      <c r="R241" s="123"/>
      <c r="S241" s="123"/>
      <c r="T241" s="123"/>
      <c r="U241" s="90"/>
      <c r="V241" s="123"/>
      <c r="W241" s="123"/>
      <c r="X241" s="123"/>
      <c r="Y241" s="123"/>
      <c r="Z241" s="123"/>
      <c r="AA241" s="123"/>
      <c r="AB241" s="123"/>
      <c r="AC241" s="123"/>
      <c r="AD241" s="93"/>
      <c r="AE241" s="93"/>
      <c r="AF241" s="93"/>
      <c r="AG241" s="93"/>
      <c r="AH241" s="93"/>
      <c r="AI241" s="93"/>
    </row>
    <row r="242">
      <c r="A242" s="113">
        <v>45541.51318289352</v>
      </c>
      <c r="B242" s="84" t="s">
        <v>2085</v>
      </c>
      <c r="C242" s="84" t="s">
        <v>2086</v>
      </c>
      <c r="D242" s="78">
        <v>5.1998000674E10</v>
      </c>
      <c r="E242" s="78">
        <v>9.98000674E8</v>
      </c>
      <c r="F242" s="84" t="s">
        <v>2087</v>
      </c>
      <c r="G242" s="84" t="s">
        <v>2088</v>
      </c>
      <c r="H242" s="84" t="s">
        <v>1452</v>
      </c>
      <c r="I242" s="84" t="s">
        <v>1416</v>
      </c>
      <c r="J242" s="84" t="s">
        <v>1171</v>
      </c>
      <c r="K242" s="84" t="s">
        <v>1853</v>
      </c>
      <c r="L242" s="134" t="s">
        <v>1331</v>
      </c>
      <c r="M242" s="143">
        <v>45549.0</v>
      </c>
      <c r="N242" s="105">
        <v>46.0</v>
      </c>
      <c r="O242" s="87">
        <f>50+100+400</f>
        <v>550</v>
      </c>
      <c r="P242" s="84" t="s">
        <v>805</v>
      </c>
      <c r="Q242" s="84"/>
      <c r="R242" s="84" t="s">
        <v>1018</v>
      </c>
      <c r="S242" s="115" t="s">
        <v>1424</v>
      </c>
      <c r="T242" s="84"/>
      <c r="U242" s="90"/>
      <c r="V242" s="84"/>
      <c r="W242" s="84"/>
      <c r="X242" s="141">
        <v>900.0</v>
      </c>
      <c r="Y242" s="114">
        <v>45575.0</v>
      </c>
      <c r="Z242" s="141">
        <v>900.0</v>
      </c>
      <c r="AA242" s="114">
        <v>45606.0</v>
      </c>
      <c r="AB242" s="141">
        <v>900.0</v>
      </c>
      <c r="AC242" s="114">
        <v>45636.0</v>
      </c>
      <c r="AD242" s="94">
        <f t="shared" ref="AD242:AD251" si="14">O242+X242+Z242+AB242</f>
        <v>3250</v>
      </c>
      <c r="AE242" s="84"/>
      <c r="AF242" s="84"/>
      <c r="AG242" s="84"/>
      <c r="AH242" s="84"/>
      <c r="AI242" s="84"/>
    </row>
    <row r="243">
      <c r="A243" s="113">
        <v>45541.531231608795</v>
      </c>
      <c r="B243" s="84" t="s">
        <v>2089</v>
      </c>
      <c r="C243" s="84" t="s">
        <v>2090</v>
      </c>
      <c r="D243" s="138">
        <v>5.1968989794E10</v>
      </c>
      <c r="E243" s="78">
        <v>4.6001254E7</v>
      </c>
      <c r="F243" s="84" t="s">
        <v>2091</v>
      </c>
      <c r="G243" s="84" t="s">
        <v>1858</v>
      </c>
      <c r="H243" s="84" t="s">
        <v>1002</v>
      </c>
      <c r="I243" s="84" t="s">
        <v>1858</v>
      </c>
      <c r="J243" s="84" t="s">
        <v>1002</v>
      </c>
      <c r="K243" s="84" t="s">
        <v>1379</v>
      </c>
      <c r="L243" s="134" t="s">
        <v>804</v>
      </c>
      <c r="M243" s="84"/>
      <c r="N243" s="105">
        <v>35.0</v>
      </c>
      <c r="O243" s="87">
        <v>100.0</v>
      </c>
      <c r="P243" s="84" t="s">
        <v>805</v>
      </c>
      <c r="Q243" s="105">
        <v>1.0460012541E10</v>
      </c>
      <c r="R243" s="117" t="s">
        <v>1018</v>
      </c>
      <c r="S243" s="115" t="s">
        <v>1453</v>
      </c>
      <c r="T243" s="136">
        <v>45714.0</v>
      </c>
      <c r="U243" s="90"/>
      <c r="V243" s="84"/>
      <c r="W243" s="84"/>
      <c r="X243" s="141">
        <v>250.0</v>
      </c>
      <c r="Y243" s="114">
        <v>45563.0</v>
      </c>
      <c r="Z243" s="123"/>
      <c r="AA243" s="123"/>
      <c r="AB243" s="123"/>
      <c r="AC243" s="123"/>
      <c r="AD243" s="94">
        <f t="shared" si="14"/>
        <v>350</v>
      </c>
      <c r="AE243" s="93"/>
      <c r="AF243" s="93"/>
      <c r="AG243" s="93"/>
      <c r="AH243" s="93"/>
      <c r="AI243" s="93"/>
    </row>
    <row r="244">
      <c r="A244" s="113">
        <v>45541.57909402778</v>
      </c>
      <c r="B244" s="84" t="s">
        <v>2092</v>
      </c>
      <c r="C244" s="84" t="s">
        <v>2093</v>
      </c>
      <c r="D244" s="78">
        <v>5.1935653947E10</v>
      </c>
      <c r="E244" s="78">
        <v>7.1318041E7</v>
      </c>
      <c r="F244" s="84" t="s">
        <v>2094</v>
      </c>
      <c r="G244" s="84" t="s">
        <v>2095</v>
      </c>
      <c r="H244" s="84" t="s">
        <v>2096</v>
      </c>
      <c r="I244" s="84" t="s">
        <v>944</v>
      </c>
      <c r="J244" s="84" t="s">
        <v>905</v>
      </c>
      <c r="K244" s="84" t="s">
        <v>906</v>
      </c>
      <c r="L244" s="134" t="s">
        <v>814</v>
      </c>
      <c r="M244" s="84"/>
      <c r="N244" s="105">
        <v>22.0</v>
      </c>
      <c r="O244" s="87">
        <v>100.0</v>
      </c>
      <c r="P244" s="84" t="s">
        <v>805</v>
      </c>
      <c r="Q244" s="84"/>
      <c r="R244" s="117" t="s">
        <v>1018</v>
      </c>
      <c r="S244" s="115" t="s">
        <v>1453</v>
      </c>
      <c r="T244" s="136">
        <v>45714.0</v>
      </c>
      <c r="U244" s="90"/>
      <c r="V244" s="84"/>
      <c r="W244" s="84"/>
      <c r="X244" s="141">
        <v>329.0</v>
      </c>
      <c r="Y244" s="114">
        <v>45565.0</v>
      </c>
      <c r="Z244" s="123"/>
      <c r="AA244" s="123"/>
      <c r="AB244" s="123"/>
      <c r="AC244" s="123"/>
      <c r="AD244" s="94">
        <f t="shared" si="14"/>
        <v>429</v>
      </c>
      <c r="AE244" s="93"/>
      <c r="AF244" s="93"/>
      <c r="AG244" s="93"/>
      <c r="AH244" s="93"/>
      <c r="AI244" s="93"/>
    </row>
    <row r="245">
      <c r="A245" s="144">
        <v>45545.78535986111</v>
      </c>
      <c r="B245" s="84" t="s">
        <v>369</v>
      </c>
      <c r="C245" s="84" t="s">
        <v>2097</v>
      </c>
      <c r="D245" s="78">
        <v>5.1993926399E10</v>
      </c>
      <c r="E245" s="78">
        <v>2.231304E7</v>
      </c>
      <c r="F245" s="84" t="s">
        <v>2098</v>
      </c>
      <c r="G245" s="84" t="s">
        <v>2099</v>
      </c>
      <c r="H245" s="84" t="s">
        <v>2100</v>
      </c>
      <c r="I245" s="84" t="s">
        <v>2101</v>
      </c>
      <c r="J245" s="84" t="s">
        <v>812</v>
      </c>
      <c r="K245" s="84" t="s">
        <v>2102</v>
      </c>
      <c r="L245" s="84" t="s">
        <v>884</v>
      </c>
      <c r="M245" s="84"/>
      <c r="N245" s="145">
        <v>46.0</v>
      </c>
      <c r="O245" s="87">
        <v>50.0</v>
      </c>
      <c r="P245" s="146" t="s">
        <v>805</v>
      </c>
      <c r="Q245" s="84"/>
      <c r="R245" s="134" t="s">
        <v>822</v>
      </c>
      <c r="S245" s="115" t="s">
        <v>1453</v>
      </c>
      <c r="T245" s="136">
        <v>45813.0</v>
      </c>
      <c r="U245" s="90"/>
      <c r="V245" s="84"/>
      <c r="W245" s="84"/>
      <c r="X245" s="141">
        <v>349.0</v>
      </c>
      <c r="Y245" s="114">
        <v>45684.0</v>
      </c>
      <c r="Z245" s="123"/>
      <c r="AA245" s="123"/>
      <c r="AB245" s="123"/>
      <c r="AC245" s="123"/>
      <c r="AD245" s="94">
        <f t="shared" si="14"/>
        <v>399</v>
      </c>
      <c r="AE245" s="93"/>
      <c r="AF245" s="93"/>
      <c r="AG245" s="93"/>
      <c r="AH245" s="93"/>
      <c r="AI245" s="93"/>
    </row>
    <row r="246">
      <c r="A246" s="124">
        <v>45547.750530590274</v>
      </c>
      <c r="B246" s="84" t="s">
        <v>631</v>
      </c>
      <c r="C246" s="84" t="s">
        <v>2103</v>
      </c>
      <c r="D246" s="78">
        <v>5.1987244735E10</v>
      </c>
      <c r="E246" s="78">
        <v>4.1046209E7</v>
      </c>
      <c r="F246" s="84" t="s">
        <v>2104</v>
      </c>
      <c r="G246" s="84" t="s">
        <v>2105</v>
      </c>
      <c r="H246" s="84" t="s">
        <v>2106</v>
      </c>
      <c r="I246" s="84" t="s">
        <v>30</v>
      </c>
      <c r="J246" s="84" t="s">
        <v>1124</v>
      </c>
      <c r="K246" s="84" t="s">
        <v>2107</v>
      </c>
      <c r="L246" s="84" t="s">
        <v>1972</v>
      </c>
      <c r="M246" s="109">
        <v>45547.0</v>
      </c>
      <c r="N246" s="105">
        <v>41.0</v>
      </c>
      <c r="O246" s="87">
        <v>350.0</v>
      </c>
      <c r="P246" s="84" t="s">
        <v>805</v>
      </c>
      <c r="Q246" s="84"/>
      <c r="R246" s="84" t="s">
        <v>1018</v>
      </c>
      <c r="S246" s="115" t="s">
        <v>1453</v>
      </c>
      <c r="T246" s="136">
        <v>45813.0</v>
      </c>
      <c r="U246" s="90"/>
      <c r="V246" s="84"/>
      <c r="W246" s="84"/>
      <c r="X246" s="141">
        <v>300.0</v>
      </c>
      <c r="Y246" s="114">
        <v>45565.0</v>
      </c>
      <c r="Z246" s="123"/>
      <c r="AA246" s="123"/>
      <c r="AB246" s="123"/>
      <c r="AC246" s="123"/>
      <c r="AD246" s="94">
        <f t="shared" si="14"/>
        <v>650</v>
      </c>
      <c r="AE246" s="93"/>
      <c r="AF246" s="93"/>
      <c r="AG246" s="93"/>
      <c r="AH246" s="93"/>
      <c r="AI246" s="93"/>
    </row>
    <row r="247">
      <c r="A247" s="113">
        <v>45547.77326991898</v>
      </c>
      <c r="B247" s="84" t="s">
        <v>2108</v>
      </c>
      <c r="C247" s="84" t="s">
        <v>2109</v>
      </c>
      <c r="D247" s="78">
        <v>5.1935457863E10</v>
      </c>
      <c r="E247" s="127" t="s">
        <v>2110</v>
      </c>
      <c r="F247" s="84" t="s">
        <v>2111</v>
      </c>
      <c r="G247" s="84" t="s">
        <v>2112</v>
      </c>
      <c r="H247" s="84" t="s">
        <v>844</v>
      </c>
      <c r="I247" s="84" t="s">
        <v>845</v>
      </c>
      <c r="J247" s="84" t="s">
        <v>846</v>
      </c>
      <c r="K247" s="84" t="s">
        <v>847</v>
      </c>
      <c r="L247" s="134" t="s">
        <v>848</v>
      </c>
      <c r="M247" s="109">
        <v>45549.0</v>
      </c>
      <c r="N247" s="105">
        <v>66.0</v>
      </c>
      <c r="O247" s="87">
        <v>300.0</v>
      </c>
      <c r="P247" s="84" t="s">
        <v>805</v>
      </c>
      <c r="Q247" s="84"/>
      <c r="R247" s="117" t="s">
        <v>1018</v>
      </c>
      <c r="S247" s="115" t="s">
        <v>1453</v>
      </c>
      <c r="T247" s="136">
        <v>45714.0</v>
      </c>
      <c r="U247" s="90"/>
      <c r="V247" s="84"/>
      <c r="W247" s="84"/>
      <c r="X247" s="142">
        <v>500.0</v>
      </c>
      <c r="Y247" s="114">
        <v>45558.0</v>
      </c>
      <c r="Z247" s="141">
        <v>400.0</v>
      </c>
      <c r="AA247" s="114">
        <v>45559.0</v>
      </c>
      <c r="AB247" s="141">
        <v>1600.0</v>
      </c>
      <c r="AC247" s="78" t="s">
        <v>2113</v>
      </c>
      <c r="AD247" s="94">
        <f t="shared" si="14"/>
        <v>2800</v>
      </c>
      <c r="AE247" s="93"/>
      <c r="AF247" s="93"/>
      <c r="AG247" s="93"/>
      <c r="AH247" s="93"/>
      <c r="AI247" s="93"/>
    </row>
    <row r="248">
      <c r="A248" s="124">
        <v>45549.45605732639</v>
      </c>
      <c r="B248" s="84" t="s">
        <v>2114</v>
      </c>
      <c r="C248" s="84" t="s">
        <v>2115</v>
      </c>
      <c r="D248" s="78">
        <v>5.1945157241E10</v>
      </c>
      <c r="E248" s="78">
        <v>4.0158048E7</v>
      </c>
      <c r="F248" s="84" t="s">
        <v>2116</v>
      </c>
      <c r="G248" s="84" t="s">
        <v>2117</v>
      </c>
      <c r="H248" s="84" t="s">
        <v>1452</v>
      </c>
      <c r="I248" s="84" t="s">
        <v>1452</v>
      </c>
      <c r="J248" s="84" t="s">
        <v>1009</v>
      </c>
      <c r="K248" s="84" t="s">
        <v>2118</v>
      </c>
      <c r="L248" s="84" t="s">
        <v>848</v>
      </c>
      <c r="M248" s="109">
        <v>45549.0</v>
      </c>
      <c r="N248" s="105">
        <v>40.0</v>
      </c>
      <c r="O248" s="87">
        <v>200.0</v>
      </c>
      <c r="P248" s="84" t="s">
        <v>920</v>
      </c>
      <c r="Q248" s="84"/>
      <c r="R248" s="84" t="s">
        <v>988</v>
      </c>
      <c r="S248" s="115" t="s">
        <v>1453</v>
      </c>
      <c r="T248" s="136">
        <v>45813.0</v>
      </c>
      <c r="U248" s="90"/>
      <c r="V248" s="84"/>
      <c r="W248" s="84" t="s">
        <v>2119</v>
      </c>
      <c r="X248" s="141">
        <v>800.0</v>
      </c>
      <c r="Y248" s="114">
        <v>45595.0</v>
      </c>
      <c r="Z248" s="141">
        <v>1000.0</v>
      </c>
      <c r="AA248" s="114">
        <v>45595.0</v>
      </c>
      <c r="AB248" s="141">
        <v>1000.0</v>
      </c>
      <c r="AC248" s="114">
        <v>45626.0</v>
      </c>
      <c r="AD248" s="94">
        <f t="shared" si="14"/>
        <v>3000</v>
      </c>
      <c r="AE248" s="93"/>
      <c r="AF248" s="93"/>
      <c r="AG248" s="93"/>
      <c r="AH248" s="93"/>
      <c r="AI248" s="93"/>
    </row>
    <row r="249">
      <c r="A249" s="124">
        <v>45549.53583826389</v>
      </c>
      <c r="B249" s="84" t="s">
        <v>2120</v>
      </c>
      <c r="C249" s="84" t="s">
        <v>2121</v>
      </c>
      <c r="D249" s="78">
        <v>5.1949304691E10</v>
      </c>
      <c r="E249" s="78">
        <v>7.2811568E7</v>
      </c>
      <c r="F249" s="84" t="s">
        <v>2122</v>
      </c>
      <c r="G249" s="84" t="s">
        <v>2123</v>
      </c>
      <c r="H249" s="84" t="s">
        <v>2124</v>
      </c>
      <c r="I249" s="84" t="s">
        <v>2124</v>
      </c>
      <c r="J249" s="84" t="s">
        <v>812</v>
      </c>
      <c r="K249" s="84" t="s">
        <v>980</v>
      </c>
      <c r="L249" s="84" t="s">
        <v>848</v>
      </c>
      <c r="M249" s="109">
        <v>45549.0</v>
      </c>
      <c r="N249" s="105">
        <v>25.0</v>
      </c>
      <c r="O249" s="87">
        <v>1800.0</v>
      </c>
      <c r="P249" s="84" t="s">
        <v>805</v>
      </c>
      <c r="Q249" s="84"/>
      <c r="R249" s="84" t="s">
        <v>988</v>
      </c>
      <c r="S249" s="115" t="s">
        <v>1453</v>
      </c>
      <c r="T249" s="136">
        <v>45813.0</v>
      </c>
      <c r="U249" s="90"/>
      <c r="V249" s="84"/>
      <c r="W249" s="84"/>
      <c r="X249" s="141">
        <v>1000.0</v>
      </c>
      <c r="Y249" s="114">
        <v>45562.0</v>
      </c>
      <c r="Z249" s="123"/>
      <c r="AA249" s="123"/>
      <c r="AB249" s="123"/>
      <c r="AC249" s="123"/>
      <c r="AD249" s="94">
        <f t="shared" si="14"/>
        <v>2800</v>
      </c>
      <c r="AE249" s="93"/>
      <c r="AF249" s="93"/>
      <c r="AG249" s="93"/>
      <c r="AH249" s="93"/>
      <c r="AI249" s="93"/>
    </row>
    <row r="250">
      <c r="A250" s="124">
        <v>45556.39561668981</v>
      </c>
      <c r="B250" s="84" t="s">
        <v>2125</v>
      </c>
      <c r="C250" s="84" t="s">
        <v>2126</v>
      </c>
      <c r="D250" s="78">
        <v>5.1925419648E10</v>
      </c>
      <c r="E250" s="78">
        <v>7.3509356E7</v>
      </c>
      <c r="F250" s="84" t="s">
        <v>2127</v>
      </c>
      <c r="G250" s="84" t="s">
        <v>2128</v>
      </c>
      <c r="H250" s="84" t="s">
        <v>1249</v>
      </c>
      <c r="I250" s="84" t="s">
        <v>1249</v>
      </c>
      <c r="J250" s="84" t="s">
        <v>1565</v>
      </c>
      <c r="K250" s="84" t="s">
        <v>2129</v>
      </c>
      <c r="L250" s="84" t="s">
        <v>814</v>
      </c>
      <c r="M250" s="109">
        <v>45557.0</v>
      </c>
      <c r="N250" s="105">
        <v>27.0</v>
      </c>
      <c r="O250" s="87">
        <v>50.0</v>
      </c>
      <c r="P250" s="84" t="s">
        <v>805</v>
      </c>
      <c r="Q250" s="105">
        <v>7.3509356E7</v>
      </c>
      <c r="R250" s="117" t="s">
        <v>1830</v>
      </c>
      <c r="S250" s="115" t="s">
        <v>1453</v>
      </c>
      <c r="T250" s="136">
        <v>45813.0</v>
      </c>
      <c r="U250" s="90"/>
      <c r="V250" s="84"/>
      <c r="W250" s="84"/>
      <c r="X250" s="141">
        <v>349.0</v>
      </c>
      <c r="Y250" s="114">
        <v>45565.0</v>
      </c>
      <c r="Z250" s="123"/>
      <c r="AA250" s="123"/>
      <c r="AB250" s="123"/>
      <c r="AC250" s="123"/>
      <c r="AD250" s="94">
        <f t="shared" si="14"/>
        <v>399</v>
      </c>
      <c r="AE250" s="93"/>
      <c r="AF250" s="93"/>
      <c r="AG250" s="93"/>
      <c r="AH250" s="93"/>
      <c r="AI250" s="93"/>
    </row>
    <row r="251">
      <c r="A251" s="113">
        <v>45558.43516407408</v>
      </c>
      <c r="B251" s="84" t="s">
        <v>2130</v>
      </c>
      <c r="C251" s="84" t="s">
        <v>2131</v>
      </c>
      <c r="D251" s="78">
        <v>5.1939223724E10</v>
      </c>
      <c r="E251" s="78">
        <v>7.1228995E7</v>
      </c>
      <c r="F251" s="84" t="s">
        <v>2132</v>
      </c>
      <c r="G251" s="84" t="s">
        <v>2133</v>
      </c>
      <c r="H251" s="84" t="s">
        <v>2134</v>
      </c>
      <c r="I251" s="84" t="s">
        <v>1773</v>
      </c>
      <c r="J251" s="84" t="s">
        <v>1130</v>
      </c>
      <c r="K251" s="84" t="s">
        <v>847</v>
      </c>
      <c r="L251" s="134" t="s">
        <v>848</v>
      </c>
      <c r="M251" s="109">
        <v>45557.0</v>
      </c>
      <c r="N251" s="105">
        <v>26.0</v>
      </c>
      <c r="O251" s="87">
        <v>1500.0</v>
      </c>
      <c r="P251" s="84" t="s">
        <v>805</v>
      </c>
      <c r="Q251" s="84"/>
      <c r="R251" s="117" t="s">
        <v>1018</v>
      </c>
      <c r="S251" s="115" t="s">
        <v>1453</v>
      </c>
      <c r="T251" s="107">
        <v>45744.0</v>
      </c>
      <c r="U251" s="90"/>
      <c r="V251" s="84"/>
      <c r="W251" s="84"/>
      <c r="X251" s="142">
        <v>500.0</v>
      </c>
      <c r="Y251" s="114">
        <v>45593.0</v>
      </c>
      <c r="Z251" s="141">
        <v>500.0</v>
      </c>
      <c r="AA251" s="114">
        <v>45596.0</v>
      </c>
      <c r="AB251" s="123"/>
      <c r="AC251" s="123"/>
      <c r="AD251" s="94">
        <f t="shared" si="14"/>
        <v>2500</v>
      </c>
      <c r="AE251" s="93"/>
      <c r="AF251" s="93"/>
      <c r="AG251" s="93"/>
      <c r="AH251" s="93"/>
      <c r="AI251" s="93"/>
    </row>
    <row r="252">
      <c r="A252" s="89"/>
      <c r="B252" s="84"/>
      <c r="C252" s="84"/>
      <c r="D252" s="84"/>
      <c r="E252" s="84"/>
      <c r="F252" s="84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90"/>
      <c r="V252" s="84"/>
      <c r="W252" s="84"/>
      <c r="X252" s="84"/>
      <c r="Y252" s="123"/>
      <c r="Z252" s="123"/>
      <c r="AA252" s="123"/>
      <c r="AB252" s="123"/>
      <c r="AC252" s="123"/>
      <c r="AD252" s="93"/>
      <c r="AE252" s="93"/>
      <c r="AF252" s="93"/>
      <c r="AG252" s="93"/>
      <c r="AH252" s="93"/>
      <c r="AI252" s="93"/>
    </row>
    <row r="253">
      <c r="A253" s="113">
        <v>45505.78010875</v>
      </c>
      <c r="B253" s="84" t="s">
        <v>556</v>
      </c>
      <c r="C253" s="84" t="s">
        <v>2135</v>
      </c>
      <c r="D253" s="78">
        <v>5.1941296294E10</v>
      </c>
      <c r="E253" s="78">
        <v>7.0457369E7</v>
      </c>
      <c r="F253" s="84" t="s">
        <v>2136</v>
      </c>
      <c r="G253" s="84" t="s">
        <v>2137</v>
      </c>
      <c r="H253" s="84" t="s">
        <v>2138</v>
      </c>
      <c r="I253" s="84" t="s">
        <v>2074</v>
      </c>
      <c r="J253" s="84" t="s">
        <v>938</v>
      </c>
      <c r="K253" s="84" t="s">
        <v>2139</v>
      </c>
      <c r="L253" s="134" t="s">
        <v>814</v>
      </c>
      <c r="M253" s="84"/>
      <c r="N253" s="105">
        <v>33.0</v>
      </c>
      <c r="O253" s="142">
        <v>50.0</v>
      </c>
      <c r="P253" s="84" t="s">
        <v>805</v>
      </c>
      <c r="Q253" s="84"/>
      <c r="R253" s="117" t="s">
        <v>822</v>
      </c>
      <c r="S253" s="115" t="s">
        <v>1453</v>
      </c>
      <c r="T253" s="89"/>
      <c r="U253" s="90"/>
      <c r="V253" s="84"/>
      <c r="W253" s="84"/>
      <c r="X253" s="141">
        <v>200.0</v>
      </c>
      <c r="Y253" s="114">
        <v>45509.0</v>
      </c>
      <c r="Z253" s="141">
        <v>149.0</v>
      </c>
      <c r="AA253" s="114">
        <v>45519.0</v>
      </c>
      <c r="AB253" s="123"/>
      <c r="AC253" s="123"/>
      <c r="AD253" s="94">
        <f t="shared" ref="AD253:AD263" si="15">O253+X253+Z253+AB253</f>
        <v>399</v>
      </c>
      <c r="AE253" s="93"/>
      <c r="AF253" s="93"/>
      <c r="AG253" s="93"/>
      <c r="AH253" s="93"/>
      <c r="AI253" s="93"/>
    </row>
    <row r="254">
      <c r="A254" s="113">
        <v>45509.774689224534</v>
      </c>
      <c r="B254" s="84" t="s">
        <v>2140</v>
      </c>
      <c r="C254" s="84" t="s">
        <v>2141</v>
      </c>
      <c r="D254" s="78">
        <v>5.1978070696E10</v>
      </c>
      <c r="E254" s="78">
        <v>4.7582164E7</v>
      </c>
      <c r="F254" s="84" t="s">
        <v>2142</v>
      </c>
      <c r="G254" s="84" t="s">
        <v>2143</v>
      </c>
      <c r="H254" s="84" t="s">
        <v>2144</v>
      </c>
      <c r="I254" s="84" t="s">
        <v>1068</v>
      </c>
      <c r="J254" s="84" t="s">
        <v>2018</v>
      </c>
      <c r="K254" s="84" t="s">
        <v>1571</v>
      </c>
      <c r="L254" s="134" t="s">
        <v>884</v>
      </c>
      <c r="M254" s="84"/>
      <c r="N254" s="105">
        <v>33.0</v>
      </c>
      <c r="O254" s="142">
        <v>100.0</v>
      </c>
      <c r="P254" s="84" t="s">
        <v>805</v>
      </c>
      <c r="Q254" s="84"/>
      <c r="R254" s="84" t="s">
        <v>806</v>
      </c>
      <c r="S254" s="115" t="s">
        <v>1453</v>
      </c>
      <c r="T254" s="89"/>
      <c r="U254" s="90"/>
      <c r="V254" s="84"/>
      <c r="W254" s="84"/>
      <c r="X254" s="141">
        <v>350.0</v>
      </c>
      <c r="Y254" s="114">
        <v>45510.0</v>
      </c>
      <c r="Z254" s="123"/>
      <c r="AA254" s="123"/>
      <c r="AB254" s="123"/>
      <c r="AC254" s="123"/>
      <c r="AD254" s="94">
        <f t="shared" si="15"/>
        <v>450</v>
      </c>
      <c r="AE254" s="93"/>
      <c r="AF254" s="93"/>
      <c r="AG254" s="93"/>
      <c r="AH254" s="93"/>
      <c r="AI254" s="93"/>
    </row>
    <row r="255">
      <c r="A255" s="124">
        <v>45513.90739079861</v>
      </c>
      <c r="B255" s="84" t="s">
        <v>2145</v>
      </c>
      <c r="C255" s="84" t="s">
        <v>2146</v>
      </c>
      <c r="D255" s="78">
        <v>5.1962291228E10</v>
      </c>
      <c r="E255" s="127" t="s">
        <v>2147</v>
      </c>
      <c r="F255" s="84" t="s">
        <v>2148</v>
      </c>
      <c r="G255" s="84" t="s">
        <v>2149</v>
      </c>
      <c r="H255" s="84" t="s">
        <v>2150</v>
      </c>
      <c r="I255" s="84" t="s">
        <v>30</v>
      </c>
      <c r="J255" s="84" t="s">
        <v>30</v>
      </c>
      <c r="K255" s="84" t="s">
        <v>1670</v>
      </c>
      <c r="L255" s="84" t="s">
        <v>1758</v>
      </c>
      <c r="M255" s="84"/>
      <c r="N255" s="105">
        <v>49.0</v>
      </c>
      <c r="O255" s="142">
        <v>200.0</v>
      </c>
      <c r="P255" s="84" t="s">
        <v>805</v>
      </c>
      <c r="Q255" s="84"/>
      <c r="R255" s="84" t="s">
        <v>988</v>
      </c>
      <c r="S255" s="115" t="s">
        <v>1453</v>
      </c>
      <c r="T255" s="136">
        <v>45813.0</v>
      </c>
      <c r="U255" s="90"/>
      <c r="V255" s="84"/>
      <c r="W255" s="84"/>
      <c r="X255" s="141">
        <v>299.0</v>
      </c>
      <c r="Y255" s="114">
        <v>45531.0</v>
      </c>
      <c r="Z255" s="123"/>
      <c r="AA255" s="123"/>
      <c r="AB255" s="123"/>
      <c r="AC255" s="123"/>
      <c r="AD255" s="94">
        <f t="shared" si="15"/>
        <v>499</v>
      </c>
      <c r="AE255" s="93"/>
      <c r="AF255" s="93"/>
      <c r="AG255" s="93"/>
      <c r="AH255" s="93"/>
      <c r="AI255" s="93"/>
    </row>
    <row r="256">
      <c r="A256" s="124">
        <v>45517.42060221065</v>
      </c>
      <c r="B256" s="84" t="s">
        <v>2151</v>
      </c>
      <c r="C256" s="84" t="s">
        <v>2152</v>
      </c>
      <c r="D256" s="78">
        <v>5.1994073168E10</v>
      </c>
      <c r="E256" s="78">
        <v>4.5531542E7</v>
      </c>
      <c r="F256" s="84" t="s">
        <v>2153</v>
      </c>
      <c r="G256" s="84" t="s">
        <v>2154</v>
      </c>
      <c r="H256" s="84" t="s">
        <v>2155</v>
      </c>
      <c r="I256" s="84" t="s">
        <v>30</v>
      </c>
      <c r="J256" s="84" t="s">
        <v>30</v>
      </c>
      <c r="K256" s="84" t="s">
        <v>1956</v>
      </c>
      <c r="L256" s="84" t="s">
        <v>804</v>
      </c>
      <c r="M256" s="84"/>
      <c r="N256" s="105">
        <v>45.0</v>
      </c>
      <c r="O256" s="142">
        <v>100.0</v>
      </c>
      <c r="P256" s="84" t="s">
        <v>920</v>
      </c>
      <c r="Q256" s="105">
        <v>2.060040134311E12</v>
      </c>
      <c r="R256" s="117" t="s">
        <v>1018</v>
      </c>
      <c r="S256" s="115" t="s">
        <v>1453</v>
      </c>
      <c r="T256" s="136">
        <v>45813.0</v>
      </c>
      <c r="U256" s="90"/>
      <c r="V256" s="84"/>
      <c r="W256" s="84"/>
      <c r="X256" s="141">
        <v>299.0</v>
      </c>
      <c r="Y256" s="114">
        <v>45527.0</v>
      </c>
      <c r="Z256" s="123"/>
      <c r="AA256" s="123"/>
      <c r="AB256" s="123"/>
      <c r="AC256" s="123"/>
      <c r="AD256" s="94">
        <f t="shared" si="15"/>
        <v>399</v>
      </c>
      <c r="AE256" s="93"/>
      <c r="AF256" s="93"/>
      <c r="AG256" s="93"/>
      <c r="AH256" s="93"/>
      <c r="AI256" s="93"/>
    </row>
    <row r="257">
      <c r="A257" s="124">
        <v>45519.51365878472</v>
      </c>
      <c r="B257" s="84" t="s">
        <v>2156</v>
      </c>
      <c r="C257" s="84" t="s">
        <v>2157</v>
      </c>
      <c r="D257" s="78">
        <v>5.1920438699E10</v>
      </c>
      <c r="E257" s="78">
        <v>7.0410917E7</v>
      </c>
      <c r="F257" s="84" t="s">
        <v>2158</v>
      </c>
      <c r="G257" s="84" t="s">
        <v>2159</v>
      </c>
      <c r="H257" s="84" t="s">
        <v>2160</v>
      </c>
      <c r="I257" s="84" t="s">
        <v>30</v>
      </c>
      <c r="J257" s="84" t="s">
        <v>1124</v>
      </c>
      <c r="K257" s="84" t="s">
        <v>995</v>
      </c>
      <c r="L257" s="84" t="s">
        <v>884</v>
      </c>
      <c r="M257" s="84"/>
      <c r="N257" s="105">
        <v>30.0</v>
      </c>
      <c r="O257" s="142">
        <v>250.0</v>
      </c>
      <c r="P257" s="84" t="s">
        <v>805</v>
      </c>
      <c r="Q257" s="84"/>
      <c r="R257" s="84" t="s">
        <v>1018</v>
      </c>
      <c r="S257" s="115" t="s">
        <v>1453</v>
      </c>
      <c r="T257" s="136">
        <v>45813.0</v>
      </c>
      <c r="U257" s="90"/>
      <c r="V257" s="84"/>
      <c r="W257" s="84"/>
      <c r="X257" s="142">
        <v>50.0</v>
      </c>
      <c r="Y257" s="114">
        <v>45530.0</v>
      </c>
      <c r="Z257" s="141">
        <v>149.0</v>
      </c>
      <c r="AA257" s="114">
        <v>45542.0</v>
      </c>
      <c r="AB257" s="123"/>
      <c r="AC257" s="123"/>
      <c r="AD257" s="94">
        <f t="shared" si="15"/>
        <v>449</v>
      </c>
      <c r="AE257" s="93"/>
      <c r="AF257" s="93"/>
      <c r="AG257" s="93"/>
      <c r="AH257" s="93"/>
      <c r="AI257" s="93"/>
    </row>
    <row r="258">
      <c r="A258" s="113">
        <v>45519.750836990745</v>
      </c>
      <c r="B258" s="84" t="s">
        <v>2161</v>
      </c>
      <c r="C258" s="84" t="s">
        <v>2162</v>
      </c>
      <c r="D258" s="78">
        <v>5.1943462103E10</v>
      </c>
      <c r="E258" s="78">
        <v>7.6645448E7</v>
      </c>
      <c r="F258" s="84" t="s">
        <v>2163</v>
      </c>
      <c r="G258" s="84" t="s">
        <v>2164</v>
      </c>
      <c r="H258" s="84" t="s">
        <v>2165</v>
      </c>
      <c r="I258" s="84" t="s">
        <v>2166</v>
      </c>
      <c r="J258" s="84" t="s">
        <v>30</v>
      </c>
      <c r="K258" s="84" t="s">
        <v>847</v>
      </c>
      <c r="L258" s="134" t="s">
        <v>848</v>
      </c>
      <c r="M258" s="84"/>
      <c r="N258" s="105">
        <v>23.0</v>
      </c>
      <c r="O258" s="142">
        <v>500.0</v>
      </c>
      <c r="P258" s="84" t="s">
        <v>805</v>
      </c>
      <c r="Q258" s="84"/>
      <c r="R258" s="84" t="s">
        <v>822</v>
      </c>
      <c r="S258" s="115" t="s">
        <v>1453</v>
      </c>
      <c r="T258" s="89"/>
      <c r="U258" s="90"/>
      <c r="V258" s="84"/>
      <c r="W258" s="84"/>
      <c r="X258" s="141">
        <v>1150.0</v>
      </c>
      <c r="Y258" s="114">
        <v>45565.0</v>
      </c>
      <c r="Z258" s="141">
        <v>1149.0</v>
      </c>
      <c r="AA258" s="114">
        <v>45595.0</v>
      </c>
      <c r="AB258" s="123"/>
      <c r="AC258" s="123"/>
      <c r="AD258" s="94">
        <f t="shared" si="15"/>
        <v>2799</v>
      </c>
      <c r="AE258" s="93"/>
      <c r="AF258" s="93"/>
      <c r="AG258" s="93"/>
      <c r="AH258" s="93"/>
      <c r="AI258" s="93"/>
    </row>
    <row r="259">
      <c r="A259" s="124">
        <v>45524.62835370371</v>
      </c>
      <c r="B259" s="84" t="s">
        <v>2167</v>
      </c>
      <c r="C259" s="84" t="s">
        <v>2168</v>
      </c>
      <c r="D259" s="78">
        <v>5.1908508048E10</v>
      </c>
      <c r="E259" s="78">
        <v>7.0034226E7</v>
      </c>
      <c r="F259" s="84" t="s">
        <v>2169</v>
      </c>
      <c r="G259" s="84" t="s">
        <v>2170</v>
      </c>
      <c r="H259" s="84" t="s">
        <v>2171</v>
      </c>
      <c r="I259" s="84" t="s">
        <v>873</v>
      </c>
      <c r="J259" s="84" t="s">
        <v>874</v>
      </c>
      <c r="K259" s="84" t="s">
        <v>2172</v>
      </c>
      <c r="L259" s="84" t="s">
        <v>1331</v>
      </c>
      <c r="M259" s="84"/>
      <c r="N259" s="105">
        <v>28.0</v>
      </c>
      <c r="O259" s="142">
        <v>100.0</v>
      </c>
      <c r="P259" s="84" t="s">
        <v>805</v>
      </c>
      <c r="Q259" s="84"/>
      <c r="R259" s="117" t="s">
        <v>1018</v>
      </c>
      <c r="S259" s="115" t="s">
        <v>1453</v>
      </c>
      <c r="T259" s="136">
        <v>45813.0</v>
      </c>
      <c r="U259" s="90"/>
      <c r="V259" s="84"/>
      <c r="W259" s="84"/>
      <c r="X259" s="141">
        <v>300.0</v>
      </c>
      <c r="Y259" s="114">
        <v>45533.0</v>
      </c>
      <c r="Z259" s="141">
        <v>299.0</v>
      </c>
      <c r="AA259" s="114">
        <v>45545.0</v>
      </c>
      <c r="AB259" s="123"/>
      <c r="AC259" s="123"/>
      <c r="AD259" s="94">
        <f t="shared" si="15"/>
        <v>699</v>
      </c>
      <c r="AE259" s="93"/>
      <c r="AF259" s="93"/>
      <c r="AG259" s="93"/>
      <c r="AH259" s="93"/>
      <c r="AI259" s="93"/>
    </row>
    <row r="260">
      <c r="A260" s="113">
        <v>45527.44199583333</v>
      </c>
      <c r="B260" s="84" t="s">
        <v>2173</v>
      </c>
      <c r="C260" s="84" t="s">
        <v>2174</v>
      </c>
      <c r="D260" s="138">
        <v>5.1983702935E10</v>
      </c>
      <c r="E260" s="78">
        <v>7.2389612E7</v>
      </c>
      <c r="F260" s="84" t="s">
        <v>2175</v>
      </c>
      <c r="G260" s="84" t="s">
        <v>2176</v>
      </c>
      <c r="H260" s="84" t="s">
        <v>1728</v>
      </c>
      <c r="I260" s="84" t="s">
        <v>1728</v>
      </c>
      <c r="J260" s="84" t="s">
        <v>1728</v>
      </c>
      <c r="K260" s="84" t="s">
        <v>1956</v>
      </c>
      <c r="L260" s="134" t="s">
        <v>804</v>
      </c>
      <c r="M260" s="84"/>
      <c r="N260" s="105">
        <v>32.0</v>
      </c>
      <c r="O260" s="142">
        <v>150.0</v>
      </c>
      <c r="P260" s="84" t="s">
        <v>920</v>
      </c>
      <c r="Q260" s="105">
        <v>2.0604356939E10</v>
      </c>
      <c r="R260" s="117" t="s">
        <v>1018</v>
      </c>
      <c r="S260" s="115" t="s">
        <v>1453</v>
      </c>
      <c r="T260" s="89"/>
      <c r="U260" s="90"/>
      <c r="V260" s="84"/>
      <c r="W260" s="84"/>
      <c r="X260" s="141">
        <v>249.0</v>
      </c>
      <c r="Y260" s="114">
        <v>45540.0</v>
      </c>
      <c r="Z260" s="123"/>
      <c r="AA260" s="123"/>
      <c r="AB260" s="123"/>
      <c r="AC260" s="123"/>
      <c r="AD260" s="94">
        <f t="shared" si="15"/>
        <v>399</v>
      </c>
      <c r="AE260" s="93"/>
      <c r="AF260" s="93"/>
      <c r="AG260" s="93"/>
      <c r="AH260" s="93"/>
      <c r="AI260" s="93"/>
    </row>
    <row r="261">
      <c r="A261" s="113">
        <v>45531.41957118055</v>
      </c>
      <c r="B261" s="84" t="s">
        <v>2177</v>
      </c>
      <c r="C261" s="84" t="s">
        <v>2178</v>
      </c>
      <c r="D261" s="78">
        <v>5.1984720295E10</v>
      </c>
      <c r="E261" s="78">
        <v>4.4219765E7</v>
      </c>
      <c r="F261" s="84" t="s">
        <v>2179</v>
      </c>
      <c r="G261" s="84" t="s">
        <v>2180</v>
      </c>
      <c r="H261" s="84" t="s">
        <v>2181</v>
      </c>
      <c r="I261" s="84" t="s">
        <v>2074</v>
      </c>
      <c r="J261" s="84" t="s">
        <v>867</v>
      </c>
      <c r="K261" s="84" t="s">
        <v>847</v>
      </c>
      <c r="L261" s="134" t="s">
        <v>1331</v>
      </c>
      <c r="M261" s="84"/>
      <c r="N261" s="105">
        <v>37.0</v>
      </c>
      <c r="O261" s="142">
        <v>100.0</v>
      </c>
      <c r="P261" s="84" t="s">
        <v>920</v>
      </c>
      <c r="Q261" s="105">
        <v>2.0604334404E10</v>
      </c>
      <c r="R261" s="117" t="s">
        <v>1018</v>
      </c>
      <c r="S261" s="115" t="s">
        <v>1453</v>
      </c>
      <c r="T261" s="136">
        <v>45714.0</v>
      </c>
      <c r="U261" s="90"/>
      <c r="V261" s="84"/>
      <c r="W261" s="84"/>
      <c r="X261" s="141">
        <v>200.0</v>
      </c>
      <c r="Y261" s="114">
        <v>45541.0</v>
      </c>
      <c r="Z261" s="141">
        <v>399.0</v>
      </c>
      <c r="AA261" s="114">
        <v>45550.0</v>
      </c>
      <c r="AB261" s="123"/>
      <c r="AC261" s="123"/>
      <c r="AD261" s="94">
        <f t="shared" si="15"/>
        <v>699</v>
      </c>
      <c r="AE261" s="93"/>
      <c r="AF261" s="93"/>
      <c r="AG261" s="93"/>
      <c r="AH261" s="93"/>
      <c r="AI261" s="93"/>
    </row>
    <row r="262">
      <c r="A262" s="113">
        <v>45531.65273609954</v>
      </c>
      <c r="B262" s="84" t="s">
        <v>2182</v>
      </c>
      <c r="C262" s="84" t="s">
        <v>2183</v>
      </c>
      <c r="D262" s="78">
        <v>5.1977790488E10</v>
      </c>
      <c r="E262" s="78">
        <v>7.3631576E7</v>
      </c>
      <c r="F262" s="84" t="s">
        <v>2184</v>
      </c>
      <c r="G262" s="84" t="s">
        <v>2185</v>
      </c>
      <c r="H262" s="84" t="s">
        <v>1129</v>
      </c>
      <c r="I262" s="84" t="s">
        <v>1130</v>
      </c>
      <c r="J262" s="84" t="s">
        <v>1130</v>
      </c>
      <c r="K262" s="84" t="s">
        <v>2186</v>
      </c>
      <c r="L262" s="134" t="s">
        <v>1331</v>
      </c>
      <c r="M262" s="84"/>
      <c r="N262" s="105">
        <v>31.0</v>
      </c>
      <c r="O262" s="142">
        <v>300.0</v>
      </c>
      <c r="P262" s="84" t="s">
        <v>920</v>
      </c>
      <c r="Q262" s="105">
        <v>7.3631576E7</v>
      </c>
      <c r="R262" s="117" t="s">
        <v>806</v>
      </c>
      <c r="S262" s="115" t="s">
        <v>1453</v>
      </c>
      <c r="T262" s="89"/>
      <c r="U262" s="90"/>
      <c r="V262" s="84"/>
      <c r="W262" s="84"/>
      <c r="X262" s="141">
        <v>400.0</v>
      </c>
      <c r="Y262" s="114">
        <v>45565.0</v>
      </c>
      <c r="Z262" s="123"/>
      <c r="AA262" s="123"/>
      <c r="AB262" s="123"/>
      <c r="AC262" s="123"/>
      <c r="AD262" s="94">
        <f t="shared" si="15"/>
        <v>700</v>
      </c>
      <c r="AE262" s="93"/>
      <c r="AF262" s="93"/>
      <c r="AG262" s="93"/>
      <c r="AH262" s="93"/>
      <c r="AI262" s="93"/>
    </row>
    <row r="263">
      <c r="A263" s="124">
        <v>45532.38096825231</v>
      </c>
      <c r="B263" s="84" t="s">
        <v>2187</v>
      </c>
      <c r="C263" s="84" t="s">
        <v>2188</v>
      </c>
      <c r="D263" s="78">
        <v>5.1970842362E10</v>
      </c>
      <c r="E263" s="78">
        <v>4.5787877E7</v>
      </c>
      <c r="F263" s="84" t="s">
        <v>2189</v>
      </c>
      <c r="G263" s="84" t="s">
        <v>2190</v>
      </c>
      <c r="H263" s="84" t="s">
        <v>2191</v>
      </c>
      <c r="I263" s="84" t="s">
        <v>867</v>
      </c>
      <c r="J263" s="84" t="s">
        <v>867</v>
      </c>
      <c r="K263" s="84" t="s">
        <v>2192</v>
      </c>
      <c r="L263" s="84" t="s">
        <v>804</v>
      </c>
      <c r="M263" s="84"/>
      <c r="N263" s="105">
        <v>37.0</v>
      </c>
      <c r="O263" s="142">
        <v>50.0</v>
      </c>
      <c r="P263" s="84" t="s">
        <v>805</v>
      </c>
      <c r="Q263" s="84"/>
      <c r="R263" s="84" t="s">
        <v>1830</v>
      </c>
      <c r="S263" s="115" t="s">
        <v>1453</v>
      </c>
      <c r="T263" s="136">
        <v>45813.0</v>
      </c>
      <c r="U263" s="90"/>
      <c r="V263" s="84"/>
      <c r="W263" s="84"/>
      <c r="X263" s="141">
        <v>269.0</v>
      </c>
      <c r="Y263" s="114">
        <v>45533.0</v>
      </c>
      <c r="Z263" s="123"/>
      <c r="AA263" s="123"/>
      <c r="AB263" s="123"/>
      <c r="AC263" s="123"/>
      <c r="AD263" s="94">
        <f t="shared" si="15"/>
        <v>319</v>
      </c>
      <c r="AE263" s="93"/>
      <c r="AF263" s="93"/>
      <c r="AG263" s="93"/>
      <c r="AH263" s="93"/>
      <c r="AI263" s="93"/>
    </row>
    <row r="264">
      <c r="A264" s="89"/>
      <c r="B264" s="84"/>
      <c r="C264" s="84"/>
      <c r="D264" s="84"/>
      <c r="E264" s="84"/>
      <c r="F264" s="84"/>
      <c r="G264" s="84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90"/>
      <c r="T264" s="84"/>
      <c r="U264" s="90"/>
      <c r="V264" s="84"/>
      <c r="W264" s="84"/>
      <c r="X264" s="123"/>
      <c r="Y264" s="123"/>
      <c r="Z264" s="123"/>
      <c r="AA264" s="123"/>
      <c r="AB264" s="123"/>
      <c r="AC264" s="123"/>
      <c r="AD264" s="93"/>
      <c r="AE264" s="93"/>
      <c r="AF264" s="93"/>
      <c r="AG264" s="93"/>
      <c r="AH264" s="93"/>
      <c r="AI264" s="93"/>
    </row>
    <row r="265">
      <c r="A265" s="113">
        <v>45476.55386869213</v>
      </c>
      <c r="B265" s="84" t="s">
        <v>2193</v>
      </c>
      <c r="C265" s="84" t="s">
        <v>2194</v>
      </c>
      <c r="D265" s="78">
        <v>5.1999504095E10</v>
      </c>
      <c r="E265" s="78">
        <v>4.6358794E7</v>
      </c>
      <c r="F265" s="84" t="s">
        <v>2195</v>
      </c>
      <c r="G265" s="84" t="s">
        <v>2196</v>
      </c>
      <c r="H265" s="84" t="s">
        <v>2197</v>
      </c>
      <c r="I265" s="84" t="s">
        <v>30</v>
      </c>
      <c r="J265" s="84" t="s">
        <v>30</v>
      </c>
      <c r="K265" s="84" t="s">
        <v>847</v>
      </c>
      <c r="L265" s="134" t="s">
        <v>1417</v>
      </c>
      <c r="M265" s="84"/>
      <c r="N265" s="105">
        <v>34.0</v>
      </c>
      <c r="O265" s="142">
        <v>280.0</v>
      </c>
      <c r="P265" s="84" t="s">
        <v>920</v>
      </c>
      <c r="Q265" s="105">
        <v>1.0463587944E10</v>
      </c>
      <c r="R265" s="84" t="s">
        <v>806</v>
      </c>
      <c r="S265" s="115" t="s">
        <v>1453</v>
      </c>
      <c r="T265" s="89"/>
      <c r="U265" s="90"/>
      <c r="V265" s="84"/>
      <c r="W265" s="84" t="s">
        <v>2198</v>
      </c>
      <c r="X265" s="141">
        <v>270.0</v>
      </c>
      <c r="Y265" s="147">
        <v>45493.0</v>
      </c>
      <c r="Z265" s="123"/>
      <c r="AA265" s="123"/>
      <c r="AB265" s="123"/>
      <c r="AC265" s="123"/>
      <c r="AD265" s="94">
        <f t="shared" ref="AD265:AD271" si="16">O265+X265+Z265+AB265</f>
        <v>550</v>
      </c>
      <c r="AE265" s="93"/>
      <c r="AF265" s="93"/>
      <c r="AG265" s="93"/>
      <c r="AH265" s="93"/>
      <c r="AI265" s="93"/>
    </row>
    <row r="266">
      <c r="A266" s="124">
        <v>45477.67589486111</v>
      </c>
      <c r="B266" s="84" t="s">
        <v>1506</v>
      </c>
      <c r="C266" s="84" t="s">
        <v>2199</v>
      </c>
      <c r="D266" s="78">
        <v>5.1984611717E10</v>
      </c>
      <c r="E266" s="78">
        <v>2.4705721E7</v>
      </c>
      <c r="F266" s="84" t="s">
        <v>2200</v>
      </c>
      <c r="G266" s="84" t="s">
        <v>2201</v>
      </c>
      <c r="H266" s="84" t="s">
        <v>2202</v>
      </c>
      <c r="I266" s="84" t="s">
        <v>1240</v>
      </c>
      <c r="J266" s="84" t="s">
        <v>867</v>
      </c>
      <c r="K266" s="84" t="s">
        <v>2203</v>
      </c>
      <c r="L266" s="84" t="s">
        <v>884</v>
      </c>
      <c r="M266" s="84"/>
      <c r="N266" s="105">
        <v>54.0</v>
      </c>
      <c r="O266" s="142">
        <v>200.0</v>
      </c>
      <c r="P266" s="84" t="s">
        <v>805</v>
      </c>
      <c r="Q266" s="84"/>
      <c r="R266" s="84" t="s">
        <v>1018</v>
      </c>
      <c r="S266" s="115" t="s">
        <v>1453</v>
      </c>
      <c r="T266" s="136">
        <v>45813.0</v>
      </c>
      <c r="U266" s="90"/>
      <c r="V266" s="84"/>
      <c r="W266" s="84" t="s">
        <v>2204</v>
      </c>
      <c r="X266" s="141">
        <v>499.0</v>
      </c>
      <c r="Y266" s="114">
        <v>45498.0</v>
      </c>
      <c r="Z266" s="123"/>
      <c r="AA266" s="123"/>
      <c r="AB266" s="123"/>
      <c r="AC266" s="123"/>
      <c r="AD266" s="94">
        <f t="shared" si="16"/>
        <v>699</v>
      </c>
      <c r="AE266" s="93"/>
      <c r="AF266" s="93"/>
      <c r="AG266" s="93"/>
      <c r="AH266" s="93"/>
      <c r="AI266" s="93"/>
    </row>
    <row r="267">
      <c r="A267" s="124">
        <v>45478.77145436342</v>
      </c>
      <c r="B267" s="84" t="s">
        <v>2205</v>
      </c>
      <c r="C267" s="84" t="s">
        <v>2206</v>
      </c>
      <c r="D267" s="78">
        <v>5.1945000667E10</v>
      </c>
      <c r="E267" s="78">
        <v>7.1923602E7</v>
      </c>
      <c r="F267" s="84" t="s">
        <v>2207</v>
      </c>
      <c r="G267" s="84" t="s">
        <v>2208</v>
      </c>
      <c r="H267" s="84" t="s">
        <v>993</v>
      </c>
      <c r="I267" s="84" t="s">
        <v>994</v>
      </c>
      <c r="J267" s="84" t="s">
        <v>882</v>
      </c>
      <c r="K267" s="84" t="s">
        <v>2209</v>
      </c>
      <c r="L267" s="84" t="s">
        <v>884</v>
      </c>
      <c r="M267" s="84"/>
      <c r="N267" s="105">
        <v>27.0</v>
      </c>
      <c r="O267" s="142">
        <v>160.0</v>
      </c>
      <c r="P267" s="84" t="s">
        <v>805</v>
      </c>
      <c r="Q267" s="84"/>
      <c r="R267" s="117" t="s">
        <v>806</v>
      </c>
      <c r="S267" s="115" t="s">
        <v>1453</v>
      </c>
      <c r="T267" s="136">
        <v>45813.0</v>
      </c>
      <c r="U267" s="90"/>
      <c r="V267" s="84"/>
      <c r="W267" s="84" t="s">
        <v>2210</v>
      </c>
      <c r="X267" s="141">
        <v>160.0</v>
      </c>
      <c r="Y267" s="114">
        <v>45504.0</v>
      </c>
      <c r="Z267" s="123"/>
      <c r="AA267" s="123"/>
      <c r="AB267" s="123"/>
      <c r="AC267" s="123"/>
      <c r="AD267" s="94">
        <f t="shared" si="16"/>
        <v>320</v>
      </c>
      <c r="AE267" s="93"/>
      <c r="AF267" s="93"/>
      <c r="AG267" s="93"/>
      <c r="AH267" s="93"/>
      <c r="AI267" s="93"/>
    </row>
    <row r="268">
      <c r="A268" s="124">
        <v>45483.703658252314</v>
      </c>
      <c r="B268" s="84" t="s">
        <v>2211</v>
      </c>
      <c r="C268" s="84" t="s">
        <v>2212</v>
      </c>
      <c r="D268" s="78">
        <v>5.1935028757E10</v>
      </c>
      <c r="E268" s="78">
        <v>4.0558679E7</v>
      </c>
      <c r="F268" s="84" t="s">
        <v>2213</v>
      </c>
      <c r="G268" s="84" t="s">
        <v>2214</v>
      </c>
      <c r="H268" s="84" t="s">
        <v>2215</v>
      </c>
      <c r="I268" s="84" t="s">
        <v>2166</v>
      </c>
      <c r="J268" s="84" t="s">
        <v>30</v>
      </c>
      <c r="K268" s="84" t="s">
        <v>2216</v>
      </c>
      <c r="L268" s="84" t="s">
        <v>1758</v>
      </c>
      <c r="M268" s="84"/>
      <c r="N268" s="105">
        <v>44.0</v>
      </c>
      <c r="O268" s="142">
        <v>100.0</v>
      </c>
      <c r="P268" s="84" t="s">
        <v>920</v>
      </c>
      <c r="Q268" s="118">
        <v>1.0405586792E10</v>
      </c>
      <c r="R268" s="84" t="s">
        <v>988</v>
      </c>
      <c r="S268" s="115" t="s">
        <v>1453</v>
      </c>
      <c r="T268" s="136">
        <v>45813.0</v>
      </c>
      <c r="U268" s="90"/>
      <c r="V268" s="84"/>
      <c r="W268" s="84" t="s">
        <v>2210</v>
      </c>
      <c r="X268" s="142">
        <v>200.0</v>
      </c>
      <c r="Y268" s="114">
        <v>45490.0</v>
      </c>
      <c r="Z268" s="141">
        <v>200.0</v>
      </c>
      <c r="AA268" s="114">
        <v>45493.0</v>
      </c>
      <c r="AB268" s="123"/>
      <c r="AC268" s="123"/>
      <c r="AD268" s="94">
        <f t="shared" si="16"/>
        <v>500</v>
      </c>
      <c r="AE268" s="93"/>
      <c r="AF268" s="93"/>
      <c r="AG268" s="93"/>
      <c r="AH268" s="93"/>
      <c r="AI268" s="93"/>
    </row>
    <row r="269">
      <c r="A269" s="124">
        <v>45490.669866192125</v>
      </c>
      <c r="B269" s="84" t="s">
        <v>2217</v>
      </c>
      <c r="C269" s="84" t="s">
        <v>2218</v>
      </c>
      <c r="D269" s="78">
        <v>5.1979502997E10</v>
      </c>
      <c r="E269" s="78">
        <v>1.6795909E7</v>
      </c>
      <c r="F269" s="84" t="s">
        <v>2219</v>
      </c>
      <c r="G269" s="84" t="s">
        <v>2220</v>
      </c>
      <c r="H269" s="84" t="s">
        <v>2221</v>
      </c>
      <c r="I269" s="84" t="s">
        <v>1152</v>
      </c>
      <c r="J269" s="84" t="s">
        <v>1153</v>
      </c>
      <c r="K269" s="84" t="s">
        <v>2222</v>
      </c>
      <c r="L269" s="84" t="s">
        <v>848</v>
      </c>
      <c r="M269" s="84"/>
      <c r="N269" s="105">
        <v>46.0</v>
      </c>
      <c r="O269" s="142">
        <v>500.0</v>
      </c>
      <c r="P269" s="84" t="s">
        <v>805</v>
      </c>
      <c r="Q269" s="84"/>
      <c r="R269" s="117" t="s">
        <v>988</v>
      </c>
      <c r="S269" s="115" t="s">
        <v>1453</v>
      </c>
      <c r="T269" s="136">
        <v>45813.0</v>
      </c>
      <c r="U269" s="90"/>
      <c r="V269" s="84"/>
      <c r="W269" s="84"/>
      <c r="X269" s="142">
        <v>1000.0</v>
      </c>
      <c r="Y269" s="114">
        <v>45513.0</v>
      </c>
      <c r="Z269" s="141">
        <v>1300.0</v>
      </c>
      <c r="AA269" s="114">
        <v>45570.0</v>
      </c>
      <c r="AB269" s="123"/>
      <c r="AC269" s="123"/>
      <c r="AD269" s="94">
        <f t="shared" si="16"/>
        <v>2800</v>
      </c>
      <c r="AE269" s="93"/>
      <c r="AF269" s="93"/>
      <c r="AG269" s="93"/>
      <c r="AH269" s="93"/>
      <c r="AI269" s="93"/>
    </row>
    <row r="270">
      <c r="A270" s="113">
        <v>45495.42821571759</v>
      </c>
      <c r="B270" s="84" t="s">
        <v>2223</v>
      </c>
      <c r="C270" s="84" t="s">
        <v>2224</v>
      </c>
      <c r="D270" s="78">
        <v>5.1981243698E10</v>
      </c>
      <c r="E270" s="127" t="s">
        <v>2225</v>
      </c>
      <c r="F270" s="84" t="s">
        <v>2226</v>
      </c>
      <c r="G270" s="84" t="s">
        <v>2227</v>
      </c>
      <c r="H270" s="84" t="s">
        <v>1014</v>
      </c>
      <c r="I270" s="84" t="s">
        <v>1015</v>
      </c>
      <c r="J270" s="84" t="s">
        <v>891</v>
      </c>
      <c r="K270" s="84" t="s">
        <v>913</v>
      </c>
      <c r="L270" s="134" t="s">
        <v>814</v>
      </c>
      <c r="M270" s="84"/>
      <c r="N270" s="105">
        <v>55.0</v>
      </c>
      <c r="O270" s="142">
        <v>200.0</v>
      </c>
      <c r="P270" s="84" t="s">
        <v>920</v>
      </c>
      <c r="Q270" s="105">
        <v>1.0024115165E10</v>
      </c>
      <c r="R270" s="84" t="s">
        <v>806</v>
      </c>
      <c r="S270" s="115" t="s">
        <v>1453</v>
      </c>
      <c r="T270" s="89"/>
      <c r="U270" s="90"/>
      <c r="V270" s="84"/>
      <c r="W270" s="84"/>
      <c r="X270" s="148">
        <v>100.0</v>
      </c>
      <c r="Y270" s="92">
        <v>45887.0</v>
      </c>
      <c r="Z270" s="149">
        <v>99.0</v>
      </c>
      <c r="AA270" s="92">
        <v>45915.0</v>
      </c>
      <c r="AB270" s="123"/>
      <c r="AC270" s="123"/>
      <c r="AD270" s="94">
        <f t="shared" si="16"/>
        <v>399</v>
      </c>
      <c r="AE270" s="93"/>
      <c r="AF270" s="93"/>
      <c r="AG270" s="93"/>
      <c r="AH270" s="93"/>
      <c r="AI270" s="93"/>
    </row>
    <row r="271">
      <c r="A271" s="113">
        <v>45498.792189155094</v>
      </c>
      <c r="B271" s="84" t="s">
        <v>2228</v>
      </c>
      <c r="C271" s="84" t="s">
        <v>2229</v>
      </c>
      <c r="D271" s="78">
        <v>5.1929548007E10</v>
      </c>
      <c r="E271" s="78">
        <v>7.0461689E7</v>
      </c>
      <c r="F271" s="84" t="s">
        <v>2230</v>
      </c>
      <c r="G271" s="84" t="s">
        <v>2231</v>
      </c>
      <c r="H271" s="84" t="s">
        <v>1715</v>
      </c>
      <c r="I271" s="84" t="s">
        <v>2232</v>
      </c>
      <c r="J271" s="84" t="s">
        <v>951</v>
      </c>
      <c r="K271" s="84" t="s">
        <v>1697</v>
      </c>
      <c r="L271" s="134" t="s">
        <v>1331</v>
      </c>
      <c r="M271" s="84"/>
      <c r="N271" s="105">
        <v>31.0</v>
      </c>
      <c r="O271" s="142">
        <v>300.0</v>
      </c>
      <c r="P271" s="84" t="s">
        <v>920</v>
      </c>
      <c r="Q271" s="105">
        <v>2.0608823981E10</v>
      </c>
      <c r="R271" s="84" t="s">
        <v>806</v>
      </c>
      <c r="S271" s="115" t="s">
        <v>1453</v>
      </c>
      <c r="T271" s="89"/>
      <c r="U271" s="90"/>
      <c r="V271" s="84"/>
      <c r="W271" s="84"/>
      <c r="X271" s="141">
        <v>399.0</v>
      </c>
      <c r="Y271" s="114">
        <v>45524.0</v>
      </c>
      <c r="Z271" s="123"/>
      <c r="AA271" s="123"/>
      <c r="AB271" s="123"/>
      <c r="AC271" s="123"/>
      <c r="AD271" s="94">
        <f t="shared" si="16"/>
        <v>699</v>
      </c>
      <c r="AE271" s="93"/>
      <c r="AF271" s="93"/>
      <c r="AG271" s="93"/>
      <c r="AH271" s="93"/>
      <c r="AI271" s="93"/>
    </row>
    <row r="272">
      <c r="A272" s="84"/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90"/>
      <c r="T272" s="84"/>
      <c r="U272" s="90"/>
      <c r="V272" s="84"/>
      <c r="W272" s="84"/>
      <c r="X272" s="84"/>
      <c r="Y272" s="123"/>
      <c r="Z272" s="123"/>
      <c r="AA272" s="123"/>
      <c r="AB272" s="123"/>
      <c r="AC272" s="123"/>
      <c r="AD272" s="93"/>
      <c r="AE272" s="93"/>
      <c r="AF272" s="93"/>
      <c r="AG272" s="93"/>
      <c r="AH272" s="93"/>
      <c r="AI272" s="93"/>
    </row>
    <row r="273">
      <c r="A273" s="150">
        <v>45444.70677420139</v>
      </c>
      <c r="B273" s="84" t="s">
        <v>2233</v>
      </c>
      <c r="C273" s="84" t="s">
        <v>2234</v>
      </c>
      <c r="D273" s="78">
        <v>5.1974339294E10</v>
      </c>
      <c r="E273" s="78">
        <v>4.2799901E7</v>
      </c>
      <c r="F273" s="84" t="s">
        <v>2235</v>
      </c>
      <c r="G273" s="84" t="s">
        <v>2236</v>
      </c>
      <c r="H273" s="84" t="s">
        <v>2106</v>
      </c>
      <c r="I273" s="84" t="s">
        <v>2237</v>
      </c>
      <c r="J273" s="84" t="s">
        <v>1055</v>
      </c>
      <c r="K273" s="84" t="s">
        <v>2238</v>
      </c>
      <c r="L273" s="134" t="s">
        <v>884</v>
      </c>
      <c r="M273" s="84"/>
      <c r="N273" s="105">
        <v>42.0</v>
      </c>
      <c r="O273" s="142">
        <v>200.0</v>
      </c>
      <c r="P273" s="84" t="s">
        <v>805</v>
      </c>
      <c r="Q273" s="84"/>
      <c r="R273" s="84" t="s">
        <v>1018</v>
      </c>
      <c r="S273" s="115" t="s">
        <v>1453</v>
      </c>
      <c r="T273" s="89"/>
      <c r="U273" s="90"/>
      <c r="V273" s="84"/>
      <c r="W273" s="84"/>
      <c r="X273" s="141">
        <v>199.0</v>
      </c>
      <c r="Y273" s="147">
        <v>45468.0</v>
      </c>
      <c r="Z273" s="123"/>
      <c r="AA273" s="123"/>
      <c r="AB273" s="123"/>
      <c r="AC273" s="123"/>
      <c r="AD273" s="94">
        <f t="shared" ref="AD273:AD281" si="17">O273+X273+Z273+AB273</f>
        <v>399</v>
      </c>
      <c r="AE273" s="93"/>
      <c r="AF273" s="93"/>
      <c r="AG273" s="93"/>
      <c r="AH273" s="93"/>
      <c r="AI273" s="93"/>
    </row>
    <row r="274">
      <c r="A274" s="113">
        <v>45447.8494503125</v>
      </c>
      <c r="B274" s="84" t="s">
        <v>2239</v>
      </c>
      <c r="C274" s="84" t="s">
        <v>2240</v>
      </c>
      <c r="D274" s="78">
        <v>5.1948409111E10</v>
      </c>
      <c r="E274" s="78">
        <v>1.8145062E7</v>
      </c>
      <c r="F274" s="84" t="s">
        <v>2241</v>
      </c>
      <c r="G274" s="84" t="s">
        <v>2242</v>
      </c>
      <c r="H274" s="84" t="s">
        <v>2243</v>
      </c>
      <c r="I274" s="84" t="s">
        <v>963</v>
      </c>
      <c r="J274" s="84" t="s">
        <v>964</v>
      </c>
      <c r="K274" s="84" t="s">
        <v>1016</v>
      </c>
      <c r="L274" s="134" t="s">
        <v>1331</v>
      </c>
      <c r="M274" s="84"/>
      <c r="N274" s="105">
        <v>50.0</v>
      </c>
      <c r="O274" s="142">
        <v>360.0</v>
      </c>
      <c r="P274" s="84" t="s">
        <v>805</v>
      </c>
      <c r="Q274" s="84"/>
      <c r="R274" s="84" t="s">
        <v>806</v>
      </c>
      <c r="S274" s="115" t="s">
        <v>1453</v>
      </c>
      <c r="T274" s="89"/>
      <c r="U274" s="90"/>
      <c r="V274" s="84"/>
      <c r="W274" s="84"/>
      <c r="X274" s="141">
        <v>360.0</v>
      </c>
      <c r="Y274" s="147">
        <v>45477.0</v>
      </c>
      <c r="Z274" s="123"/>
      <c r="AA274" s="123"/>
      <c r="AB274" s="123"/>
      <c r="AC274" s="123"/>
      <c r="AD274" s="94">
        <f t="shared" si="17"/>
        <v>720</v>
      </c>
      <c r="AE274" s="93"/>
      <c r="AF274" s="93"/>
      <c r="AG274" s="93"/>
      <c r="AH274" s="93"/>
      <c r="AI274" s="93"/>
    </row>
    <row r="275">
      <c r="A275" s="150">
        <v>45448.66599233796</v>
      </c>
      <c r="B275" s="84" t="s">
        <v>2244</v>
      </c>
      <c r="C275" s="84" t="s">
        <v>2245</v>
      </c>
      <c r="D275" s="78">
        <v>5.1953583063E10</v>
      </c>
      <c r="E275" s="78">
        <v>4.6578149E7</v>
      </c>
      <c r="F275" s="84" t="s">
        <v>2246</v>
      </c>
      <c r="G275" s="84" t="s">
        <v>2247</v>
      </c>
      <c r="H275" s="84" t="s">
        <v>2248</v>
      </c>
      <c r="I275" s="84" t="s">
        <v>2249</v>
      </c>
      <c r="J275" s="84" t="s">
        <v>1009</v>
      </c>
      <c r="K275" s="84" t="s">
        <v>1207</v>
      </c>
      <c r="L275" s="134" t="s">
        <v>884</v>
      </c>
      <c r="M275" s="84"/>
      <c r="N275" s="105">
        <v>34.0</v>
      </c>
      <c r="O275" s="142">
        <v>100.0</v>
      </c>
      <c r="P275" s="84" t="s">
        <v>805</v>
      </c>
      <c r="Q275" s="84"/>
      <c r="R275" s="84" t="s">
        <v>988</v>
      </c>
      <c r="S275" s="115" t="s">
        <v>1453</v>
      </c>
      <c r="T275" s="89"/>
      <c r="U275" s="90"/>
      <c r="V275" s="84"/>
      <c r="W275" s="84"/>
      <c r="X275" s="141">
        <v>299.0</v>
      </c>
      <c r="Y275" s="147">
        <v>45471.0</v>
      </c>
      <c r="Z275" s="123"/>
      <c r="AA275" s="123"/>
      <c r="AB275" s="123"/>
      <c r="AC275" s="123"/>
      <c r="AD275" s="94">
        <f t="shared" si="17"/>
        <v>399</v>
      </c>
      <c r="AE275" s="93"/>
      <c r="AF275" s="93"/>
      <c r="AG275" s="93"/>
      <c r="AH275" s="93"/>
      <c r="AI275" s="93"/>
    </row>
    <row r="276">
      <c r="A276" s="113">
        <v>45451.4416721875</v>
      </c>
      <c r="B276" s="84" t="s">
        <v>2250</v>
      </c>
      <c r="C276" s="84" t="s">
        <v>2251</v>
      </c>
      <c r="D276" s="138">
        <v>5.1969318956E10</v>
      </c>
      <c r="E276" s="127" t="s">
        <v>2252</v>
      </c>
      <c r="F276" s="84" t="s">
        <v>2253</v>
      </c>
      <c r="G276" s="84" t="s">
        <v>2254</v>
      </c>
      <c r="H276" s="84" t="s">
        <v>2255</v>
      </c>
      <c r="I276" s="84" t="s">
        <v>2255</v>
      </c>
      <c r="J276" s="84" t="s">
        <v>1130</v>
      </c>
      <c r="K276" s="84" t="s">
        <v>2256</v>
      </c>
      <c r="L276" s="134" t="s">
        <v>1758</v>
      </c>
      <c r="M276" s="84"/>
      <c r="N276" s="105">
        <v>49.0</v>
      </c>
      <c r="O276" s="142">
        <v>100.0</v>
      </c>
      <c r="P276" s="84" t="s">
        <v>805</v>
      </c>
      <c r="Q276" s="84"/>
      <c r="R276" s="84" t="s">
        <v>806</v>
      </c>
      <c r="S276" s="115" t="s">
        <v>1453</v>
      </c>
      <c r="T276" s="89"/>
      <c r="U276" s="90"/>
      <c r="V276" s="84"/>
      <c r="W276" s="84"/>
      <c r="X276" s="141">
        <v>269.0</v>
      </c>
      <c r="Y276" s="147">
        <v>45454.0</v>
      </c>
      <c r="Z276" s="123"/>
      <c r="AA276" s="123"/>
      <c r="AB276" s="123"/>
      <c r="AC276" s="123"/>
      <c r="AD276" s="94">
        <f t="shared" si="17"/>
        <v>369</v>
      </c>
      <c r="AE276" s="93"/>
      <c r="AF276" s="93"/>
      <c r="AG276" s="93"/>
      <c r="AH276" s="93"/>
      <c r="AI276" s="93"/>
    </row>
    <row r="277">
      <c r="A277" s="113">
        <v>45453.839659062505</v>
      </c>
      <c r="B277" s="84" t="s">
        <v>2257</v>
      </c>
      <c r="C277" s="84" t="s">
        <v>2258</v>
      </c>
      <c r="D277" s="138">
        <v>5.1926286572E10</v>
      </c>
      <c r="E277" s="127" t="s">
        <v>2259</v>
      </c>
      <c r="F277" s="84" t="s">
        <v>2260</v>
      </c>
      <c r="G277" s="84" t="s">
        <v>2261</v>
      </c>
      <c r="H277" s="84" t="s">
        <v>2262</v>
      </c>
      <c r="I277" s="84" t="s">
        <v>30</v>
      </c>
      <c r="J277" s="84" t="s">
        <v>30</v>
      </c>
      <c r="K277" s="84" t="s">
        <v>2263</v>
      </c>
      <c r="L277" s="134" t="s">
        <v>1758</v>
      </c>
      <c r="M277" s="84"/>
      <c r="N277" s="105">
        <v>54.0</v>
      </c>
      <c r="O277" s="142">
        <v>200.0</v>
      </c>
      <c r="P277" s="84" t="s">
        <v>920</v>
      </c>
      <c r="Q277" s="111">
        <v>1.008275562E10</v>
      </c>
      <c r="R277" s="117" t="s">
        <v>806</v>
      </c>
      <c r="S277" s="115" t="s">
        <v>1453</v>
      </c>
      <c r="T277" s="89"/>
      <c r="U277" s="90"/>
      <c r="V277" s="84"/>
      <c r="W277" s="84"/>
      <c r="X277" s="141">
        <v>169.0</v>
      </c>
      <c r="Y277" s="147">
        <v>45463.0</v>
      </c>
      <c r="Z277" s="123"/>
      <c r="AA277" s="123"/>
      <c r="AB277" s="123"/>
      <c r="AC277" s="123"/>
      <c r="AD277" s="94">
        <f t="shared" si="17"/>
        <v>369</v>
      </c>
      <c r="AE277" s="93"/>
      <c r="AF277" s="93"/>
      <c r="AG277" s="93"/>
      <c r="AH277" s="93"/>
      <c r="AI277" s="93"/>
    </row>
    <row r="278">
      <c r="A278" s="150">
        <v>45457.35614092593</v>
      </c>
      <c r="B278" s="84" t="s">
        <v>2264</v>
      </c>
      <c r="C278" s="84" t="s">
        <v>2265</v>
      </c>
      <c r="D278" s="138">
        <v>5.1969663187E10</v>
      </c>
      <c r="E278" s="78">
        <v>4.7070714E7</v>
      </c>
      <c r="F278" s="84" t="s">
        <v>2266</v>
      </c>
      <c r="G278" s="84" t="s">
        <v>2267</v>
      </c>
      <c r="H278" s="84" t="s">
        <v>2268</v>
      </c>
      <c r="I278" s="84" t="s">
        <v>1749</v>
      </c>
      <c r="J278" s="84" t="s">
        <v>1894</v>
      </c>
      <c r="K278" s="84" t="s">
        <v>2056</v>
      </c>
      <c r="L278" s="134" t="s">
        <v>884</v>
      </c>
      <c r="M278" s="84"/>
      <c r="N278" s="105">
        <v>32.0</v>
      </c>
      <c r="O278" s="142">
        <v>150.0</v>
      </c>
      <c r="P278" s="84" t="s">
        <v>920</v>
      </c>
      <c r="Q278" s="105">
        <v>1.0470707149E10</v>
      </c>
      <c r="R278" s="84" t="s">
        <v>806</v>
      </c>
      <c r="S278" s="115" t="s">
        <v>1453</v>
      </c>
      <c r="T278" s="89"/>
      <c r="U278" s="90"/>
      <c r="V278" s="84"/>
      <c r="W278" s="84"/>
      <c r="X278" s="141">
        <v>299.0</v>
      </c>
      <c r="Y278" s="147">
        <v>45552.0</v>
      </c>
      <c r="Z278" s="123"/>
      <c r="AA278" s="123"/>
      <c r="AB278" s="123"/>
      <c r="AC278" s="123"/>
      <c r="AD278" s="94">
        <f t="shared" si="17"/>
        <v>449</v>
      </c>
      <c r="AE278" s="93"/>
      <c r="AF278" s="93"/>
      <c r="AG278" s="93"/>
      <c r="AH278" s="93"/>
      <c r="AI278" s="93"/>
    </row>
    <row r="279">
      <c r="A279" s="124">
        <v>45464.45905641204</v>
      </c>
      <c r="B279" s="84" t="s">
        <v>2269</v>
      </c>
      <c r="C279" s="84" t="s">
        <v>2270</v>
      </c>
      <c r="D279" s="78">
        <v>5.1917893782E10</v>
      </c>
      <c r="E279" s="78">
        <v>4.0395364E7</v>
      </c>
      <c r="F279" s="84" t="s">
        <v>2271</v>
      </c>
      <c r="G279" s="84" t="s">
        <v>2272</v>
      </c>
      <c r="H279" s="84" t="s">
        <v>2273</v>
      </c>
      <c r="I279" s="84" t="s">
        <v>2273</v>
      </c>
      <c r="J279" s="84" t="s">
        <v>932</v>
      </c>
      <c r="K279" s="84" t="s">
        <v>847</v>
      </c>
      <c r="L279" s="84" t="s">
        <v>1417</v>
      </c>
      <c r="M279" s="84" t="s">
        <v>2274</v>
      </c>
      <c r="N279" s="105">
        <v>47.0</v>
      </c>
      <c r="O279" s="142">
        <v>100.0</v>
      </c>
      <c r="P279" s="84" t="s">
        <v>805</v>
      </c>
      <c r="Q279" s="84"/>
      <c r="R279" s="117" t="s">
        <v>1018</v>
      </c>
      <c r="S279" s="115" t="s">
        <v>1453</v>
      </c>
      <c r="T279" s="136">
        <v>45813.0</v>
      </c>
      <c r="U279" s="90"/>
      <c r="V279" s="84"/>
      <c r="W279" s="84"/>
      <c r="X279" s="142">
        <v>150.0</v>
      </c>
      <c r="Y279" s="114">
        <v>45479.0</v>
      </c>
      <c r="Z279" s="142">
        <v>100.0</v>
      </c>
      <c r="AA279" s="114">
        <v>45507.0</v>
      </c>
      <c r="AB279" s="141">
        <v>150.0</v>
      </c>
      <c r="AC279" s="114">
        <v>45524.0</v>
      </c>
      <c r="AD279" s="94">
        <f t="shared" si="17"/>
        <v>500</v>
      </c>
      <c r="AE279" s="93"/>
      <c r="AF279" s="93"/>
      <c r="AG279" s="93"/>
      <c r="AH279" s="93"/>
      <c r="AI279" s="93"/>
    </row>
    <row r="280">
      <c r="A280" s="113">
        <v>45471.41218255787</v>
      </c>
      <c r="B280" s="84" t="s">
        <v>2275</v>
      </c>
      <c r="C280" s="84" t="s">
        <v>2276</v>
      </c>
      <c r="D280" s="78">
        <v>5.191402055E10</v>
      </c>
      <c r="E280" s="78">
        <v>4.0355846E7</v>
      </c>
      <c r="F280" s="84" t="s">
        <v>2277</v>
      </c>
      <c r="G280" s="84" t="s">
        <v>2278</v>
      </c>
      <c r="H280" s="84" t="s">
        <v>1239</v>
      </c>
      <c r="I280" s="84" t="s">
        <v>1240</v>
      </c>
      <c r="J280" s="84" t="s">
        <v>867</v>
      </c>
      <c r="K280" s="84" t="s">
        <v>995</v>
      </c>
      <c r="L280" s="134" t="s">
        <v>848</v>
      </c>
      <c r="M280" s="84"/>
      <c r="N280" s="105">
        <v>45.0</v>
      </c>
      <c r="O280" s="151">
        <v>150.0</v>
      </c>
      <c r="P280" s="84" t="s">
        <v>805</v>
      </c>
      <c r="Q280" s="84"/>
      <c r="R280" s="84" t="s">
        <v>1018</v>
      </c>
      <c r="S280" s="152" t="s">
        <v>1424</v>
      </c>
      <c r="T280" s="84"/>
      <c r="U280" s="90"/>
      <c r="V280" s="84"/>
      <c r="W280" s="84"/>
      <c r="X280" s="141">
        <v>2649.0</v>
      </c>
      <c r="Y280" s="114">
        <v>45501.0</v>
      </c>
      <c r="Z280" s="84"/>
      <c r="AA280" s="84"/>
      <c r="AB280" s="84"/>
      <c r="AC280" s="84"/>
      <c r="AD280" s="94">
        <f t="shared" si="17"/>
        <v>2799</v>
      </c>
      <c r="AE280" s="93"/>
      <c r="AF280" s="93"/>
      <c r="AG280" s="93"/>
      <c r="AH280" s="93"/>
      <c r="AI280" s="93"/>
    </row>
    <row r="281">
      <c r="A281" s="113">
        <v>45472.70764303241</v>
      </c>
      <c r="B281" s="84" t="s">
        <v>2279</v>
      </c>
      <c r="C281" s="84" t="s">
        <v>2280</v>
      </c>
      <c r="D281" s="78">
        <v>5.1928886869E10</v>
      </c>
      <c r="E281" s="78">
        <v>4.2079556E7</v>
      </c>
      <c r="F281" s="84" t="s">
        <v>2281</v>
      </c>
      <c r="G281" s="84" t="s">
        <v>2282</v>
      </c>
      <c r="H281" s="84" t="s">
        <v>1153</v>
      </c>
      <c r="I281" s="84" t="s">
        <v>1153</v>
      </c>
      <c r="J281" s="84" t="s">
        <v>1153</v>
      </c>
      <c r="K281" s="84" t="s">
        <v>2283</v>
      </c>
      <c r="L281" s="134" t="s">
        <v>1417</v>
      </c>
      <c r="M281" s="84"/>
      <c r="N281" s="105">
        <v>38.0</v>
      </c>
      <c r="O281" s="151">
        <v>200.0</v>
      </c>
      <c r="P281" s="84" t="s">
        <v>805</v>
      </c>
      <c r="Q281" s="84"/>
      <c r="R281" s="84" t="s">
        <v>822</v>
      </c>
      <c r="S281" s="115" t="s">
        <v>1453</v>
      </c>
      <c r="T281" s="89"/>
      <c r="U281" s="90"/>
      <c r="V281" s="84"/>
      <c r="W281" s="84"/>
      <c r="X281" s="141">
        <v>300.0</v>
      </c>
      <c r="Y281" s="114">
        <v>45491.0</v>
      </c>
      <c r="Z281" s="84"/>
      <c r="AA281" s="84"/>
      <c r="AB281" s="84"/>
      <c r="AC281" s="84"/>
      <c r="AD281" s="94">
        <f t="shared" si="17"/>
        <v>500</v>
      </c>
      <c r="AE281" s="93"/>
      <c r="AF281" s="93"/>
      <c r="AG281" s="93"/>
      <c r="AH281" s="93"/>
      <c r="AI281" s="93"/>
    </row>
    <row r="282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90"/>
      <c r="V282" s="84"/>
      <c r="W282" s="84"/>
      <c r="X282" s="84"/>
      <c r="Y282" s="84"/>
      <c r="Z282" s="84"/>
      <c r="AA282" s="84"/>
      <c r="AB282" s="84"/>
      <c r="AC282" s="84"/>
      <c r="AD282" s="93"/>
      <c r="AE282" s="93"/>
      <c r="AF282" s="93"/>
      <c r="AG282" s="93"/>
      <c r="AH282" s="93"/>
      <c r="AI282" s="93"/>
    </row>
    <row r="283">
      <c r="A283" s="124">
        <v>45413.47178591436</v>
      </c>
      <c r="B283" s="84" t="s">
        <v>2284</v>
      </c>
      <c r="C283" s="84" t="s">
        <v>2285</v>
      </c>
      <c r="D283" s="78" t="s">
        <v>2286</v>
      </c>
      <c r="E283" s="78">
        <v>7.5582716E7</v>
      </c>
      <c r="F283" s="84" t="s">
        <v>2287</v>
      </c>
      <c r="G283" s="84" t="s">
        <v>2288</v>
      </c>
      <c r="H283" s="84" t="s">
        <v>2289</v>
      </c>
      <c r="I283" s="84" t="s">
        <v>2290</v>
      </c>
      <c r="J283" s="84" t="s">
        <v>905</v>
      </c>
      <c r="K283" s="84" t="s">
        <v>2291</v>
      </c>
      <c r="L283" s="84" t="s">
        <v>1758</v>
      </c>
      <c r="M283" s="108"/>
      <c r="N283" s="111">
        <v>25.0</v>
      </c>
      <c r="O283" s="142">
        <f>100+100</f>
        <v>200</v>
      </c>
      <c r="P283" s="84" t="s">
        <v>805</v>
      </c>
      <c r="Q283" s="84"/>
      <c r="R283" s="117" t="s">
        <v>806</v>
      </c>
      <c r="S283" s="115" t="s">
        <v>807</v>
      </c>
      <c r="T283" s="84"/>
      <c r="U283" s="90"/>
      <c r="V283" s="84"/>
      <c r="W283" s="84"/>
      <c r="X283" s="142">
        <v>100.0</v>
      </c>
      <c r="Y283" s="114">
        <v>45446.0</v>
      </c>
      <c r="Z283" s="141">
        <v>99.0</v>
      </c>
      <c r="AA283" s="114">
        <v>45485.0</v>
      </c>
      <c r="AB283" s="84"/>
      <c r="AC283" s="84"/>
      <c r="AD283" s="94">
        <f t="shared" ref="AD283:AD292" si="18">O283+X283+Z283+AB283</f>
        <v>399</v>
      </c>
      <c r="AE283" s="93"/>
      <c r="AF283" s="93"/>
      <c r="AG283" s="93"/>
      <c r="AH283" s="93"/>
      <c r="AI283" s="93"/>
    </row>
    <row r="284">
      <c r="A284" s="150">
        <v>45415.53053192129</v>
      </c>
      <c r="B284" s="84" t="s">
        <v>2292</v>
      </c>
      <c r="C284" s="84" t="s">
        <v>2293</v>
      </c>
      <c r="D284" s="78" t="s">
        <v>2294</v>
      </c>
      <c r="E284" s="78">
        <v>8.0415213E7</v>
      </c>
      <c r="F284" s="84" t="s">
        <v>2295</v>
      </c>
      <c r="G284" s="84" t="s">
        <v>2296</v>
      </c>
      <c r="H284" s="84" t="s">
        <v>2297</v>
      </c>
      <c r="I284" s="84" t="s">
        <v>933</v>
      </c>
      <c r="J284" s="84" t="s">
        <v>932</v>
      </c>
      <c r="K284" s="84" t="s">
        <v>1056</v>
      </c>
      <c r="L284" s="134" t="s">
        <v>814</v>
      </c>
      <c r="M284" s="84"/>
      <c r="N284" s="105">
        <v>44.0</v>
      </c>
      <c r="O284" s="142">
        <v>250.0</v>
      </c>
      <c r="P284" s="84" t="s">
        <v>805</v>
      </c>
      <c r="Q284" s="84"/>
      <c r="R284" s="130" t="s">
        <v>988</v>
      </c>
      <c r="S284" s="115" t="s">
        <v>1453</v>
      </c>
      <c r="T284" s="89"/>
      <c r="U284" s="90"/>
      <c r="V284" s="84"/>
      <c r="W284" s="79" t="s">
        <v>2298</v>
      </c>
      <c r="X284" s="141">
        <v>249.0</v>
      </c>
      <c r="Y284" s="114">
        <v>45432.0</v>
      </c>
      <c r="Z284" s="84"/>
      <c r="AA284" s="84"/>
      <c r="AB284" s="84"/>
      <c r="AC284" s="84"/>
      <c r="AD284" s="94">
        <f t="shared" si="18"/>
        <v>499</v>
      </c>
      <c r="AE284" s="93"/>
      <c r="AF284" s="93"/>
      <c r="AG284" s="93"/>
      <c r="AH284" s="93"/>
      <c r="AI284" s="93"/>
    </row>
    <row r="285">
      <c r="A285" s="113">
        <v>45415.61822185185</v>
      </c>
      <c r="B285" s="84" t="s">
        <v>2299</v>
      </c>
      <c r="C285" s="84" t="s">
        <v>2300</v>
      </c>
      <c r="D285" s="78" t="s">
        <v>2301</v>
      </c>
      <c r="E285" s="78">
        <v>7.358299E7</v>
      </c>
      <c r="F285" s="84" t="s">
        <v>2302</v>
      </c>
      <c r="G285" s="84" t="s">
        <v>1695</v>
      </c>
      <c r="H285" s="84" t="s">
        <v>1695</v>
      </c>
      <c r="I285" s="84" t="s">
        <v>1696</v>
      </c>
      <c r="J285" s="84" t="s">
        <v>951</v>
      </c>
      <c r="K285" s="84" t="s">
        <v>2037</v>
      </c>
      <c r="L285" s="134" t="s">
        <v>848</v>
      </c>
      <c r="M285" s="84"/>
      <c r="N285" s="105">
        <v>27.0</v>
      </c>
      <c r="O285" s="142">
        <f>350+400</f>
        <v>750</v>
      </c>
      <c r="P285" s="84" t="s">
        <v>805</v>
      </c>
      <c r="Q285" s="84"/>
      <c r="R285" s="117" t="s">
        <v>822</v>
      </c>
      <c r="S285" s="115" t="s">
        <v>1453</v>
      </c>
      <c r="T285" s="89"/>
      <c r="U285" s="90"/>
      <c r="V285" s="84"/>
      <c r="W285" s="84"/>
      <c r="X285" s="141">
        <v>750.0</v>
      </c>
      <c r="Y285" s="114">
        <v>45449.0</v>
      </c>
      <c r="Z285" s="141">
        <v>750.0</v>
      </c>
      <c r="AA285" s="114">
        <v>45479.0</v>
      </c>
      <c r="AB285" s="141">
        <v>750.0</v>
      </c>
      <c r="AC285" s="114">
        <v>45510.0</v>
      </c>
      <c r="AD285" s="94">
        <f t="shared" si="18"/>
        <v>3000</v>
      </c>
      <c r="AE285" s="93"/>
      <c r="AF285" s="93"/>
      <c r="AG285" s="93"/>
      <c r="AH285" s="93"/>
      <c r="AI285" s="93"/>
    </row>
    <row r="286">
      <c r="A286" s="113">
        <v>45418.64086357639</v>
      </c>
      <c r="B286" s="84" t="s">
        <v>2303</v>
      </c>
      <c r="C286" s="84" t="s">
        <v>2304</v>
      </c>
      <c r="D286" s="78" t="s">
        <v>2305</v>
      </c>
      <c r="E286" s="78">
        <v>4.528236E7</v>
      </c>
      <c r="F286" s="84" t="s">
        <v>2306</v>
      </c>
      <c r="G286" s="84" t="s">
        <v>2307</v>
      </c>
      <c r="H286" s="84" t="s">
        <v>2308</v>
      </c>
      <c r="I286" s="84" t="s">
        <v>1696</v>
      </c>
      <c r="J286" s="84" t="s">
        <v>951</v>
      </c>
      <c r="K286" s="84" t="s">
        <v>2037</v>
      </c>
      <c r="L286" s="134" t="s">
        <v>848</v>
      </c>
      <c r="M286" s="108" t="s">
        <v>2309</v>
      </c>
      <c r="N286" s="105">
        <v>36.0</v>
      </c>
      <c r="O286" s="142">
        <v>750.0</v>
      </c>
      <c r="P286" s="84" t="s">
        <v>805</v>
      </c>
      <c r="Q286" s="84"/>
      <c r="R286" s="117" t="s">
        <v>822</v>
      </c>
      <c r="S286" s="115" t="s">
        <v>1453</v>
      </c>
      <c r="T286" s="89"/>
      <c r="U286" s="90"/>
      <c r="V286" s="84"/>
      <c r="W286" s="84"/>
      <c r="X286" s="141">
        <v>750.0</v>
      </c>
      <c r="Y286" s="114">
        <v>45449.0</v>
      </c>
      <c r="Z286" s="141">
        <v>750.0</v>
      </c>
      <c r="AA286" s="114">
        <v>45479.0</v>
      </c>
      <c r="AB286" s="141">
        <v>750.0</v>
      </c>
      <c r="AC286" s="114">
        <v>45510.0</v>
      </c>
      <c r="AD286" s="94">
        <f t="shared" si="18"/>
        <v>3000</v>
      </c>
      <c r="AE286" s="93"/>
      <c r="AF286" s="93"/>
      <c r="AG286" s="93"/>
      <c r="AH286" s="93"/>
      <c r="AI286" s="93"/>
    </row>
    <row r="287">
      <c r="A287" s="124">
        <v>45418.666476666665</v>
      </c>
      <c r="B287" s="84" t="s">
        <v>2310</v>
      </c>
      <c r="C287" s="84" t="s">
        <v>2311</v>
      </c>
      <c r="D287" s="78" t="s">
        <v>2312</v>
      </c>
      <c r="E287" s="78">
        <v>4.121867E7</v>
      </c>
      <c r="F287" s="84" t="s">
        <v>2313</v>
      </c>
      <c r="G287" s="84" t="s">
        <v>2314</v>
      </c>
      <c r="H287" s="84" t="s">
        <v>932</v>
      </c>
      <c r="I287" s="84" t="s">
        <v>933</v>
      </c>
      <c r="J287" s="84" t="s">
        <v>932</v>
      </c>
      <c r="K287" s="84" t="s">
        <v>2102</v>
      </c>
      <c r="L287" s="84" t="s">
        <v>1758</v>
      </c>
      <c r="M287" s="84"/>
      <c r="N287" s="105">
        <v>45.0</v>
      </c>
      <c r="O287" s="142">
        <v>100.0</v>
      </c>
      <c r="P287" s="84" t="s">
        <v>805</v>
      </c>
      <c r="Q287" s="105">
        <v>2.0608383281E10</v>
      </c>
      <c r="R287" s="117" t="s">
        <v>822</v>
      </c>
      <c r="S287" s="115" t="s">
        <v>1453</v>
      </c>
      <c r="T287" s="136">
        <v>45813.0</v>
      </c>
      <c r="U287" s="90"/>
      <c r="V287" s="84"/>
      <c r="W287" s="84"/>
      <c r="X287" s="141">
        <v>299.0</v>
      </c>
      <c r="Y287" s="114">
        <v>45484.0</v>
      </c>
      <c r="Z287" s="84"/>
      <c r="AA287" s="84"/>
      <c r="AB287" s="84"/>
      <c r="AC287" s="84"/>
      <c r="AD287" s="94">
        <f t="shared" si="18"/>
        <v>399</v>
      </c>
      <c r="AE287" s="93"/>
      <c r="AF287" s="93"/>
      <c r="AG287" s="93"/>
      <c r="AH287" s="93"/>
      <c r="AI287" s="93"/>
    </row>
    <row r="288">
      <c r="A288" s="113">
        <v>45423.47865822917</v>
      </c>
      <c r="B288" s="84" t="s">
        <v>2315</v>
      </c>
      <c r="C288" s="84" t="s">
        <v>2316</v>
      </c>
      <c r="D288" s="78" t="s">
        <v>2317</v>
      </c>
      <c r="E288" s="78">
        <v>7.3056188E7</v>
      </c>
      <c r="F288" s="84" t="s">
        <v>2318</v>
      </c>
      <c r="G288" s="84" t="s">
        <v>2319</v>
      </c>
      <c r="H288" s="84" t="s">
        <v>1924</v>
      </c>
      <c r="I288" s="84" t="s">
        <v>30</v>
      </c>
      <c r="J288" s="84" t="s">
        <v>30</v>
      </c>
      <c r="K288" s="84" t="s">
        <v>2320</v>
      </c>
      <c r="L288" s="134" t="s">
        <v>814</v>
      </c>
      <c r="M288" s="108"/>
      <c r="N288" s="105">
        <v>28.0</v>
      </c>
      <c r="O288" s="142">
        <v>100.0</v>
      </c>
      <c r="P288" s="84" t="s">
        <v>805</v>
      </c>
      <c r="Q288" s="84"/>
      <c r="R288" s="117" t="s">
        <v>806</v>
      </c>
      <c r="S288" s="115" t="s">
        <v>1453</v>
      </c>
      <c r="T288" s="89"/>
      <c r="U288" s="90"/>
      <c r="V288" s="84"/>
      <c r="W288" s="84"/>
      <c r="X288" s="141">
        <v>249.0</v>
      </c>
      <c r="Y288" s="114">
        <v>45425.0</v>
      </c>
      <c r="Z288" s="84"/>
      <c r="AA288" s="84"/>
      <c r="AB288" s="84"/>
      <c r="AC288" s="84"/>
      <c r="AD288" s="94">
        <f t="shared" si="18"/>
        <v>349</v>
      </c>
      <c r="AE288" s="93"/>
      <c r="AF288" s="93"/>
      <c r="AG288" s="93"/>
      <c r="AH288" s="93"/>
      <c r="AI288" s="93"/>
    </row>
    <row r="289">
      <c r="A289" s="150">
        <v>45429.73912106482</v>
      </c>
      <c r="B289" s="84" t="s">
        <v>2321</v>
      </c>
      <c r="C289" s="84" t="s">
        <v>2322</v>
      </c>
      <c r="D289" s="78" t="s">
        <v>2323</v>
      </c>
      <c r="E289" s="78">
        <v>4.1952308E7</v>
      </c>
      <c r="F289" s="84" t="s">
        <v>2324</v>
      </c>
      <c r="G289" s="84" t="s">
        <v>2325</v>
      </c>
      <c r="H289" s="84" t="s">
        <v>891</v>
      </c>
      <c r="I289" s="84" t="s">
        <v>891</v>
      </c>
      <c r="J289" s="84" t="s">
        <v>891</v>
      </c>
      <c r="K289" s="84" t="s">
        <v>1094</v>
      </c>
      <c r="L289" s="134" t="s">
        <v>884</v>
      </c>
      <c r="M289" s="84"/>
      <c r="N289" s="105">
        <v>41.0</v>
      </c>
      <c r="O289" s="142">
        <v>200.0</v>
      </c>
      <c r="P289" s="84" t="s">
        <v>805</v>
      </c>
      <c r="Q289" s="84"/>
      <c r="R289" s="84" t="s">
        <v>1018</v>
      </c>
      <c r="S289" s="115" t="s">
        <v>1453</v>
      </c>
      <c r="T289" s="89"/>
      <c r="U289" s="90"/>
      <c r="V289" s="84"/>
      <c r="W289" s="84"/>
      <c r="X289" s="141">
        <v>199.0</v>
      </c>
      <c r="Y289" s="114">
        <v>45541.0</v>
      </c>
      <c r="Z289" s="84"/>
      <c r="AA289" s="84"/>
      <c r="AB289" s="84"/>
      <c r="AC289" s="84"/>
      <c r="AD289" s="94">
        <f t="shared" si="18"/>
        <v>399</v>
      </c>
      <c r="AE289" s="93"/>
      <c r="AF289" s="93"/>
      <c r="AG289" s="93"/>
      <c r="AH289" s="93"/>
      <c r="AI289" s="93"/>
    </row>
    <row r="290">
      <c r="A290" s="150">
        <v>45433.48624835648</v>
      </c>
      <c r="B290" s="84" t="s">
        <v>2326</v>
      </c>
      <c r="C290" s="84" t="s">
        <v>2327</v>
      </c>
      <c r="D290" s="78" t="s">
        <v>2328</v>
      </c>
      <c r="E290" s="78">
        <v>7.1918041E7</v>
      </c>
      <c r="F290" s="84" t="s">
        <v>2329</v>
      </c>
      <c r="G290" s="84" t="s">
        <v>2330</v>
      </c>
      <c r="H290" s="84" t="s">
        <v>2331</v>
      </c>
      <c r="I290" s="84" t="s">
        <v>2331</v>
      </c>
      <c r="J290" s="84" t="s">
        <v>912</v>
      </c>
      <c r="K290" s="84" t="s">
        <v>1813</v>
      </c>
      <c r="L290" s="134" t="s">
        <v>884</v>
      </c>
      <c r="M290" s="84"/>
      <c r="N290" s="105">
        <v>32.0</v>
      </c>
      <c r="O290" s="142">
        <v>100.0</v>
      </c>
      <c r="P290" s="84" t="s">
        <v>805</v>
      </c>
      <c r="Q290" s="84"/>
      <c r="R290" s="84" t="s">
        <v>822</v>
      </c>
      <c r="S290" s="115" t="s">
        <v>1453</v>
      </c>
      <c r="T290" s="89"/>
      <c r="U290" s="90"/>
      <c r="V290" s="84"/>
      <c r="W290" s="84"/>
      <c r="X290" s="141">
        <v>299.0</v>
      </c>
      <c r="Y290" s="114">
        <v>45541.0</v>
      </c>
      <c r="Z290" s="84"/>
      <c r="AA290" s="84"/>
      <c r="AB290" s="84"/>
      <c r="AC290" s="84"/>
      <c r="AD290" s="94">
        <f t="shared" si="18"/>
        <v>399</v>
      </c>
      <c r="AE290" s="93"/>
      <c r="AF290" s="93"/>
      <c r="AG290" s="93"/>
      <c r="AH290" s="93"/>
      <c r="AI290" s="93"/>
    </row>
    <row r="291">
      <c r="A291" s="113">
        <v>45441.38866024306</v>
      </c>
      <c r="B291" s="84" t="s">
        <v>2332</v>
      </c>
      <c r="C291" s="84" t="s">
        <v>2333</v>
      </c>
      <c r="D291" s="78" t="s">
        <v>2334</v>
      </c>
      <c r="E291" s="78">
        <v>1.0738318E7</v>
      </c>
      <c r="F291" s="84" t="s">
        <v>2335</v>
      </c>
      <c r="G291" s="84" t="s">
        <v>2336</v>
      </c>
      <c r="H291" s="84" t="s">
        <v>1924</v>
      </c>
      <c r="I291" s="84" t="s">
        <v>30</v>
      </c>
      <c r="J291" s="84" t="s">
        <v>30</v>
      </c>
      <c r="K291" s="84" t="s">
        <v>995</v>
      </c>
      <c r="L291" s="134" t="s">
        <v>848</v>
      </c>
      <c r="M291" s="108" t="s">
        <v>2337</v>
      </c>
      <c r="N291" s="105">
        <v>47.0</v>
      </c>
      <c r="O291" s="142">
        <f>200+500</f>
        <v>700</v>
      </c>
      <c r="P291" s="84" t="s">
        <v>805</v>
      </c>
      <c r="Q291" s="84"/>
      <c r="R291" s="84" t="s">
        <v>822</v>
      </c>
      <c r="S291" s="115" t="s">
        <v>1453</v>
      </c>
      <c r="T291" s="89"/>
      <c r="U291" s="90"/>
      <c r="V291" s="84"/>
      <c r="W291" s="84"/>
      <c r="X291" s="141">
        <v>700.0</v>
      </c>
      <c r="Y291" s="114">
        <v>45472.0</v>
      </c>
      <c r="Z291" s="141">
        <v>700.0</v>
      </c>
      <c r="AA291" s="114">
        <v>45502.0</v>
      </c>
      <c r="AB291" s="141">
        <v>700.0</v>
      </c>
      <c r="AC291" s="114">
        <v>45533.0</v>
      </c>
      <c r="AD291" s="94">
        <f t="shared" si="18"/>
        <v>2800</v>
      </c>
      <c r="AE291" s="93"/>
      <c r="AF291" s="93"/>
      <c r="AG291" s="93"/>
      <c r="AH291" s="93"/>
      <c r="AI291" s="93"/>
    </row>
    <row r="292">
      <c r="A292" s="113">
        <v>45442.72777222222</v>
      </c>
      <c r="B292" s="84" t="s">
        <v>2338</v>
      </c>
      <c r="C292" s="84" t="s">
        <v>2339</v>
      </c>
      <c r="D292" s="78" t="s">
        <v>2340</v>
      </c>
      <c r="E292" s="78">
        <v>4.264333E7</v>
      </c>
      <c r="F292" s="84" t="s">
        <v>2341</v>
      </c>
      <c r="G292" s="84" t="s">
        <v>2342</v>
      </c>
      <c r="H292" s="84" t="s">
        <v>2343</v>
      </c>
      <c r="I292" s="84" t="s">
        <v>30</v>
      </c>
      <c r="J292" s="84" t="s">
        <v>30</v>
      </c>
      <c r="K292" s="84" t="s">
        <v>2344</v>
      </c>
      <c r="L292" s="134" t="s">
        <v>848</v>
      </c>
      <c r="M292" s="84"/>
      <c r="N292" s="105">
        <v>42.0</v>
      </c>
      <c r="O292" s="142">
        <v>500.0</v>
      </c>
      <c r="P292" s="84" t="s">
        <v>920</v>
      </c>
      <c r="Q292" s="105">
        <v>2.0605521119E10</v>
      </c>
      <c r="R292" s="84" t="s">
        <v>822</v>
      </c>
      <c r="S292" s="115" t="s">
        <v>1424</v>
      </c>
      <c r="T292" s="84"/>
      <c r="U292" s="90"/>
      <c r="V292" s="84"/>
      <c r="W292" s="84"/>
      <c r="X292" s="141">
        <v>1999.0</v>
      </c>
      <c r="Y292" s="114">
        <v>45445.0</v>
      </c>
      <c r="Z292" s="84"/>
      <c r="AA292" s="84"/>
      <c r="AB292" s="84"/>
      <c r="AC292" s="84"/>
      <c r="AD292" s="94">
        <f t="shared" si="18"/>
        <v>2499</v>
      </c>
      <c r="AE292" s="93"/>
      <c r="AF292" s="93"/>
      <c r="AG292" s="93"/>
      <c r="AH292" s="93"/>
      <c r="AI292" s="93"/>
    </row>
    <row r="293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90"/>
      <c r="V293" s="84"/>
      <c r="W293" s="84"/>
      <c r="X293" s="153"/>
      <c r="Y293" s="84"/>
      <c r="Z293" s="84"/>
      <c r="AA293" s="84"/>
      <c r="AB293" s="84"/>
      <c r="AC293" s="84"/>
      <c r="AD293" s="93"/>
      <c r="AE293" s="93"/>
      <c r="AF293" s="93"/>
      <c r="AG293" s="93"/>
      <c r="AH293" s="93"/>
      <c r="AI293" s="93"/>
    </row>
    <row r="294">
      <c r="A294" s="150">
        <v>45383.7167542824</v>
      </c>
      <c r="B294" s="84" t="s">
        <v>2345</v>
      </c>
      <c r="C294" s="84" t="s">
        <v>2346</v>
      </c>
      <c r="D294" s="78" t="s">
        <v>2347</v>
      </c>
      <c r="E294" s="78">
        <v>7.2287713E7</v>
      </c>
      <c r="F294" s="84" t="s">
        <v>2348</v>
      </c>
      <c r="G294" s="84" t="s">
        <v>2349</v>
      </c>
      <c r="H294" s="84" t="s">
        <v>2350</v>
      </c>
      <c r="I294" s="84" t="s">
        <v>1824</v>
      </c>
      <c r="J294" s="84" t="s">
        <v>1812</v>
      </c>
      <c r="K294" s="84" t="s">
        <v>2351</v>
      </c>
      <c r="L294" s="134" t="s">
        <v>1331</v>
      </c>
      <c r="M294" s="108"/>
      <c r="N294" s="111">
        <v>23.0</v>
      </c>
      <c r="O294" s="142">
        <v>350.0</v>
      </c>
      <c r="P294" s="84" t="s">
        <v>805</v>
      </c>
      <c r="Q294" s="84"/>
      <c r="R294" s="84" t="s">
        <v>1018</v>
      </c>
      <c r="S294" s="115" t="s">
        <v>1453</v>
      </c>
      <c r="T294" s="89"/>
      <c r="U294" s="90"/>
      <c r="V294" s="84"/>
      <c r="W294" s="84"/>
      <c r="X294" s="141">
        <v>299.0</v>
      </c>
      <c r="Y294" s="114">
        <v>45395.0</v>
      </c>
      <c r="Z294" s="84"/>
      <c r="AA294" s="84"/>
      <c r="AB294" s="84"/>
      <c r="AC294" s="84"/>
      <c r="AD294" s="94">
        <f t="shared" ref="AD294:AD301" si="19">O294+X294+Z294+AB294</f>
        <v>649</v>
      </c>
      <c r="AE294" s="93"/>
      <c r="AF294" s="93"/>
      <c r="AG294" s="93"/>
      <c r="AH294" s="93"/>
      <c r="AI294" s="93"/>
    </row>
    <row r="295">
      <c r="A295" s="150">
        <v>45384.76551077546</v>
      </c>
      <c r="B295" s="84" t="s">
        <v>894</v>
      </c>
      <c r="C295" s="84" t="s">
        <v>2352</v>
      </c>
      <c r="D295" s="138" t="s">
        <v>2353</v>
      </c>
      <c r="E295" s="78">
        <v>4.6296832E7</v>
      </c>
      <c r="F295" s="84" t="s">
        <v>2354</v>
      </c>
      <c r="G295" s="84" t="s">
        <v>2355</v>
      </c>
      <c r="H295" s="84" t="s">
        <v>2356</v>
      </c>
      <c r="I295" s="84" t="s">
        <v>2356</v>
      </c>
      <c r="J295" s="84" t="s">
        <v>867</v>
      </c>
      <c r="K295" s="84" t="s">
        <v>2357</v>
      </c>
      <c r="L295" s="134" t="s">
        <v>804</v>
      </c>
      <c r="M295" s="108"/>
      <c r="N295" s="111">
        <v>35.0</v>
      </c>
      <c r="O295" s="142">
        <v>200.0</v>
      </c>
      <c r="P295" s="84" t="s">
        <v>805</v>
      </c>
      <c r="Q295" s="84"/>
      <c r="R295" s="84" t="s">
        <v>1018</v>
      </c>
      <c r="S295" s="115" t="s">
        <v>1453</v>
      </c>
      <c r="T295" s="89"/>
      <c r="U295" s="90"/>
      <c r="V295" s="84"/>
      <c r="W295" s="84"/>
      <c r="X295" s="141">
        <v>149.0</v>
      </c>
      <c r="Y295" s="114">
        <v>45397.0</v>
      </c>
      <c r="Z295" s="84"/>
      <c r="AA295" s="84"/>
      <c r="AB295" s="84"/>
      <c r="AC295" s="84"/>
      <c r="AD295" s="94">
        <f t="shared" si="19"/>
        <v>349</v>
      </c>
      <c r="AE295" s="93"/>
      <c r="AF295" s="93"/>
      <c r="AG295" s="93"/>
      <c r="AH295" s="93"/>
      <c r="AI295" s="93"/>
    </row>
    <row r="296">
      <c r="A296" s="113">
        <v>45388.52690776621</v>
      </c>
      <c r="B296" s="84" t="s">
        <v>2358</v>
      </c>
      <c r="C296" s="84" t="s">
        <v>2359</v>
      </c>
      <c r="D296" s="78" t="s">
        <v>2360</v>
      </c>
      <c r="E296" s="78">
        <v>4.2346515E7</v>
      </c>
      <c r="F296" s="84" t="s">
        <v>2361</v>
      </c>
      <c r="G296" s="84" t="s">
        <v>2362</v>
      </c>
      <c r="H296" s="84" t="s">
        <v>2363</v>
      </c>
      <c r="I296" s="84" t="s">
        <v>2364</v>
      </c>
      <c r="J296" s="84" t="s">
        <v>891</v>
      </c>
      <c r="K296" s="84" t="s">
        <v>1016</v>
      </c>
      <c r="L296" s="134" t="s">
        <v>884</v>
      </c>
      <c r="M296" s="108"/>
      <c r="N296" s="111">
        <v>42.0</v>
      </c>
      <c r="O296" s="142">
        <v>100.0</v>
      </c>
      <c r="P296" s="84" t="s">
        <v>805</v>
      </c>
      <c r="Q296" s="84"/>
      <c r="R296" s="117" t="s">
        <v>806</v>
      </c>
      <c r="S296" s="115" t="s">
        <v>1453</v>
      </c>
      <c r="T296" s="89"/>
      <c r="U296" s="90"/>
      <c r="V296" s="84"/>
      <c r="W296" s="84"/>
      <c r="X296" s="141">
        <v>399.0</v>
      </c>
      <c r="Y296" s="114">
        <v>45390.0</v>
      </c>
      <c r="Z296" s="84"/>
      <c r="AA296" s="84"/>
      <c r="AB296" s="84"/>
      <c r="AC296" s="84"/>
      <c r="AD296" s="94">
        <f t="shared" si="19"/>
        <v>499</v>
      </c>
      <c r="AE296" s="93"/>
      <c r="AF296" s="93"/>
      <c r="AG296" s="93"/>
      <c r="AH296" s="93"/>
      <c r="AI296" s="93"/>
    </row>
    <row r="297">
      <c r="A297" s="113">
        <v>45398.68572444444</v>
      </c>
      <c r="B297" s="84" t="s">
        <v>2365</v>
      </c>
      <c r="C297" s="84" t="s">
        <v>2366</v>
      </c>
      <c r="D297" s="78" t="s">
        <v>2367</v>
      </c>
      <c r="E297" s="78">
        <v>4.2533235E7</v>
      </c>
      <c r="F297" s="84" t="s">
        <v>2368</v>
      </c>
      <c r="G297" s="84" t="s">
        <v>2369</v>
      </c>
      <c r="H297" s="84" t="s">
        <v>2369</v>
      </c>
      <c r="I297" s="84" t="s">
        <v>1124</v>
      </c>
      <c r="J297" s="84" t="s">
        <v>1124</v>
      </c>
      <c r="K297" s="84" t="s">
        <v>1480</v>
      </c>
      <c r="L297" s="134" t="s">
        <v>848</v>
      </c>
      <c r="M297" s="108" t="s">
        <v>2370</v>
      </c>
      <c r="N297" s="111">
        <v>40.0</v>
      </c>
      <c r="O297" s="142">
        <v>1300.0</v>
      </c>
      <c r="P297" s="84" t="s">
        <v>805</v>
      </c>
      <c r="Q297" s="84"/>
      <c r="R297" s="117" t="s">
        <v>806</v>
      </c>
      <c r="S297" s="115" t="s">
        <v>1453</v>
      </c>
      <c r="T297" s="89"/>
      <c r="U297" s="90"/>
      <c r="V297" s="84"/>
      <c r="W297" s="84"/>
      <c r="X297" s="141">
        <v>1300.0</v>
      </c>
      <c r="Y297" s="114">
        <v>45402.0</v>
      </c>
      <c r="Z297" s="84"/>
      <c r="AA297" s="84"/>
      <c r="AB297" s="84"/>
      <c r="AC297" s="84"/>
      <c r="AD297" s="94">
        <f t="shared" si="19"/>
        <v>2600</v>
      </c>
      <c r="AE297" s="93"/>
      <c r="AF297" s="93"/>
      <c r="AG297" s="93"/>
      <c r="AH297" s="93"/>
      <c r="AI297" s="93"/>
    </row>
    <row r="298">
      <c r="A298" s="124">
        <v>45400.82120481481</v>
      </c>
      <c r="B298" s="84" t="s">
        <v>2217</v>
      </c>
      <c r="C298" s="84" t="s">
        <v>2371</v>
      </c>
      <c r="D298" s="78" t="s">
        <v>2372</v>
      </c>
      <c r="E298" s="78">
        <v>2.3842802E7</v>
      </c>
      <c r="F298" s="84" t="s">
        <v>2373</v>
      </c>
      <c r="G298" s="84" t="s">
        <v>2374</v>
      </c>
      <c r="H298" s="84" t="s">
        <v>1607</v>
      </c>
      <c r="I298" s="84" t="s">
        <v>30</v>
      </c>
      <c r="J298" s="84" t="s">
        <v>30</v>
      </c>
      <c r="K298" s="84" t="s">
        <v>2375</v>
      </c>
      <c r="L298" s="84" t="s">
        <v>1417</v>
      </c>
      <c r="M298" s="108"/>
      <c r="N298" s="111">
        <v>59.0</v>
      </c>
      <c r="O298" s="142">
        <v>350.0</v>
      </c>
      <c r="P298" s="84" t="s">
        <v>805</v>
      </c>
      <c r="Q298" s="84"/>
      <c r="R298" s="84" t="s">
        <v>1018</v>
      </c>
      <c r="S298" s="115" t="s">
        <v>1453</v>
      </c>
      <c r="T298" s="136">
        <v>45813.0</v>
      </c>
      <c r="U298" s="90"/>
      <c r="V298" s="84"/>
      <c r="W298" s="84"/>
      <c r="X298" s="141">
        <v>349.0</v>
      </c>
      <c r="Y298" s="114">
        <v>45427.0</v>
      </c>
      <c r="Z298" s="84"/>
      <c r="AA298" s="84"/>
      <c r="AB298" s="84"/>
      <c r="AC298" s="84"/>
      <c r="AD298" s="94">
        <f t="shared" si="19"/>
        <v>699</v>
      </c>
      <c r="AE298" s="93"/>
      <c r="AF298" s="93"/>
      <c r="AG298" s="93"/>
      <c r="AH298" s="93"/>
      <c r="AI298" s="93"/>
    </row>
    <row r="299">
      <c r="A299" s="150">
        <v>45401.920465347226</v>
      </c>
      <c r="B299" s="84" t="s">
        <v>2376</v>
      </c>
      <c r="C299" s="84" t="s">
        <v>2377</v>
      </c>
      <c r="D299" s="78" t="s">
        <v>2378</v>
      </c>
      <c r="E299" s="78">
        <v>3.1661697E7</v>
      </c>
      <c r="F299" s="84" t="s">
        <v>2379</v>
      </c>
      <c r="G299" s="84" t="s">
        <v>2380</v>
      </c>
      <c r="H299" s="84" t="s">
        <v>1748</v>
      </c>
      <c r="I299" s="84" t="s">
        <v>845</v>
      </c>
      <c r="J299" s="84" t="s">
        <v>1894</v>
      </c>
      <c r="K299" s="84" t="s">
        <v>2381</v>
      </c>
      <c r="L299" s="134" t="s">
        <v>848</v>
      </c>
      <c r="M299" s="84"/>
      <c r="N299" s="105">
        <v>51.0</v>
      </c>
      <c r="O299" s="142">
        <v>240.0</v>
      </c>
      <c r="P299" s="84" t="s">
        <v>920</v>
      </c>
      <c r="Q299" s="111">
        <v>2.0604859159E10</v>
      </c>
      <c r="R299" s="84" t="s">
        <v>1018</v>
      </c>
      <c r="S299" s="115" t="s">
        <v>1453</v>
      </c>
      <c r="T299" s="107">
        <v>45705.0</v>
      </c>
      <c r="U299" s="90"/>
      <c r="V299" s="84"/>
      <c r="W299" s="84"/>
      <c r="X299" s="142">
        <v>1030.0</v>
      </c>
      <c r="Y299" s="114">
        <v>45615.0</v>
      </c>
      <c r="Z299" s="141">
        <v>1030.0</v>
      </c>
      <c r="AA299" s="114">
        <v>45645.0</v>
      </c>
      <c r="AB299" s="84"/>
      <c r="AC299" s="84"/>
      <c r="AD299" s="94">
        <f t="shared" si="19"/>
        <v>2300</v>
      </c>
      <c r="AE299" s="93"/>
      <c r="AF299" s="93"/>
      <c r="AG299" s="93"/>
      <c r="AH299" s="93"/>
      <c r="AI299" s="93"/>
    </row>
    <row r="300">
      <c r="A300" s="124">
        <v>45411.41527704861</v>
      </c>
      <c r="B300" s="84" t="s">
        <v>2382</v>
      </c>
      <c r="C300" s="84" t="s">
        <v>2383</v>
      </c>
      <c r="D300" s="78" t="s">
        <v>2384</v>
      </c>
      <c r="E300" s="78">
        <v>2.4991341E7</v>
      </c>
      <c r="F300" s="84" t="s">
        <v>2385</v>
      </c>
      <c r="G300" s="84" t="s">
        <v>2386</v>
      </c>
      <c r="H300" s="84" t="s">
        <v>1047</v>
      </c>
      <c r="I300" s="84" t="s">
        <v>2387</v>
      </c>
      <c r="J300" s="84" t="s">
        <v>867</v>
      </c>
      <c r="K300" s="84" t="s">
        <v>2388</v>
      </c>
      <c r="L300" s="84" t="s">
        <v>848</v>
      </c>
      <c r="M300" s="108" t="s">
        <v>2309</v>
      </c>
      <c r="N300" s="111">
        <v>50.0</v>
      </c>
      <c r="O300" s="142">
        <v>750.0</v>
      </c>
      <c r="P300" s="84" t="s">
        <v>920</v>
      </c>
      <c r="Q300" s="111">
        <v>1.0249913419E10</v>
      </c>
      <c r="R300" s="84" t="s">
        <v>1018</v>
      </c>
      <c r="S300" s="115" t="s">
        <v>1453</v>
      </c>
      <c r="T300" s="136">
        <v>45813.0</v>
      </c>
      <c r="U300" s="90"/>
      <c r="V300" s="84"/>
      <c r="W300" s="84"/>
      <c r="X300" s="141">
        <v>750.0</v>
      </c>
      <c r="Y300" s="114">
        <v>45441.0</v>
      </c>
      <c r="Z300" s="154">
        <v>750.0</v>
      </c>
      <c r="AA300" s="114">
        <v>45472.0</v>
      </c>
      <c r="AB300" s="154">
        <v>750.0</v>
      </c>
      <c r="AC300" s="114">
        <v>45502.0</v>
      </c>
      <c r="AD300" s="94">
        <f t="shared" si="19"/>
        <v>3000</v>
      </c>
      <c r="AE300" s="93"/>
      <c r="AF300" s="93"/>
      <c r="AG300" s="93"/>
      <c r="AH300" s="93"/>
      <c r="AI300" s="93"/>
    </row>
    <row r="301">
      <c r="A301" s="150">
        <v>45412.78886101852</v>
      </c>
      <c r="B301" s="84" t="s">
        <v>2389</v>
      </c>
      <c r="C301" s="84" t="s">
        <v>2390</v>
      </c>
      <c r="D301" s="78" t="s">
        <v>2391</v>
      </c>
      <c r="E301" s="78">
        <v>7.7493743E7</v>
      </c>
      <c r="F301" s="84" t="s">
        <v>2392</v>
      </c>
      <c r="G301" s="84" t="s">
        <v>2393</v>
      </c>
      <c r="H301" s="84" t="s">
        <v>938</v>
      </c>
      <c r="I301" s="84" t="s">
        <v>867</v>
      </c>
      <c r="J301" s="84" t="s">
        <v>867</v>
      </c>
      <c r="K301" s="84" t="s">
        <v>927</v>
      </c>
      <c r="L301" s="134" t="s">
        <v>814</v>
      </c>
      <c r="M301" s="84"/>
      <c r="N301" s="105">
        <v>29.0</v>
      </c>
      <c r="O301" s="142">
        <v>200.0</v>
      </c>
      <c r="P301" s="84" t="s">
        <v>805</v>
      </c>
      <c r="Q301" s="84"/>
      <c r="R301" s="117" t="s">
        <v>806</v>
      </c>
      <c r="S301" s="115" t="s">
        <v>1453</v>
      </c>
      <c r="T301" s="89"/>
      <c r="U301" s="90"/>
      <c r="V301" s="84"/>
      <c r="W301" s="84"/>
      <c r="X301" s="141">
        <v>150.0</v>
      </c>
      <c r="Y301" s="114">
        <v>45427.0</v>
      </c>
      <c r="Z301" s="84"/>
      <c r="AA301" s="84"/>
      <c r="AB301" s="84"/>
      <c r="AC301" s="84"/>
      <c r="AD301" s="94">
        <f t="shared" si="19"/>
        <v>350</v>
      </c>
      <c r="AE301" s="93"/>
      <c r="AF301" s="93"/>
      <c r="AG301" s="93"/>
      <c r="AH301" s="93"/>
      <c r="AI301" s="93"/>
    </row>
    <row r="302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90"/>
      <c r="V302" s="84"/>
      <c r="W302" s="84"/>
      <c r="X302" s="84"/>
      <c r="Y302" s="84"/>
      <c r="Z302" s="84"/>
      <c r="AA302" s="84"/>
      <c r="AB302" s="84"/>
      <c r="AC302" s="84"/>
      <c r="AD302" s="93"/>
      <c r="AE302" s="93"/>
      <c r="AF302" s="93"/>
      <c r="AG302" s="93"/>
      <c r="AH302" s="93"/>
      <c r="AI302" s="93"/>
    </row>
    <row r="303">
      <c r="A303" s="113">
        <v>45358.732835243056</v>
      </c>
      <c r="B303" s="84" t="s">
        <v>2394</v>
      </c>
      <c r="C303" s="84" t="s">
        <v>2395</v>
      </c>
      <c r="D303" s="78" t="s">
        <v>2396</v>
      </c>
      <c r="E303" s="78">
        <v>7.0571679E7</v>
      </c>
      <c r="F303" s="84" t="s">
        <v>2397</v>
      </c>
      <c r="G303" s="84" t="s">
        <v>2398</v>
      </c>
      <c r="H303" s="84" t="s">
        <v>2232</v>
      </c>
      <c r="I303" s="84" t="s">
        <v>2232</v>
      </c>
      <c r="J303" s="84" t="s">
        <v>2018</v>
      </c>
      <c r="K303" s="84" t="s">
        <v>821</v>
      </c>
      <c r="L303" s="134" t="s">
        <v>814</v>
      </c>
      <c r="M303" s="108"/>
      <c r="N303" s="111">
        <v>34.0</v>
      </c>
      <c r="O303" s="142">
        <v>200.0</v>
      </c>
      <c r="P303" s="84" t="s">
        <v>805</v>
      </c>
      <c r="Q303" s="84"/>
      <c r="R303" s="117" t="s">
        <v>806</v>
      </c>
      <c r="S303" s="115" t="s">
        <v>1453</v>
      </c>
      <c r="T303" s="89"/>
      <c r="U303" s="90"/>
      <c r="V303" s="84"/>
      <c r="W303" s="84"/>
      <c r="X303" s="141">
        <v>149.0</v>
      </c>
      <c r="Y303" s="114">
        <v>45407.0</v>
      </c>
      <c r="Z303" s="84"/>
      <c r="AA303" s="84"/>
      <c r="AB303" s="84"/>
      <c r="AC303" s="84"/>
      <c r="AD303" s="94">
        <f t="shared" ref="AD303:AD308" si="20">O303+X303+Z303+AB303</f>
        <v>349</v>
      </c>
      <c r="AE303" s="93"/>
      <c r="AF303" s="93"/>
      <c r="AG303" s="93"/>
      <c r="AH303" s="93"/>
      <c r="AI303" s="93"/>
    </row>
    <row r="304">
      <c r="A304" s="124">
        <v>45362.547924872684</v>
      </c>
      <c r="B304" s="84" t="s">
        <v>2399</v>
      </c>
      <c r="C304" s="84" t="s">
        <v>2400</v>
      </c>
      <c r="D304" s="78">
        <v>5.1997447954E10</v>
      </c>
      <c r="E304" s="78">
        <v>4.7018714E7</v>
      </c>
      <c r="F304" s="84" t="s">
        <v>2401</v>
      </c>
      <c r="G304" s="84" t="s">
        <v>2402</v>
      </c>
      <c r="H304" s="84" t="s">
        <v>2403</v>
      </c>
      <c r="I304" s="84" t="s">
        <v>2403</v>
      </c>
      <c r="J304" s="84" t="s">
        <v>979</v>
      </c>
      <c r="K304" s="84" t="s">
        <v>1219</v>
      </c>
      <c r="L304" s="84" t="s">
        <v>848</v>
      </c>
      <c r="M304" s="108"/>
      <c r="N304" s="111">
        <v>32.0</v>
      </c>
      <c r="O304" s="142">
        <v>700.0</v>
      </c>
      <c r="P304" s="84" t="s">
        <v>805</v>
      </c>
      <c r="Q304" s="84"/>
      <c r="R304" s="84" t="s">
        <v>822</v>
      </c>
      <c r="S304" s="115" t="s">
        <v>1453</v>
      </c>
      <c r="T304" s="136">
        <v>45813.0</v>
      </c>
      <c r="U304" s="90"/>
      <c r="V304" s="84"/>
      <c r="W304" s="84"/>
      <c r="X304" s="142">
        <v>700.0</v>
      </c>
      <c r="Y304" s="114">
        <v>45521.0</v>
      </c>
      <c r="Z304" s="142">
        <v>700.0</v>
      </c>
      <c r="AA304" s="114">
        <v>45544.0</v>
      </c>
      <c r="AB304" s="154">
        <v>700.0</v>
      </c>
      <c r="AC304" s="114">
        <v>45593.0</v>
      </c>
      <c r="AD304" s="94">
        <f t="shared" si="20"/>
        <v>2800</v>
      </c>
      <c r="AE304" s="93"/>
      <c r="AF304" s="93"/>
      <c r="AG304" s="93"/>
      <c r="AH304" s="93"/>
      <c r="AI304" s="93"/>
    </row>
    <row r="305">
      <c r="A305" s="113">
        <v>45365.41056841435</v>
      </c>
      <c r="B305" s="84" t="s">
        <v>2404</v>
      </c>
      <c r="C305" s="84" t="s">
        <v>2405</v>
      </c>
      <c r="D305" s="78" t="s">
        <v>2406</v>
      </c>
      <c r="E305" s="78">
        <v>1.6140506E7</v>
      </c>
      <c r="F305" s="84" t="s">
        <v>2407</v>
      </c>
      <c r="G305" s="84" t="s">
        <v>2408</v>
      </c>
      <c r="H305" s="84" t="s">
        <v>2408</v>
      </c>
      <c r="I305" s="84" t="s">
        <v>2409</v>
      </c>
      <c r="J305" s="84" t="s">
        <v>30</v>
      </c>
      <c r="K305" s="84" t="s">
        <v>847</v>
      </c>
      <c r="L305" s="134" t="s">
        <v>1417</v>
      </c>
      <c r="M305" s="108"/>
      <c r="N305" s="111">
        <v>48.0</v>
      </c>
      <c r="O305" s="142">
        <f>400+200+50</f>
        <v>650</v>
      </c>
      <c r="P305" s="84" t="s">
        <v>805</v>
      </c>
      <c r="Q305" s="84"/>
      <c r="R305" s="117" t="s">
        <v>806</v>
      </c>
      <c r="S305" s="115" t="s">
        <v>1453</v>
      </c>
      <c r="T305" s="89"/>
      <c r="U305" s="90"/>
      <c r="V305" s="84"/>
      <c r="W305" s="84"/>
      <c r="X305" s="141">
        <v>149.0</v>
      </c>
      <c r="Y305" s="114">
        <v>45382.0</v>
      </c>
      <c r="Z305" s="84"/>
      <c r="AA305" s="84"/>
      <c r="AB305" s="84"/>
      <c r="AC305" s="84"/>
      <c r="AD305" s="94">
        <f t="shared" si="20"/>
        <v>799</v>
      </c>
      <c r="AE305" s="93"/>
      <c r="AF305" s="93"/>
      <c r="AG305" s="93"/>
      <c r="AH305" s="93"/>
      <c r="AI305" s="93"/>
    </row>
    <row r="306">
      <c r="A306" s="113">
        <v>45372.45928996528</v>
      </c>
      <c r="B306" s="84" t="s">
        <v>2410</v>
      </c>
      <c r="C306" s="84" t="s">
        <v>2411</v>
      </c>
      <c r="D306" s="138" t="s">
        <v>2412</v>
      </c>
      <c r="E306" s="78">
        <v>4.3084697E7</v>
      </c>
      <c r="F306" s="84" t="s">
        <v>2413</v>
      </c>
      <c r="G306" s="84" t="s">
        <v>2414</v>
      </c>
      <c r="H306" s="84" t="s">
        <v>1988</v>
      </c>
      <c r="I306" s="84" t="s">
        <v>30</v>
      </c>
      <c r="J306" s="84" t="s">
        <v>30</v>
      </c>
      <c r="K306" s="84" t="s">
        <v>2415</v>
      </c>
      <c r="L306" s="134" t="s">
        <v>804</v>
      </c>
      <c r="M306" s="108"/>
      <c r="N306" s="111">
        <v>42.0</v>
      </c>
      <c r="O306" s="142">
        <v>100.0</v>
      </c>
      <c r="P306" s="84" t="s">
        <v>805</v>
      </c>
      <c r="Q306" s="84"/>
      <c r="R306" s="117" t="s">
        <v>1018</v>
      </c>
      <c r="S306" s="115" t="s">
        <v>1453</v>
      </c>
      <c r="T306" s="89"/>
      <c r="U306" s="90"/>
      <c r="V306" s="84"/>
      <c r="W306" s="84"/>
      <c r="X306" s="141">
        <v>199.0</v>
      </c>
      <c r="Y306" s="114">
        <v>45667.0</v>
      </c>
      <c r="Z306" s="84"/>
      <c r="AA306" s="84"/>
      <c r="AB306" s="84"/>
      <c r="AC306" s="84"/>
      <c r="AD306" s="94">
        <f t="shared" si="20"/>
        <v>299</v>
      </c>
      <c r="AE306" s="93"/>
      <c r="AF306" s="93"/>
      <c r="AG306" s="93"/>
      <c r="AH306" s="93"/>
      <c r="AI306" s="93"/>
    </row>
    <row r="307">
      <c r="A307" s="113">
        <v>45373.568371932866</v>
      </c>
      <c r="B307" s="84" t="s">
        <v>2416</v>
      </c>
      <c r="C307" s="84" t="s">
        <v>2417</v>
      </c>
      <c r="D307" s="78" t="s">
        <v>2418</v>
      </c>
      <c r="E307" s="78">
        <v>4.2415646E7</v>
      </c>
      <c r="F307" s="84" t="s">
        <v>2419</v>
      </c>
      <c r="G307" s="84" t="s">
        <v>2420</v>
      </c>
      <c r="H307" s="84" t="s">
        <v>855</v>
      </c>
      <c r="I307" s="84" t="s">
        <v>854</v>
      </c>
      <c r="J307" s="84" t="s">
        <v>855</v>
      </c>
      <c r="K307" s="84" t="s">
        <v>1571</v>
      </c>
      <c r="L307" s="134" t="s">
        <v>848</v>
      </c>
      <c r="M307" s="108"/>
      <c r="N307" s="111">
        <v>40.0</v>
      </c>
      <c r="O307" s="142">
        <v>725.0</v>
      </c>
      <c r="P307" s="84" t="s">
        <v>805</v>
      </c>
      <c r="Q307" s="84"/>
      <c r="R307" s="84" t="s">
        <v>822</v>
      </c>
      <c r="S307" s="115" t="s">
        <v>1453</v>
      </c>
      <c r="T307" s="89"/>
      <c r="U307" s="90"/>
      <c r="V307" s="84"/>
      <c r="W307" s="84"/>
      <c r="X307" s="141">
        <v>725.0</v>
      </c>
      <c r="Y307" s="114">
        <v>45404.0</v>
      </c>
      <c r="Z307" s="154">
        <v>725.0</v>
      </c>
      <c r="AA307" s="114">
        <v>45434.0</v>
      </c>
      <c r="AB307" s="154">
        <v>725.0</v>
      </c>
      <c r="AC307" s="114">
        <v>45465.0</v>
      </c>
      <c r="AD307" s="94">
        <f t="shared" si="20"/>
        <v>2900</v>
      </c>
      <c r="AE307" s="93"/>
      <c r="AF307" s="93"/>
      <c r="AG307" s="93"/>
      <c r="AH307" s="93"/>
      <c r="AI307" s="93"/>
    </row>
    <row r="308">
      <c r="A308" s="113">
        <v>45377.79892939815</v>
      </c>
      <c r="B308" s="84" t="s">
        <v>2421</v>
      </c>
      <c r="C308" s="84" t="s">
        <v>2422</v>
      </c>
      <c r="D308" s="78" t="s">
        <v>2423</v>
      </c>
      <c r="E308" s="78">
        <v>4.5516668E7</v>
      </c>
      <c r="F308" s="84" t="s">
        <v>2424</v>
      </c>
      <c r="G308" s="84" t="s">
        <v>2425</v>
      </c>
      <c r="H308" s="84" t="s">
        <v>1901</v>
      </c>
      <c r="I308" s="84" t="s">
        <v>933</v>
      </c>
      <c r="J308" s="84" t="s">
        <v>932</v>
      </c>
      <c r="K308" s="84" t="s">
        <v>906</v>
      </c>
      <c r="L308" s="134" t="s">
        <v>814</v>
      </c>
      <c r="M308" s="108"/>
      <c r="N308" s="111">
        <v>35.0</v>
      </c>
      <c r="O308" s="142">
        <v>200.0</v>
      </c>
      <c r="P308" s="84" t="s">
        <v>920</v>
      </c>
      <c r="Q308" s="105">
        <v>1.0455166689E10</v>
      </c>
      <c r="R308" s="117" t="s">
        <v>822</v>
      </c>
      <c r="S308" s="115" t="s">
        <v>1453</v>
      </c>
      <c r="T308" s="89"/>
      <c r="U308" s="90"/>
      <c r="V308" s="84"/>
      <c r="W308" s="84"/>
      <c r="X308" s="141">
        <v>149.0</v>
      </c>
      <c r="Y308" s="114">
        <v>45472.0</v>
      </c>
      <c r="Z308" s="84"/>
      <c r="AA308" s="84"/>
      <c r="AB308" s="84"/>
      <c r="AC308" s="84"/>
      <c r="AD308" s="94">
        <f t="shared" si="20"/>
        <v>349</v>
      </c>
      <c r="AE308" s="93"/>
      <c r="AF308" s="93"/>
      <c r="AG308" s="93"/>
      <c r="AH308" s="93"/>
      <c r="AI308" s="93"/>
    </row>
    <row r="309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90"/>
      <c r="V309" s="84"/>
      <c r="W309" s="84"/>
      <c r="X309" s="84"/>
      <c r="Y309" s="84"/>
      <c r="Z309" s="84"/>
      <c r="AA309" s="84"/>
      <c r="AB309" s="84"/>
      <c r="AC309" s="84"/>
      <c r="AD309" s="93"/>
      <c r="AE309" s="93"/>
      <c r="AF309" s="93"/>
      <c r="AG309" s="93"/>
      <c r="AH309" s="93"/>
      <c r="AI309" s="93"/>
    </row>
    <row r="310">
      <c r="A310" s="150">
        <v>45325.50070355324</v>
      </c>
      <c r="B310" s="84" t="s">
        <v>2426</v>
      </c>
      <c r="C310" s="84" t="s">
        <v>2427</v>
      </c>
      <c r="D310" s="78" t="s">
        <v>2428</v>
      </c>
      <c r="E310" s="78">
        <v>4.6072267E7</v>
      </c>
      <c r="F310" s="84" t="s">
        <v>2429</v>
      </c>
      <c r="G310" s="84" t="s">
        <v>2430</v>
      </c>
      <c r="H310" s="84" t="s">
        <v>2042</v>
      </c>
      <c r="I310" s="84" t="s">
        <v>2008</v>
      </c>
      <c r="J310" s="84" t="s">
        <v>951</v>
      </c>
      <c r="K310" s="84" t="s">
        <v>847</v>
      </c>
      <c r="L310" s="84" t="s">
        <v>848</v>
      </c>
      <c r="M310" s="84"/>
      <c r="N310" s="105">
        <v>34.0</v>
      </c>
      <c r="O310" s="142">
        <v>400.0</v>
      </c>
      <c r="P310" s="84" t="s">
        <v>805</v>
      </c>
      <c r="Q310" s="84"/>
      <c r="R310" s="84" t="s">
        <v>1018</v>
      </c>
      <c r="S310" s="115" t="s">
        <v>1453</v>
      </c>
      <c r="T310" s="89"/>
      <c r="U310" s="90"/>
      <c r="V310" s="84"/>
      <c r="W310" s="84"/>
      <c r="X310" s="141">
        <v>1050.0</v>
      </c>
      <c r="Y310" s="114">
        <v>45354.0</v>
      </c>
      <c r="Z310" s="84"/>
      <c r="AA310" s="84"/>
      <c r="AB310" s="84"/>
      <c r="AC310" s="84"/>
      <c r="AD310" s="94">
        <f t="shared" ref="AD310:AD313" si="21">O310+X310+Z310+AB310</f>
        <v>1450</v>
      </c>
      <c r="AE310" s="93"/>
      <c r="AF310" s="93"/>
      <c r="AG310" s="93"/>
      <c r="AH310" s="93"/>
      <c r="AI310" s="93"/>
    </row>
    <row r="311">
      <c r="A311" s="150">
        <v>45339.550597037036</v>
      </c>
      <c r="B311" s="84" t="s">
        <v>2431</v>
      </c>
      <c r="C311" s="84" t="s">
        <v>2432</v>
      </c>
      <c r="D311" s="78" t="s">
        <v>2433</v>
      </c>
      <c r="E311" s="78">
        <v>8.0016139E7</v>
      </c>
      <c r="F311" s="84" t="s">
        <v>2434</v>
      </c>
      <c r="G311" s="84" t="s">
        <v>2435</v>
      </c>
      <c r="H311" s="84" t="s">
        <v>2436</v>
      </c>
      <c r="I311" s="84" t="s">
        <v>994</v>
      </c>
      <c r="J311" s="84" t="s">
        <v>905</v>
      </c>
      <c r="K311" s="84" t="s">
        <v>2437</v>
      </c>
      <c r="L311" s="134" t="s">
        <v>848</v>
      </c>
      <c r="M311" s="108" t="s">
        <v>2438</v>
      </c>
      <c r="N311" s="105">
        <v>39.0</v>
      </c>
      <c r="O311" s="142">
        <v>700.0</v>
      </c>
      <c r="P311" s="84" t="s">
        <v>920</v>
      </c>
      <c r="Q311" s="105">
        <v>1.0800161393E10</v>
      </c>
      <c r="R311" s="84" t="s">
        <v>822</v>
      </c>
      <c r="S311" s="115" t="s">
        <v>1453</v>
      </c>
      <c r="T311" s="89"/>
      <c r="U311" s="90"/>
      <c r="V311" s="84"/>
      <c r="W311" s="84"/>
      <c r="X311" s="141">
        <v>700.0</v>
      </c>
      <c r="Y311" s="114">
        <v>45368.0</v>
      </c>
      <c r="Z311" s="141">
        <v>700.0</v>
      </c>
      <c r="AA311" s="114">
        <v>45399.0</v>
      </c>
      <c r="AB311" s="141">
        <v>700.0</v>
      </c>
      <c r="AC311" s="114">
        <v>45399.0</v>
      </c>
      <c r="AD311" s="94">
        <f t="shared" si="21"/>
        <v>2800</v>
      </c>
      <c r="AE311" s="93"/>
      <c r="AF311" s="93"/>
      <c r="AG311" s="93"/>
      <c r="AH311" s="93"/>
      <c r="AI311" s="93"/>
    </row>
    <row r="312">
      <c r="A312" s="150">
        <v>45341.515777858796</v>
      </c>
      <c r="B312" s="84" t="s">
        <v>2439</v>
      </c>
      <c r="C312" s="84" t="s">
        <v>2440</v>
      </c>
      <c r="D312" s="78" t="s">
        <v>2441</v>
      </c>
      <c r="E312" s="78">
        <v>4.4355716E7</v>
      </c>
      <c r="F312" s="84" t="s">
        <v>2442</v>
      </c>
      <c r="G312" s="84" t="s">
        <v>2443</v>
      </c>
      <c r="H312" s="84" t="s">
        <v>1906</v>
      </c>
      <c r="I312" s="84" t="s">
        <v>1906</v>
      </c>
      <c r="J312" s="84" t="s">
        <v>1036</v>
      </c>
      <c r="K312" s="84" t="s">
        <v>1016</v>
      </c>
      <c r="L312" s="134" t="s">
        <v>848</v>
      </c>
      <c r="M312" s="108" t="s">
        <v>2444</v>
      </c>
      <c r="N312" s="105">
        <v>36.0</v>
      </c>
      <c r="O312" s="142">
        <v>900.0</v>
      </c>
      <c r="P312" s="84" t="s">
        <v>805</v>
      </c>
      <c r="Q312" s="84"/>
      <c r="R312" s="84" t="s">
        <v>822</v>
      </c>
      <c r="S312" s="115" t="s">
        <v>1453</v>
      </c>
      <c r="T312" s="89"/>
      <c r="U312" s="90"/>
      <c r="V312" s="84"/>
      <c r="W312" s="84"/>
      <c r="X312" s="141">
        <v>900.0</v>
      </c>
      <c r="Y312" s="114">
        <v>45370.0</v>
      </c>
      <c r="Z312" s="141">
        <v>900.0</v>
      </c>
      <c r="AA312" s="114">
        <v>45401.0</v>
      </c>
      <c r="AB312" s="84"/>
      <c r="AC312" s="84"/>
      <c r="AD312" s="94">
        <f t="shared" si="21"/>
        <v>2700</v>
      </c>
      <c r="AE312" s="93"/>
      <c r="AF312" s="93"/>
      <c r="AG312" s="93"/>
      <c r="AH312" s="93"/>
      <c r="AI312" s="93"/>
    </row>
    <row r="313">
      <c r="A313" s="150">
        <v>45350.72638490741</v>
      </c>
      <c r="B313" s="84" t="s">
        <v>2445</v>
      </c>
      <c r="C313" s="84" t="s">
        <v>2446</v>
      </c>
      <c r="D313" s="78" t="s">
        <v>2447</v>
      </c>
      <c r="E313" s="78">
        <v>4.3363065E7</v>
      </c>
      <c r="F313" s="84" t="s">
        <v>2448</v>
      </c>
      <c r="G313" s="84" t="s">
        <v>2449</v>
      </c>
      <c r="H313" s="84" t="s">
        <v>1489</v>
      </c>
      <c r="I313" s="84" t="s">
        <v>1124</v>
      </c>
      <c r="J313" s="84" t="s">
        <v>1124</v>
      </c>
      <c r="K313" s="84" t="s">
        <v>2450</v>
      </c>
      <c r="L313" s="134" t="s">
        <v>848</v>
      </c>
      <c r="M313" s="84"/>
      <c r="N313" s="105">
        <v>38.0</v>
      </c>
      <c r="O313" s="142">
        <v>700.0</v>
      </c>
      <c r="P313" s="84" t="s">
        <v>805</v>
      </c>
      <c r="Q313" s="84"/>
      <c r="R313" s="84" t="s">
        <v>822</v>
      </c>
      <c r="S313" s="115" t="s">
        <v>1453</v>
      </c>
      <c r="T313" s="89"/>
      <c r="U313" s="90"/>
      <c r="V313" s="84"/>
      <c r="W313" s="84"/>
      <c r="X313" s="141">
        <v>700.0</v>
      </c>
      <c r="Y313" s="114">
        <v>45379.0</v>
      </c>
      <c r="Z313" s="141">
        <v>700.0</v>
      </c>
      <c r="AA313" s="114">
        <v>45410.0</v>
      </c>
      <c r="AB313" s="141">
        <v>700.0</v>
      </c>
      <c r="AC313" s="114">
        <v>45410.0</v>
      </c>
      <c r="AD313" s="94">
        <f t="shared" si="21"/>
        <v>2800</v>
      </c>
      <c r="AE313" s="93"/>
      <c r="AF313" s="93"/>
      <c r="AG313" s="93"/>
      <c r="AH313" s="93"/>
      <c r="AI313" s="93"/>
    </row>
    <row r="314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90"/>
      <c r="V314" s="84"/>
      <c r="W314" s="84"/>
      <c r="X314" s="84"/>
      <c r="Y314" s="123"/>
      <c r="Z314" s="84"/>
      <c r="AA314" s="84"/>
      <c r="AB314" s="84"/>
      <c r="AC314" s="84"/>
      <c r="AD314" s="93"/>
      <c r="AE314" s="93"/>
      <c r="AF314" s="93"/>
      <c r="AG314" s="93"/>
      <c r="AH314" s="93"/>
      <c r="AI314" s="93"/>
    </row>
    <row r="315">
      <c r="A315" s="150">
        <v>45293.5151064699</v>
      </c>
      <c r="B315" s="84" t="s">
        <v>2451</v>
      </c>
      <c r="C315" s="84" t="s">
        <v>2452</v>
      </c>
      <c r="D315" s="78">
        <v>5.1904224419E10</v>
      </c>
      <c r="E315" s="78">
        <v>7.1064248E7</v>
      </c>
      <c r="F315" s="84" t="s">
        <v>2453</v>
      </c>
      <c r="G315" s="84" t="s">
        <v>2454</v>
      </c>
      <c r="H315" s="84" t="s">
        <v>2455</v>
      </c>
      <c r="I315" s="84" t="s">
        <v>30</v>
      </c>
      <c r="J315" s="84" t="s">
        <v>30</v>
      </c>
      <c r="K315" s="84" t="s">
        <v>847</v>
      </c>
      <c r="L315" s="134" t="s">
        <v>848</v>
      </c>
      <c r="M315" s="84"/>
      <c r="N315" s="111">
        <v>25.0</v>
      </c>
      <c r="O315" s="142">
        <v>1200.0</v>
      </c>
      <c r="P315" s="108" t="s">
        <v>920</v>
      </c>
      <c r="Q315" s="105">
        <v>1.0010618776E10</v>
      </c>
      <c r="R315" s="84" t="s">
        <v>988</v>
      </c>
      <c r="S315" s="115" t="s">
        <v>1453</v>
      </c>
      <c r="T315" s="89"/>
      <c r="U315" s="90"/>
      <c r="V315" s="84"/>
      <c r="W315" s="84"/>
      <c r="X315" s="141">
        <v>1200.0</v>
      </c>
      <c r="Y315" s="114">
        <v>45324.0</v>
      </c>
      <c r="Z315" s="123"/>
      <c r="AA315" s="123"/>
      <c r="AB315" s="123"/>
      <c r="AC315" s="123"/>
      <c r="AD315" s="94">
        <f t="shared" ref="AD315:AD322" si="22">O315+X315+Z315+AB315</f>
        <v>2400</v>
      </c>
      <c r="AE315" s="93"/>
      <c r="AF315" s="93"/>
      <c r="AG315" s="93"/>
      <c r="AH315" s="93"/>
      <c r="AI315" s="93"/>
    </row>
    <row r="316">
      <c r="A316" s="124">
        <v>45295.80015954861</v>
      </c>
      <c r="B316" s="84" t="s">
        <v>1561</v>
      </c>
      <c r="C316" s="84" t="s">
        <v>2456</v>
      </c>
      <c r="D316" s="78" t="s">
        <v>2457</v>
      </c>
      <c r="E316" s="78">
        <v>4.4692301E7</v>
      </c>
      <c r="F316" s="84" t="s">
        <v>2458</v>
      </c>
      <c r="G316" s="84" t="s">
        <v>2459</v>
      </c>
      <c r="H316" s="84" t="s">
        <v>891</v>
      </c>
      <c r="I316" s="84" t="s">
        <v>891</v>
      </c>
      <c r="J316" s="84" t="s">
        <v>891</v>
      </c>
      <c r="K316" s="84" t="s">
        <v>861</v>
      </c>
      <c r="L316" s="84" t="s">
        <v>848</v>
      </c>
      <c r="M316" s="84"/>
      <c r="N316" s="111">
        <v>36.0</v>
      </c>
      <c r="O316" s="142">
        <v>700.0</v>
      </c>
      <c r="P316" s="108" t="s">
        <v>805</v>
      </c>
      <c r="Q316" s="84"/>
      <c r="R316" s="84" t="s">
        <v>1018</v>
      </c>
      <c r="S316" s="115" t="s">
        <v>1453</v>
      </c>
      <c r="T316" s="136">
        <v>45813.0</v>
      </c>
      <c r="U316" s="90"/>
      <c r="V316" s="84"/>
      <c r="W316" s="84"/>
      <c r="X316" s="142">
        <v>700.0</v>
      </c>
      <c r="Y316" s="114">
        <v>45326.0</v>
      </c>
      <c r="Z316" s="154">
        <v>700.0</v>
      </c>
      <c r="AA316" s="114">
        <v>45355.0</v>
      </c>
      <c r="AB316" s="154">
        <v>700.0</v>
      </c>
      <c r="AC316" s="114">
        <v>45386.0</v>
      </c>
      <c r="AD316" s="94">
        <f t="shared" si="22"/>
        <v>2800</v>
      </c>
      <c r="AE316" s="93"/>
      <c r="AF316" s="93"/>
      <c r="AG316" s="93"/>
      <c r="AH316" s="93"/>
      <c r="AI316" s="93"/>
    </row>
    <row r="317">
      <c r="A317" s="150">
        <v>45300.46826194444</v>
      </c>
      <c r="B317" s="84" t="s">
        <v>2460</v>
      </c>
      <c r="C317" s="84" t="s">
        <v>2461</v>
      </c>
      <c r="D317" s="78" t="s">
        <v>2462</v>
      </c>
      <c r="E317" s="78" t="s">
        <v>2463</v>
      </c>
      <c r="F317" s="84" t="s">
        <v>2464</v>
      </c>
      <c r="G317" s="84" t="s">
        <v>2465</v>
      </c>
      <c r="H317" s="84" t="s">
        <v>2466</v>
      </c>
      <c r="I317" s="84" t="s">
        <v>30</v>
      </c>
      <c r="J317" s="84" t="s">
        <v>30</v>
      </c>
      <c r="K317" s="84" t="s">
        <v>847</v>
      </c>
      <c r="L317" s="84" t="s">
        <v>1417</v>
      </c>
      <c r="M317" s="84"/>
      <c r="N317" s="155">
        <v>28.0</v>
      </c>
      <c r="O317" s="142">
        <v>100.0</v>
      </c>
      <c r="P317" s="156" t="s">
        <v>805</v>
      </c>
      <c r="Q317" s="156"/>
      <c r="R317" s="156" t="s">
        <v>2467</v>
      </c>
      <c r="S317" s="115" t="s">
        <v>1453</v>
      </c>
      <c r="T317" s="89"/>
      <c r="U317" s="90"/>
      <c r="V317" s="84"/>
      <c r="W317" s="84"/>
      <c r="X317" s="141">
        <v>599.0</v>
      </c>
      <c r="Y317" s="114">
        <v>45302.0</v>
      </c>
      <c r="Z317" s="123"/>
      <c r="AA317" s="123"/>
      <c r="AB317" s="123"/>
      <c r="AC317" s="123"/>
      <c r="AD317" s="94">
        <f t="shared" si="22"/>
        <v>699</v>
      </c>
      <c r="AE317" s="93"/>
      <c r="AF317" s="93"/>
      <c r="AG317" s="93"/>
      <c r="AH317" s="93"/>
      <c r="AI317" s="93"/>
    </row>
    <row r="318">
      <c r="A318" s="124">
        <v>45301.59222685185</v>
      </c>
      <c r="B318" s="84" t="s">
        <v>2468</v>
      </c>
      <c r="C318" s="84" t="s">
        <v>2469</v>
      </c>
      <c r="D318" s="78" t="s">
        <v>2470</v>
      </c>
      <c r="E318" s="78" t="s">
        <v>2471</v>
      </c>
      <c r="F318" s="84" t="s">
        <v>2472</v>
      </c>
      <c r="G318" s="84" t="s">
        <v>2473</v>
      </c>
      <c r="H318" s="84" t="s">
        <v>713</v>
      </c>
      <c r="I318" s="84" t="s">
        <v>1130</v>
      </c>
      <c r="J318" s="84" t="s">
        <v>1130</v>
      </c>
      <c r="K318" s="84" t="s">
        <v>2474</v>
      </c>
      <c r="L318" s="84" t="s">
        <v>848</v>
      </c>
      <c r="M318" s="84"/>
      <c r="N318" s="111">
        <v>34.0</v>
      </c>
      <c r="O318" s="142">
        <v>700.0</v>
      </c>
      <c r="P318" s="84" t="s">
        <v>920</v>
      </c>
      <c r="Q318" s="105">
        <v>2.060359867E10</v>
      </c>
      <c r="R318" s="84" t="s">
        <v>1018</v>
      </c>
      <c r="S318" s="115" t="s">
        <v>1453</v>
      </c>
      <c r="T318" s="136">
        <v>45813.0</v>
      </c>
      <c r="U318" s="90"/>
      <c r="V318" s="84"/>
      <c r="W318" s="84"/>
      <c r="X318" s="141">
        <v>700.0</v>
      </c>
      <c r="Y318" s="114">
        <v>45332.0</v>
      </c>
      <c r="Z318" s="154">
        <v>700.0</v>
      </c>
      <c r="AA318" s="114">
        <v>45361.0</v>
      </c>
      <c r="AB318" s="154">
        <v>700.0</v>
      </c>
      <c r="AC318" s="114">
        <v>45392.0</v>
      </c>
      <c r="AD318" s="94">
        <f t="shared" si="22"/>
        <v>2800</v>
      </c>
      <c r="AE318" s="93"/>
      <c r="AF318" s="93"/>
      <c r="AG318" s="93"/>
      <c r="AH318" s="93"/>
      <c r="AI318" s="93"/>
    </row>
    <row r="319">
      <c r="A319" s="150">
        <v>45303.41185858796</v>
      </c>
      <c r="B319" s="84" t="s">
        <v>2475</v>
      </c>
      <c r="C319" s="84" t="s">
        <v>2476</v>
      </c>
      <c r="D319" s="78" t="s">
        <v>2477</v>
      </c>
      <c r="E319" s="78">
        <v>4.2988212E7</v>
      </c>
      <c r="F319" s="84" t="s">
        <v>2478</v>
      </c>
      <c r="G319" s="84" t="s">
        <v>2479</v>
      </c>
      <c r="H319" s="84" t="s">
        <v>2480</v>
      </c>
      <c r="I319" s="84" t="s">
        <v>1400</v>
      </c>
      <c r="J319" s="84" t="s">
        <v>1258</v>
      </c>
      <c r="K319" s="84" t="s">
        <v>847</v>
      </c>
      <c r="L319" s="134" t="s">
        <v>848</v>
      </c>
      <c r="M319" s="84"/>
      <c r="N319" s="105">
        <v>38.0</v>
      </c>
      <c r="O319" s="142">
        <v>700.0</v>
      </c>
      <c r="P319" s="84" t="s">
        <v>920</v>
      </c>
      <c r="Q319" s="105">
        <v>1.0429882121E10</v>
      </c>
      <c r="R319" s="117" t="s">
        <v>806</v>
      </c>
      <c r="S319" s="115" t="s">
        <v>1453</v>
      </c>
      <c r="T319" s="89"/>
      <c r="U319" s="90"/>
      <c r="V319" s="84"/>
      <c r="W319" s="84"/>
      <c r="X319" s="141">
        <v>700.0</v>
      </c>
      <c r="Y319" s="114">
        <v>45334.0</v>
      </c>
      <c r="Z319" s="154">
        <v>700.0</v>
      </c>
      <c r="AA319" s="114">
        <v>45363.0</v>
      </c>
      <c r="AB319" s="154">
        <v>700.0</v>
      </c>
      <c r="AC319" s="114">
        <v>45394.0</v>
      </c>
      <c r="AD319" s="94">
        <f t="shared" si="22"/>
        <v>2800</v>
      </c>
      <c r="AE319" s="93"/>
      <c r="AF319" s="93"/>
      <c r="AG319" s="93"/>
      <c r="AH319" s="93"/>
      <c r="AI319" s="93"/>
    </row>
    <row r="320">
      <c r="A320" s="124">
        <v>45309.3982575</v>
      </c>
      <c r="B320" s="84" t="s">
        <v>2481</v>
      </c>
      <c r="C320" s="84" t="s">
        <v>2482</v>
      </c>
      <c r="D320" s="78" t="s">
        <v>2483</v>
      </c>
      <c r="E320" s="78">
        <v>7.4147232E7</v>
      </c>
      <c r="F320" s="84" t="s">
        <v>2484</v>
      </c>
      <c r="G320" s="84" t="s">
        <v>2485</v>
      </c>
      <c r="H320" s="84" t="s">
        <v>812</v>
      </c>
      <c r="I320" s="84" t="s">
        <v>812</v>
      </c>
      <c r="J320" s="84" t="s">
        <v>812</v>
      </c>
      <c r="K320" s="84" t="s">
        <v>847</v>
      </c>
      <c r="L320" s="84" t="s">
        <v>848</v>
      </c>
      <c r="M320" s="84"/>
      <c r="N320" s="105">
        <v>28.0</v>
      </c>
      <c r="O320" s="142">
        <v>750.0</v>
      </c>
      <c r="P320" s="84" t="s">
        <v>805</v>
      </c>
      <c r="Q320" s="84"/>
      <c r="R320" s="84" t="s">
        <v>988</v>
      </c>
      <c r="S320" s="115" t="s">
        <v>1453</v>
      </c>
      <c r="T320" s="136">
        <v>45813.0</v>
      </c>
      <c r="U320" s="90"/>
      <c r="V320" s="84"/>
      <c r="W320" s="84"/>
      <c r="X320" s="141">
        <v>750.0</v>
      </c>
      <c r="Y320" s="114">
        <v>45340.0</v>
      </c>
      <c r="Z320" s="154">
        <v>750.0</v>
      </c>
      <c r="AA320" s="114">
        <v>45369.0</v>
      </c>
      <c r="AB320" s="154">
        <v>750.0</v>
      </c>
      <c r="AC320" s="114">
        <v>45400.0</v>
      </c>
      <c r="AD320" s="94">
        <f t="shared" si="22"/>
        <v>3000</v>
      </c>
      <c r="AE320" s="93"/>
      <c r="AF320" s="93"/>
      <c r="AG320" s="93"/>
      <c r="AH320" s="93"/>
      <c r="AI320" s="93"/>
    </row>
    <row r="321">
      <c r="A321" s="124">
        <v>45310.77074255787</v>
      </c>
      <c r="B321" s="84" t="s">
        <v>2486</v>
      </c>
      <c r="C321" s="84" t="s">
        <v>2487</v>
      </c>
      <c r="D321" s="78" t="s">
        <v>2488</v>
      </c>
      <c r="E321" s="78">
        <v>7.0795601E7</v>
      </c>
      <c r="F321" s="84" t="s">
        <v>2489</v>
      </c>
      <c r="G321" s="84" t="s">
        <v>2490</v>
      </c>
      <c r="H321" s="84" t="s">
        <v>1355</v>
      </c>
      <c r="I321" s="84" t="s">
        <v>1356</v>
      </c>
      <c r="J321" s="84" t="s">
        <v>30</v>
      </c>
      <c r="K321" s="84" t="s">
        <v>1571</v>
      </c>
      <c r="L321" s="84" t="s">
        <v>848</v>
      </c>
      <c r="M321" s="84"/>
      <c r="N321" s="105">
        <v>31.0</v>
      </c>
      <c r="O321" s="142">
        <v>750.0</v>
      </c>
      <c r="P321" s="84" t="s">
        <v>805</v>
      </c>
      <c r="Q321" s="84"/>
      <c r="R321" s="84" t="s">
        <v>988</v>
      </c>
      <c r="S321" s="115" t="s">
        <v>1453</v>
      </c>
      <c r="T321" s="136">
        <v>45813.0</v>
      </c>
      <c r="U321" s="90"/>
      <c r="V321" s="84"/>
      <c r="W321" s="84"/>
      <c r="X321" s="141">
        <v>750.0</v>
      </c>
      <c r="Y321" s="114">
        <v>45360.0</v>
      </c>
      <c r="Z321" s="154">
        <v>750.0</v>
      </c>
      <c r="AA321" s="114">
        <v>45370.0</v>
      </c>
      <c r="AB321" s="154">
        <v>750.0</v>
      </c>
      <c r="AC321" s="114">
        <v>45401.0</v>
      </c>
      <c r="AD321" s="94">
        <f t="shared" si="22"/>
        <v>3000</v>
      </c>
      <c r="AE321" s="93"/>
      <c r="AF321" s="93"/>
      <c r="AG321" s="93"/>
      <c r="AH321" s="93"/>
      <c r="AI321" s="93"/>
    </row>
    <row r="322">
      <c r="A322" s="124">
        <v>45318.60616916667</v>
      </c>
      <c r="B322" s="84" t="s">
        <v>2491</v>
      </c>
      <c r="C322" s="84" t="s">
        <v>2492</v>
      </c>
      <c r="D322" s="78" t="s">
        <v>2493</v>
      </c>
      <c r="E322" s="78">
        <v>7.7093665E7</v>
      </c>
      <c r="F322" s="84" t="s">
        <v>2494</v>
      </c>
      <c r="G322" s="84" t="s">
        <v>2495</v>
      </c>
      <c r="H322" s="84" t="s">
        <v>1824</v>
      </c>
      <c r="I322" s="84" t="s">
        <v>1824</v>
      </c>
      <c r="J322" s="84" t="s">
        <v>1812</v>
      </c>
      <c r="K322" s="84" t="s">
        <v>1571</v>
      </c>
      <c r="L322" s="84" t="s">
        <v>848</v>
      </c>
      <c r="M322" s="84"/>
      <c r="N322" s="105">
        <v>28.0</v>
      </c>
      <c r="O322" s="142">
        <v>700.0</v>
      </c>
      <c r="P322" s="84" t="s">
        <v>805</v>
      </c>
      <c r="Q322" s="84"/>
      <c r="R322" s="84" t="s">
        <v>1018</v>
      </c>
      <c r="S322" s="115" t="s">
        <v>1453</v>
      </c>
      <c r="T322" s="136">
        <v>45813.0</v>
      </c>
      <c r="U322" s="90"/>
      <c r="V322" s="84"/>
      <c r="W322" s="84"/>
      <c r="X322" s="141">
        <v>700.0</v>
      </c>
      <c r="Y322" s="114">
        <v>45349.0</v>
      </c>
      <c r="Z322" s="154">
        <v>700.0</v>
      </c>
      <c r="AA322" s="114">
        <v>45378.0</v>
      </c>
      <c r="AB322" s="154">
        <v>700.0</v>
      </c>
      <c r="AC322" s="114">
        <v>45409.0</v>
      </c>
      <c r="AD322" s="94">
        <f t="shared" si="22"/>
        <v>2800</v>
      </c>
      <c r="AE322" s="93"/>
      <c r="AF322" s="93"/>
      <c r="AG322" s="93"/>
      <c r="AH322" s="93"/>
      <c r="AI322" s="93"/>
    </row>
    <row r="323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90"/>
      <c r="V323" s="84"/>
      <c r="W323" s="84"/>
      <c r="X323" s="84"/>
      <c r="Y323" s="84"/>
      <c r="Z323" s="84"/>
      <c r="AA323" s="84"/>
      <c r="AB323" s="84"/>
      <c r="AC323" s="84"/>
      <c r="AD323" s="93"/>
      <c r="AE323" s="93"/>
      <c r="AF323" s="93"/>
      <c r="AG323" s="93"/>
      <c r="AH323" s="93"/>
      <c r="AI323" s="93"/>
    </row>
    <row r="324">
      <c r="A324" s="124">
        <v>45269.465206354165</v>
      </c>
      <c r="B324" s="84" t="s">
        <v>1057</v>
      </c>
      <c r="C324" s="84" t="s">
        <v>2496</v>
      </c>
      <c r="D324" s="78" t="s">
        <v>2497</v>
      </c>
      <c r="E324" s="78" t="s">
        <v>2498</v>
      </c>
      <c r="F324" s="84" t="s">
        <v>2499</v>
      </c>
      <c r="G324" s="84" t="s">
        <v>2500</v>
      </c>
      <c r="H324" s="84" t="s">
        <v>1171</v>
      </c>
      <c r="I324" s="84"/>
      <c r="J324" s="84" t="s">
        <v>1171</v>
      </c>
      <c r="K324" s="84" t="s">
        <v>847</v>
      </c>
      <c r="L324" s="84" t="s">
        <v>848</v>
      </c>
      <c r="M324" s="84"/>
      <c r="N324" s="111">
        <v>35.0</v>
      </c>
      <c r="O324" s="142">
        <v>700.0</v>
      </c>
      <c r="P324" s="108" t="s">
        <v>920</v>
      </c>
      <c r="Q324" s="111">
        <v>1.0442140621E10</v>
      </c>
      <c r="R324" s="108" t="s">
        <v>822</v>
      </c>
      <c r="S324" s="115" t="s">
        <v>1453</v>
      </c>
      <c r="T324" s="136">
        <v>45813.0</v>
      </c>
      <c r="U324" s="90"/>
      <c r="V324" s="157"/>
      <c r="W324" s="158" t="s">
        <v>2501</v>
      </c>
      <c r="X324" s="142">
        <v>700.0</v>
      </c>
      <c r="Y324" s="114">
        <v>45344.0</v>
      </c>
      <c r="Z324" s="154">
        <v>700.0</v>
      </c>
      <c r="AA324" s="114">
        <v>45544.0</v>
      </c>
      <c r="AB324" s="154">
        <v>700.0</v>
      </c>
      <c r="AC324" s="114">
        <v>45574.0</v>
      </c>
      <c r="AD324" s="94">
        <f t="shared" ref="AD324:AD332" si="23">O324+X324+Z324+AB324</f>
        <v>2800</v>
      </c>
      <c r="AE324" s="93"/>
      <c r="AF324" s="93"/>
      <c r="AG324" s="93"/>
      <c r="AH324" s="93"/>
      <c r="AI324" s="93"/>
    </row>
    <row r="325">
      <c r="A325" s="124">
        <v>45271.768934074076</v>
      </c>
      <c r="B325" s="84" t="s">
        <v>2502</v>
      </c>
      <c r="C325" s="84" t="s">
        <v>2503</v>
      </c>
      <c r="D325" s="78">
        <v>5.1900671802E10</v>
      </c>
      <c r="E325" s="78">
        <v>4.6301399E7</v>
      </c>
      <c r="F325" s="84" t="s">
        <v>2504</v>
      </c>
      <c r="G325" s="84" t="s">
        <v>2505</v>
      </c>
      <c r="H325" s="84" t="s">
        <v>932</v>
      </c>
      <c r="I325" s="84"/>
      <c r="J325" s="84" t="s">
        <v>932</v>
      </c>
      <c r="K325" s="84" t="s">
        <v>2506</v>
      </c>
      <c r="L325" s="84" t="s">
        <v>848</v>
      </c>
      <c r="M325" s="84"/>
      <c r="N325" s="111">
        <v>33.0</v>
      </c>
      <c r="O325" s="142">
        <v>1000.0</v>
      </c>
      <c r="P325" s="108" t="s">
        <v>920</v>
      </c>
      <c r="Q325" s="111">
        <v>2.0605223088E10</v>
      </c>
      <c r="R325" s="117" t="s">
        <v>806</v>
      </c>
      <c r="S325" s="115" t="s">
        <v>1453</v>
      </c>
      <c r="T325" s="136">
        <v>45813.0</v>
      </c>
      <c r="U325" s="90"/>
      <c r="V325" s="157"/>
      <c r="W325" s="158" t="s">
        <v>2507</v>
      </c>
      <c r="X325" s="141">
        <v>1000.0</v>
      </c>
      <c r="Y325" s="114">
        <v>45302.0</v>
      </c>
      <c r="Z325" s="154">
        <v>1000.0</v>
      </c>
      <c r="AA325" s="114">
        <v>45333.0</v>
      </c>
      <c r="AB325" s="84"/>
      <c r="AC325" s="84"/>
      <c r="AD325" s="94">
        <f t="shared" si="23"/>
        <v>3000</v>
      </c>
      <c r="AE325" s="93"/>
      <c r="AF325" s="93"/>
      <c r="AG325" s="93"/>
      <c r="AH325" s="93"/>
      <c r="AI325" s="93"/>
    </row>
    <row r="326">
      <c r="A326" s="113">
        <v>45272.693070231486</v>
      </c>
      <c r="B326" s="84" t="s">
        <v>1196</v>
      </c>
      <c r="C326" s="84" t="s">
        <v>2508</v>
      </c>
      <c r="D326" s="78">
        <v>5.1987779837E10</v>
      </c>
      <c r="E326" s="78" t="s">
        <v>2509</v>
      </c>
      <c r="F326" s="84" t="s">
        <v>2510</v>
      </c>
      <c r="G326" s="84" t="s">
        <v>2511</v>
      </c>
      <c r="H326" s="84" t="s">
        <v>1748</v>
      </c>
      <c r="I326" s="84"/>
      <c r="J326" s="84" t="s">
        <v>846</v>
      </c>
      <c r="K326" s="84" t="s">
        <v>813</v>
      </c>
      <c r="L326" s="134" t="s">
        <v>814</v>
      </c>
      <c r="M326" s="84"/>
      <c r="N326" s="111">
        <v>52.0</v>
      </c>
      <c r="O326" s="142">
        <v>250.0</v>
      </c>
      <c r="P326" s="108" t="s">
        <v>805</v>
      </c>
      <c r="Q326" s="108"/>
      <c r="R326" s="117" t="s">
        <v>806</v>
      </c>
      <c r="S326" s="115" t="s">
        <v>1453</v>
      </c>
      <c r="T326" s="89"/>
      <c r="U326" s="90"/>
      <c r="V326" s="84"/>
      <c r="W326" s="84"/>
      <c r="X326" s="141">
        <v>249.0</v>
      </c>
      <c r="Y326" s="114">
        <v>45303.0</v>
      </c>
      <c r="Z326" s="84"/>
      <c r="AA326" s="84"/>
      <c r="AB326" s="84"/>
      <c r="AC326" s="84"/>
      <c r="AD326" s="94">
        <f t="shared" si="23"/>
        <v>499</v>
      </c>
      <c r="AE326" s="93"/>
      <c r="AF326" s="93"/>
      <c r="AG326" s="93"/>
      <c r="AH326" s="93"/>
      <c r="AI326" s="93"/>
    </row>
    <row r="327">
      <c r="A327" s="150">
        <v>45276.36808857639</v>
      </c>
      <c r="B327" s="84" t="s">
        <v>1307</v>
      </c>
      <c r="C327" s="84" t="s">
        <v>2512</v>
      </c>
      <c r="D327" s="78" t="s">
        <v>2513</v>
      </c>
      <c r="E327" s="78" t="s">
        <v>2514</v>
      </c>
      <c r="F327" s="84" t="s">
        <v>2515</v>
      </c>
      <c r="G327" s="84" t="s">
        <v>2516</v>
      </c>
      <c r="H327" s="84" t="s">
        <v>2517</v>
      </c>
      <c r="I327" s="84"/>
      <c r="J327" s="84" t="s">
        <v>882</v>
      </c>
      <c r="K327" s="84" t="s">
        <v>875</v>
      </c>
      <c r="L327" s="134" t="s">
        <v>848</v>
      </c>
      <c r="M327" s="84"/>
      <c r="N327" s="111">
        <v>28.0</v>
      </c>
      <c r="O327" s="142">
        <v>700.0</v>
      </c>
      <c r="P327" s="108" t="s">
        <v>805</v>
      </c>
      <c r="Q327" s="108"/>
      <c r="R327" s="117" t="s">
        <v>822</v>
      </c>
      <c r="S327" s="115" t="s">
        <v>1453</v>
      </c>
      <c r="T327" s="159"/>
      <c r="U327" s="90"/>
      <c r="V327" s="157"/>
      <c r="W327" s="158" t="s">
        <v>2518</v>
      </c>
      <c r="X327" s="141">
        <v>700.0</v>
      </c>
      <c r="Y327" s="114">
        <v>45307.0</v>
      </c>
      <c r="Z327" s="154">
        <v>700.0</v>
      </c>
      <c r="AA327" s="114">
        <v>45338.0</v>
      </c>
      <c r="AB327" s="154">
        <v>700.0</v>
      </c>
      <c r="AC327" s="114">
        <v>45367.0</v>
      </c>
      <c r="AD327" s="94">
        <f t="shared" si="23"/>
        <v>2800</v>
      </c>
      <c r="AE327" s="93"/>
      <c r="AF327" s="93"/>
      <c r="AG327" s="93"/>
      <c r="AH327" s="93"/>
      <c r="AI327" s="93"/>
    </row>
    <row r="328">
      <c r="A328" s="113">
        <v>45276.49477283565</v>
      </c>
      <c r="B328" s="84" t="s">
        <v>2519</v>
      </c>
      <c r="C328" s="84" t="s">
        <v>2520</v>
      </c>
      <c r="D328" s="78">
        <v>5.1980050656E10</v>
      </c>
      <c r="E328" s="78" t="s">
        <v>2521</v>
      </c>
      <c r="F328" s="84" t="s">
        <v>2522</v>
      </c>
      <c r="G328" s="84" t="s">
        <v>2523</v>
      </c>
      <c r="H328" s="84" t="s">
        <v>1256</v>
      </c>
      <c r="I328" s="84"/>
      <c r="J328" s="84" t="s">
        <v>1258</v>
      </c>
      <c r="K328" s="84" t="s">
        <v>1154</v>
      </c>
      <c r="L328" s="84" t="s">
        <v>848</v>
      </c>
      <c r="M328" s="84"/>
      <c r="N328" s="155">
        <v>58.0</v>
      </c>
      <c r="O328" s="142">
        <v>100.0</v>
      </c>
      <c r="P328" s="108" t="s">
        <v>805</v>
      </c>
      <c r="Q328" s="108"/>
      <c r="R328" s="156" t="s">
        <v>2467</v>
      </c>
      <c r="S328" s="115" t="s">
        <v>1453</v>
      </c>
      <c r="T328" s="89"/>
      <c r="U328" s="90"/>
      <c r="V328" s="84"/>
      <c r="W328" s="84"/>
      <c r="X328" s="141">
        <v>2500.0</v>
      </c>
      <c r="Y328" s="84"/>
      <c r="Z328" s="84"/>
      <c r="AA328" s="84"/>
      <c r="AB328" s="84"/>
      <c r="AC328" s="84"/>
      <c r="AD328" s="94">
        <f t="shared" si="23"/>
        <v>2600</v>
      </c>
      <c r="AE328" s="93"/>
      <c r="AF328" s="93"/>
      <c r="AG328" s="93"/>
      <c r="AH328" s="93"/>
      <c r="AI328" s="93"/>
    </row>
    <row r="329">
      <c r="A329" s="124">
        <v>45276.51014608797</v>
      </c>
      <c r="B329" s="84" t="s">
        <v>2524</v>
      </c>
      <c r="C329" s="84" t="s">
        <v>2525</v>
      </c>
      <c r="D329" s="78">
        <v>5.194544769E10</v>
      </c>
      <c r="E329" s="78" t="s">
        <v>2526</v>
      </c>
      <c r="F329" s="84" t="s">
        <v>2527</v>
      </c>
      <c r="G329" s="84" t="s">
        <v>2528</v>
      </c>
      <c r="H329" s="84" t="s">
        <v>2529</v>
      </c>
      <c r="I329" s="84"/>
      <c r="J329" s="84" t="s">
        <v>1585</v>
      </c>
      <c r="K329" s="84" t="s">
        <v>2530</v>
      </c>
      <c r="L329" s="84" t="s">
        <v>848</v>
      </c>
      <c r="M329" s="84"/>
      <c r="N329" s="111">
        <v>40.0</v>
      </c>
      <c r="O329" s="142">
        <v>700.0</v>
      </c>
      <c r="P329" s="108" t="s">
        <v>805</v>
      </c>
      <c r="Q329" s="108"/>
      <c r="R329" s="117" t="s">
        <v>822</v>
      </c>
      <c r="S329" s="115" t="s">
        <v>1453</v>
      </c>
      <c r="T329" s="136">
        <v>45813.0</v>
      </c>
      <c r="U329" s="90"/>
      <c r="V329" s="157"/>
      <c r="W329" s="158" t="s">
        <v>2531</v>
      </c>
      <c r="X329" s="142">
        <v>250.0</v>
      </c>
      <c r="Y329" s="114">
        <v>45588.0</v>
      </c>
      <c r="Z329" s="160">
        <v>1250.0</v>
      </c>
      <c r="AA329" s="114">
        <v>45593.0</v>
      </c>
      <c r="AB329" s="154">
        <v>600.0</v>
      </c>
      <c r="AC329" s="114">
        <v>45595.0</v>
      </c>
      <c r="AD329" s="94">
        <f t="shared" si="23"/>
        <v>2800</v>
      </c>
      <c r="AE329" s="93"/>
      <c r="AF329" s="93"/>
      <c r="AG329" s="93"/>
      <c r="AH329" s="93"/>
      <c r="AI329" s="93"/>
    </row>
    <row r="330">
      <c r="A330" s="113">
        <v>45276.82543739583</v>
      </c>
      <c r="B330" s="84" t="s">
        <v>2532</v>
      </c>
      <c r="C330" s="84" t="s">
        <v>2533</v>
      </c>
      <c r="D330" s="78">
        <v>5.1966792829E10</v>
      </c>
      <c r="E330" s="78" t="s">
        <v>2534</v>
      </c>
      <c r="F330" s="84" t="s">
        <v>2535</v>
      </c>
      <c r="G330" s="84" t="s">
        <v>2536</v>
      </c>
      <c r="H330" s="84" t="s">
        <v>2537</v>
      </c>
      <c r="I330" s="84"/>
      <c r="J330" s="84" t="s">
        <v>1124</v>
      </c>
      <c r="K330" s="84" t="s">
        <v>1338</v>
      </c>
      <c r="L330" s="134" t="s">
        <v>848</v>
      </c>
      <c r="M330" s="84"/>
      <c r="N330" s="111">
        <v>33.0</v>
      </c>
      <c r="O330" s="142">
        <v>1300.0</v>
      </c>
      <c r="P330" s="108" t="s">
        <v>920</v>
      </c>
      <c r="Q330" s="111">
        <v>1.0465625819E10</v>
      </c>
      <c r="R330" s="117" t="s">
        <v>822</v>
      </c>
      <c r="S330" s="115" t="s">
        <v>1453</v>
      </c>
      <c r="T330" s="159"/>
      <c r="U330" s="90"/>
      <c r="V330" s="157"/>
      <c r="W330" s="158" t="s">
        <v>2501</v>
      </c>
      <c r="X330" s="141">
        <v>1300.0</v>
      </c>
      <c r="Y330" s="114">
        <v>45307.0</v>
      </c>
      <c r="Z330" s="84"/>
      <c r="AA330" s="84"/>
      <c r="AB330" s="84"/>
      <c r="AC330" s="84"/>
      <c r="AD330" s="94">
        <f t="shared" si="23"/>
        <v>2600</v>
      </c>
      <c r="AE330" s="93"/>
      <c r="AF330" s="93"/>
      <c r="AG330" s="93"/>
      <c r="AH330" s="93"/>
      <c r="AI330" s="93"/>
    </row>
    <row r="331">
      <c r="A331" s="150">
        <v>45279.548479756944</v>
      </c>
      <c r="B331" s="84" t="s">
        <v>2538</v>
      </c>
      <c r="C331" s="84" t="s">
        <v>2539</v>
      </c>
      <c r="D331" s="78">
        <v>5.1935632031E10</v>
      </c>
      <c r="E331" s="78" t="s">
        <v>2540</v>
      </c>
      <c r="F331" s="84" t="s">
        <v>2541</v>
      </c>
      <c r="G331" s="84" t="s">
        <v>2542</v>
      </c>
      <c r="H331" s="84" t="s">
        <v>2543</v>
      </c>
      <c r="I331" s="84" t="s">
        <v>926</v>
      </c>
      <c r="J331" s="84" t="s">
        <v>882</v>
      </c>
      <c r="K331" s="84" t="s">
        <v>2544</v>
      </c>
      <c r="L331" s="134" t="s">
        <v>848</v>
      </c>
      <c r="M331" s="84"/>
      <c r="N331" s="111">
        <v>28.0</v>
      </c>
      <c r="O331" s="142">
        <v>700.0</v>
      </c>
      <c r="P331" s="108" t="s">
        <v>920</v>
      </c>
      <c r="Q331" s="111">
        <v>1.0728553605E10</v>
      </c>
      <c r="R331" s="108" t="s">
        <v>822</v>
      </c>
      <c r="S331" s="115" t="s">
        <v>1453</v>
      </c>
      <c r="T331" s="159"/>
      <c r="U331" s="90"/>
      <c r="V331" s="157"/>
      <c r="W331" s="158" t="s">
        <v>2545</v>
      </c>
      <c r="X331" s="141">
        <v>700.0</v>
      </c>
      <c r="Y331" s="114">
        <v>45310.0</v>
      </c>
      <c r="Z331" s="154">
        <v>700.0</v>
      </c>
      <c r="AA331" s="114">
        <v>45341.0</v>
      </c>
      <c r="AB331" s="154">
        <v>700.0</v>
      </c>
      <c r="AC331" s="114">
        <v>45370.0</v>
      </c>
      <c r="AD331" s="94">
        <f t="shared" si="23"/>
        <v>2800</v>
      </c>
      <c r="AE331" s="93"/>
      <c r="AF331" s="93"/>
      <c r="AG331" s="93"/>
      <c r="AH331" s="93"/>
      <c r="AI331" s="93"/>
    </row>
    <row r="332">
      <c r="A332" s="113">
        <v>45282.6048099537</v>
      </c>
      <c r="B332" s="84" t="s">
        <v>2546</v>
      </c>
      <c r="C332" s="84" t="s">
        <v>2547</v>
      </c>
      <c r="D332" s="78">
        <v>5.1950858585E10</v>
      </c>
      <c r="E332" s="78">
        <v>4.3309222E7</v>
      </c>
      <c r="F332" s="84" t="s">
        <v>2548</v>
      </c>
      <c r="G332" s="84" t="s">
        <v>2549</v>
      </c>
      <c r="H332" s="84" t="s">
        <v>1841</v>
      </c>
      <c r="I332" s="84" t="s">
        <v>1015</v>
      </c>
      <c r="J332" s="84" t="s">
        <v>891</v>
      </c>
      <c r="K332" s="84" t="s">
        <v>1577</v>
      </c>
      <c r="L332" s="134" t="s">
        <v>848</v>
      </c>
      <c r="M332" s="84"/>
      <c r="N332" s="111">
        <v>37.0</v>
      </c>
      <c r="O332" s="142">
        <v>700.0</v>
      </c>
      <c r="P332" s="108" t="s">
        <v>805</v>
      </c>
      <c r="Q332" s="108"/>
      <c r="R332" s="117" t="s">
        <v>822</v>
      </c>
      <c r="S332" s="115" t="s">
        <v>1453</v>
      </c>
      <c r="T332" s="89"/>
      <c r="U332" s="90"/>
      <c r="V332" s="84"/>
      <c r="W332" s="84"/>
      <c r="X332" s="142">
        <v>300.0</v>
      </c>
      <c r="Y332" s="114">
        <v>45485.0</v>
      </c>
      <c r="Z332" s="154">
        <v>700.0</v>
      </c>
      <c r="AA332" s="114">
        <v>45344.0</v>
      </c>
      <c r="AB332" s="154">
        <v>700.0</v>
      </c>
      <c r="AC332" s="114">
        <v>45373.0</v>
      </c>
      <c r="AD332" s="94">
        <f t="shared" si="23"/>
        <v>2400</v>
      </c>
      <c r="AE332" s="93"/>
      <c r="AF332" s="93"/>
      <c r="AG332" s="93"/>
      <c r="AH332" s="93"/>
      <c r="AI332" s="93"/>
    </row>
    <row r="333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90"/>
      <c r="V333" s="84"/>
      <c r="W333" s="84"/>
      <c r="X333" s="84"/>
      <c r="Y333" s="84"/>
      <c r="Z333" s="84"/>
      <c r="AA333" s="84"/>
      <c r="AB333" s="84"/>
      <c r="AC333" s="84"/>
      <c r="AD333" s="93"/>
      <c r="AE333" s="93"/>
      <c r="AF333" s="93"/>
      <c r="AG333" s="93"/>
      <c r="AH333" s="93"/>
      <c r="AI333" s="93"/>
    </row>
    <row r="334">
      <c r="A334" s="150">
        <v>45244.71585262731</v>
      </c>
      <c r="B334" s="84" t="s">
        <v>2550</v>
      </c>
      <c r="C334" s="84" t="s">
        <v>2551</v>
      </c>
      <c r="D334" s="78" t="s">
        <v>2552</v>
      </c>
      <c r="E334" s="78" t="s">
        <v>2553</v>
      </c>
      <c r="F334" s="84" t="s">
        <v>2554</v>
      </c>
      <c r="G334" s="84" t="s">
        <v>2555</v>
      </c>
      <c r="H334" s="84" t="s">
        <v>2556</v>
      </c>
      <c r="I334" s="84" t="s">
        <v>867</v>
      </c>
      <c r="J334" s="84" t="s">
        <v>867</v>
      </c>
      <c r="K334" s="84" t="s">
        <v>1207</v>
      </c>
      <c r="L334" s="134" t="s">
        <v>848</v>
      </c>
      <c r="M334" s="84"/>
      <c r="N334" s="84"/>
      <c r="O334" s="151">
        <v>1500.0</v>
      </c>
      <c r="P334" s="84"/>
      <c r="Q334" s="84"/>
      <c r="R334" s="117" t="s">
        <v>822</v>
      </c>
      <c r="S334" s="152" t="s">
        <v>1453</v>
      </c>
      <c r="T334" s="159"/>
      <c r="U334" s="90"/>
      <c r="V334" s="157"/>
      <c r="W334" s="158" t="s">
        <v>2531</v>
      </c>
      <c r="X334" s="161">
        <v>1500.0</v>
      </c>
      <c r="Y334" s="114">
        <v>45274.0</v>
      </c>
      <c r="Z334" s="84"/>
      <c r="AA334" s="84"/>
      <c r="AB334" s="84"/>
      <c r="AC334" s="84"/>
      <c r="AD334" s="94">
        <f t="shared" ref="AD334:AD337" si="24">O334+X334+Z334+AB334</f>
        <v>3000</v>
      </c>
      <c r="AE334" s="93"/>
      <c r="AF334" s="93"/>
      <c r="AG334" s="93"/>
      <c r="AH334" s="93"/>
      <c r="AI334" s="93"/>
    </row>
    <row r="335">
      <c r="A335" s="150">
        <v>45246.42294241898</v>
      </c>
      <c r="B335" s="84" t="s">
        <v>2557</v>
      </c>
      <c r="C335" s="84" t="s">
        <v>2558</v>
      </c>
      <c r="D335" s="78" t="s">
        <v>2559</v>
      </c>
      <c r="E335" s="78" t="s">
        <v>2560</v>
      </c>
      <c r="F335" s="84" t="s">
        <v>2561</v>
      </c>
      <c r="G335" s="84" t="s">
        <v>2562</v>
      </c>
      <c r="H335" s="84" t="s">
        <v>1812</v>
      </c>
      <c r="I335" s="84" t="s">
        <v>1812</v>
      </c>
      <c r="J335" s="84" t="s">
        <v>1812</v>
      </c>
      <c r="K335" s="84" t="s">
        <v>2563</v>
      </c>
      <c r="L335" s="134" t="s">
        <v>848</v>
      </c>
      <c r="M335" s="84"/>
      <c r="N335" s="84"/>
      <c r="O335" s="151">
        <v>750.0</v>
      </c>
      <c r="P335" s="84" t="s">
        <v>920</v>
      </c>
      <c r="Q335" s="84"/>
      <c r="R335" s="84" t="s">
        <v>822</v>
      </c>
      <c r="S335" s="152" t="s">
        <v>1453</v>
      </c>
      <c r="T335" s="159"/>
      <c r="U335" s="90"/>
      <c r="V335" s="157"/>
      <c r="W335" s="158" t="s">
        <v>2531</v>
      </c>
      <c r="X335" s="161">
        <v>750.0</v>
      </c>
      <c r="Y335" s="114">
        <v>45276.0</v>
      </c>
      <c r="Z335" s="161">
        <v>750.0</v>
      </c>
      <c r="AA335" s="114">
        <v>45307.0</v>
      </c>
      <c r="AB335" s="161">
        <v>750.0</v>
      </c>
      <c r="AC335" s="114">
        <v>45338.0</v>
      </c>
      <c r="AD335" s="94">
        <f t="shared" si="24"/>
        <v>3000</v>
      </c>
      <c r="AE335" s="93"/>
      <c r="AF335" s="93"/>
      <c r="AG335" s="93"/>
      <c r="AH335" s="93"/>
      <c r="AI335" s="93"/>
    </row>
    <row r="336">
      <c r="A336" s="124">
        <v>45252.7560471412</v>
      </c>
      <c r="B336" s="84" t="s">
        <v>2564</v>
      </c>
      <c r="C336" s="84" t="s">
        <v>2565</v>
      </c>
      <c r="D336" s="78" t="s">
        <v>2566</v>
      </c>
      <c r="E336" s="78">
        <v>7.6171981E7</v>
      </c>
      <c r="F336" s="84" t="s">
        <v>2567</v>
      </c>
      <c r="G336" s="84" t="s">
        <v>2568</v>
      </c>
      <c r="H336" s="84" t="s">
        <v>2144</v>
      </c>
      <c r="I336" s="84" t="s">
        <v>2018</v>
      </c>
      <c r="J336" s="84" t="s">
        <v>2018</v>
      </c>
      <c r="K336" s="84" t="s">
        <v>2569</v>
      </c>
      <c r="L336" s="84" t="s">
        <v>848</v>
      </c>
      <c r="M336" s="84"/>
      <c r="N336" s="84"/>
      <c r="O336" s="151">
        <v>750.0</v>
      </c>
      <c r="P336" s="84" t="s">
        <v>805</v>
      </c>
      <c r="Q336" s="84"/>
      <c r="R336" s="117" t="s">
        <v>1018</v>
      </c>
      <c r="S336" s="115" t="s">
        <v>1453</v>
      </c>
      <c r="T336" s="136">
        <v>45813.0</v>
      </c>
      <c r="U336" s="90"/>
      <c r="V336" s="157"/>
      <c r="W336" s="158" t="s">
        <v>2507</v>
      </c>
      <c r="X336" s="161">
        <v>750.0</v>
      </c>
      <c r="Y336" s="114">
        <v>45282.0</v>
      </c>
      <c r="Z336" s="161">
        <v>750.0</v>
      </c>
      <c r="AA336" s="114">
        <v>45313.0</v>
      </c>
      <c r="AB336" s="161">
        <v>750.0</v>
      </c>
      <c r="AC336" s="114">
        <v>45344.0</v>
      </c>
      <c r="AD336" s="94">
        <f t="shared" si="24"/>
        <v>3000</v>
      </c>
      <c r="AE336" s="93"/>
      <c r="AF336" s="93"/>
      <c r="AG336" s="93"/>
      <c r="AH336" s="93"/>
      <c r="AI336" s="93"/>
    </row>
    <row r="337">
      <c r="A337" s="150">
        <v>45259.64655600695</v>
      </c>
      <c r="B337" s="84" t="s">
        <v>2570</v>
      </c>
      <c r="C337" s="84" t="s">
        <v>2571</v>
      </c>
      <c r="D337" s="78" t="s">
        <v>2572</v>
      </c>
      <c r="E337" s="78" t="s">
        <v>2573</v>
      </c>
      <c r="F337" s="84" t="s">
        <v>2574</v>
      </c>
      <c r="G337" s="84" t="s">
        <v>2575</v>
      </c>
      <c r="H337" s="84" t="s">
        <v>932</v>
      </c>
      <c r="I337" s="84" t="s">
        <v>932</v>
      </c>
      <c r="J337" s="84" t="s">
        <v>932</v>
      </c>
      <c r="K337" s="84" t="s">
        <v>847</v>
      </c>
      <c r="L337" s="134" t="s">
        <v>848</v>
      </c>
      <c r="M337" s="84"/>
      <c r="N337" s="84"/>
      <c r="O337" s="151">
        <v>750.0</v>
      </c>
      <c r="P337" s="84" t="s">
        <v>805</v>
      </c>
      <c r="Q337" s="84"/>
      <c r="R337" s="84" t="s">
        <v>822</v>
      </c>
      <c r="S337" s="152" t="s">
        <v>1453</v>
      </c>
      <c r="T337" s="159"/>
      <c r="U337" s="90"/>
      <c r="V337" s="157"/>
      <c r="W337" s="158" t="s">
        <v>2531</v>
      </c>
      <c r="X337" s="161">
        <v>750.0</v>
      </c>
      <c r="Y337" s="114">
        <v>45289.0</v>
      </c>
      <c r="Z337" s="161">
        <v>750.0</v>
      </c>
      <c r="AA337" s="114">
        <v>45320.0</v>
      </c>
      <c r="AB337" s="161">
        <v>750.0</v>
      </c>
      <c r="AC337" s="114">
        <v>45351.0</v>
      </c>
      <c r="AD337" s="94">
        <f t="shared" si="24"/>
        <v>3000</v>
      </c>
      <c r="AE337" s="93"/>
      <c r="AF337" s="93"/>
      <c r="AG337" s="93"/>
      <c r="AH337" s="93"/>
      <c r="AI337" s="93"/>
    </row>
    <row r="338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  <c r="AA338" s="84"/>
      <c r="AB338" s="84"/>
      <c r="AC338" s="84"/>
      <c r="AD338" s="84"/>
      <c r="AE338" s="84"/>
      <c r="AF338" s="84"/>
      <c r="AG338" s="84"/>
      <c r="AH338" s="84"/>
      <c r="AI338" s="84"/>
    </row>
    <row r="339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  <c r="AA339" s="84"/>
      <c r="AB339" s="84"/>
      <c r="AC339" s="84"/>
      <c r="AD339" s="84"/>
      <c r="AE339" s="84"/>
      <c r="AF339" s="84"/>
      <c r="AG339" s="84"/>
      <c r="AH339" s="84"/>
      <c r="AI339" s="84"/>
    </row>
    <row r="340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  <c r="AA340" s="84"/>
      <c r="AB340" s="84"/>
      <c r="AC340" s="84"/>
      <c r="AD340" s="84"/>
      <c r="AE340" s="84"/>
      <c r="AF340" s="84"/>
      <c r="AG340" s="84"/>
      <c r="AH340" s="84"/>
      <c r="AI340" s="84"/>
    </row>
    <row r="341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  <c r="AA341" s="84"/>
      <c r="AB341" s="84"/>
      <c r="AC341" s="84"/>
      <c r="AD341" s="84"/>
      <c r="AE341" s="84"/>
      <c r="AF341" s="84"/>
      <c r="AG341" s="84"/>
      <c r="AH341" s="84"/>
      <c r="AI341" s="84"/>
    </row>
    <row r="342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  <c r="AA342" s="84"/>
      <c r="AB342" s="84"/>
      <c r="AC342" s="84"/>
      <c r="AD342" s="84"/>
      <c r="AE342" s="84"/>
      <c r="AF342" s="84"/>
      <c r="AG342" s="84"/>
      <c r="AH342" s="84"/>
      <c r="AI342" s="84"/>
    </row>
    <row r="343">
      <c r="A343" s="78" t="s">
        <v>2576</v>
      </c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  <c r="AA343" s="84"/>
      <c r="AB343" s="84"/>
      <c r="AC343" s="84"/>
      <c r="AD343" s="84"/>
      <c r="AE343" s="84"/>
      <c r="AF343" s="84"/>
      <c r="AG343" s="84"/>
      <c r="AH343" s="84"/>
      <c r="AI343" s="84"/>
    </row>
    <row r="344">
      <c r="A344" s="162">
        <v>45681.0</v>
      </c>
      <c r="B344" s="163" t="s">
        <v>2577</v>
      </c>
      <c r="C344" s="84"/>
      <c r="D344" s="138">
        <v>5.1948669114E10</v>
      </c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  <c r="AA344" s="84"/>
      <c r="AB344" s="84"/>
      <c r="AC344" s="84"/>
      <c r="AD344" s="84"/>
      <c r="AE344" s="84"/>
      <c r="AF344" s="84"/>
      <c r="AG344" s="84"/>
      <c r="AH344" s="84"/>
      <c r="AI344" s="84"/>
    </row>
    <row r="345">
      <c r="A345" s="162">
        <v>45681.0</v>
      </c>
      <c r="B345" s="163" t="s">
        <v>2578</v>
      </c>
      <c r="C345" s="84"/>
      <c r="D345" s="138">
        <v>5.1994773574E10</v>
      </c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  <c r="AA345" s="84"/>
      <c r="AB345" s="84"/>
      <c r="AC345" s="84"/>
      <c r="AD345" s="84"/>
      <c r="AE345" s="84"/>
      <c r="AF345" s="84"/>
      <c r="AG345" s="84"/>
      <c r="AH345" s="84"/>
      <c r="AI345" s="84"/>
    </row>
    <row r="346">
      <c r="A346" s="162">
        <v>45801.0</v>
      </c>
      <c r="B346" s="163" t="s">
        <v>2579</v>
      </c>
      <c r="C346" s="84"/>
      <c r="D346" s="138">
        <v>5.1926286572E10</v>
      </c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  <c r="AA346" s="84"/>
      <c r="AB346" s="84"/>
      <c r="AC346" s="84"/>
      <c r="AD346" s="84"/>
      <c r="AE346" s="84"/>
      <c r="AF346" s="84"/>
      <c r="AG346" s="84"/>
      <c r="AH346" s="84"/>
      <c r="AI346" s="84"/>
    </row>
    <row r="347">
      <c r="A347" s="162">
        <v>45801.0</v>
      </c>
      <c r="B347" s="163" t="s">
        <v>2580</v>
      </c>
      <c r="C347" s="84"/>
      <c r="D347" s="138">
        <v>5.1969318956E10</v>
      </c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  <c r="AA347" s="84"/>
      <c r="AB347" s="84"/>
      <c r="AC347" s="84"/>
      <c r="AD347" s="84"/>
      <c r="AE347" s="84"/>
      <c r="AF347" s="84"/>
      <c r="AG347" s="84"/>
      <c r="AH347" s="84"/>
      <c r="AI347" s="84"/>
    </row>
    <row r="348">
      <c r="A348" s="162">
        <v>45832.0</v>
      </c>
      <c r="B348" s="163" t="s">
        <v>2581</v>
      </c>
      <c r="C348" s="84"/>
      <c r="D348" s="138">
        <v>5.1921022668E10</v>
      </c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  <c r="AA348" s="84"/>
      <c r="AB348" s="84"/>
      <c r="AC348" s="84"/>
      <c r="AD348" s="84"/>
      <c r="AE348" s="84"/>
      <c r="AF348" s="84"/>
      <c r="AG348" s="84"/>
      <c r="AH348" s="84"/>
      <c r="AI348" s="84"/>
    </row>
    <row r="349">
      <c r="A349" s="162">
        <v>45832.0</v>
      </c>
      <c r="B349" s="163" t="s">
        <v>2582</v>
      </c>
      <c r="C349" s="84"/>
      <c r="D349" s="138">
        <v>5.1935028757E10</v>
      </c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  <c r="AA349" s="84"/>
      <c r="AB349" s="84"/>
      <c r="AC349" s="84"/>
      <c r="AD349" s="84"/>
      <c r="AE349" s="84"/>
      <c r="AF349" s="84"/>
      <c r="AG349" s="84"/>
      <c r="AH349" s="84"/>
      <c r="AI349" s="84"/>
    </row>
    <row r="350">
      <c r="A350" s="162">
        <v>45862.0</v>
      </c>
      <c r="B350" s="163" t="s">
        <v>2583</v>
      </c>
      <c r="C350" s="84"/>
      <c r="D350" s="138">
        <v>5.1962291228E10</v>
      </c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  <c r="AA350" s="84"/>
      <c r="AB350" s="84"/>
      <c r="AC350" s="84"/>
      <c r="AD350" s="84"/>
      <c r="AE350" s="84"/>
      <c r="AF350" s="84"/>
      <c r="AG350" s="84"/>
      <c r="AH350" s="84"/>
      <c r="AI350" s="84"/>
    </row>
    <row r="351">
      <c r="A351" s="162">
        <v>45986.0</v>
      </c>
      <c r="B351" s="163" t="s">
        <v>2581</v>
      </c>
      <c r="C351" s="84"/>
      <c r="D351" s="138">
        <v>5.1921022668E10</v>
      </c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  <c r="AA351" s="84"/>
      <c r="AB351" s="84"/>
      <c r="AC351" s="84"/>
      <c r="AD351" s="84"/>
      <c r="AE351" s="84"/>
      <c r="AF351" s="84"/>
      <c r="AG351" s="84"/>
      <c r="AH351" s="84"/>
      <c r="AI351" s="84"/>
    </row>
    <row r="352">
      <c r="A352" s="162">
        <v>45986.0</v>
      </c>
      <c r="B352" s="163" t="s">
        <v>2577</v>
      </c>
      <c r="C352" s="84"/>
      <c r="D352" s="138">
        <v>5.1948669114E10</v>
      </c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  <c r="AA352" s="84"/>
      <c r="AB352" s="84"/>
      <c r="AC352" s="84"/>
      <c r="AD352" s="84"/>
      <c r="AE352" s="84"/>
      <c r="AF352" s="84"/>
      <c r="AG352" s="84"/>
      <c r="AH352" s="84"/>
      <c r="AI352" s="84"/>
    </row>
    <row r="353">
      <c r="A353" s="162">
        <v>45681.0</v>
      </c>
      <c r="B353" s="163" t="s">
        <v>2584</v>
      </c>
      <c r="C353" s="84"/>
      <c r="D353" s="164">
        <v>5.1997885078E10</v>
      </c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  <c r="AA353" s="84"/>
      <c r="AB353" s="84"/>
      <c r="AC353" s="84"/>
      <c r="AD353" s="84"/>
      <c r="AE353" s="84"/>
      <c r="AF353" s="84"/>
      <c r="AG353" s="84"/>
      <c r="AH353" s="84"/>
      <c r="AI353" s="84"/>
    </row>
    <row r="354">
      <c r="A354" s="162">
        <v>45681.0</v>
      </c>
      <c r="B354" s="163" t="s">
        <v>2585</v>
      </c>
      <c r="C354" s="84"/>
      <c r="D354" s="164">
        <v>5.1944905788E10</v>
      </c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  <c r="AA354" s="84"/>
      <c r="AB354" s="84"/>
      <c r="AC354" s="84"/>
      <c r="AD354" s="84"/>
      <c r="AE354" s="84"/>
      <c r="AF354" s="84"/>
      <c r="AG354" s="84"/>
      <c r="AH354" s="84"/>
      <c r="AI354" s="84"/>
    </row>
    <row r="355">
      <c r="A355" s="162">
        <v>45681.0</v>
      </c>
      <c r="B355" s="163" t="s">
        <v>2586</v>
      </c>
      <c r="C355" s="84"/>
      <c r="D355" s="164">
        <v>5.1914851685E10</v>
      </c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  <c r="AA355" s="84"/>
      <c r="AB355" s="84"/>
      <c r="AC355" s="84"/>
      <c r="AD355" s="84"/>
      <c r="AE355" s="84"/>
      <c r="AF355" s="84"/>
      <c r="AG355" s="84"/>
      <c r="AH355" s="84"/>
      <c r="AI355" s="84"/>
    </row>
    <row r="356">
      <c r="A356" s="162">
        <v>45681.0</v>
      </c>
      <c r="B356" s="163" t="s">
        <v>2587</v>
      </c>
      <c r="C356" s="84"/>
      <c r="D356" s="164">
        <v>5.1900562052E10</v>
      </c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  <c r="AA356" s="84"/>
      <c r="AB356" s="84"/>
      <c r="AC356" s="84"/>
      <c r="AD356" s="84"/>
      <c r="AE356" s="84"/>
      <c r="AF356" s="84"/>
      <c r="AG356" s="84"/>
      <c r="AH356" s="84"/>
      <c r="AI356" s="84"/>
    </row>
    <row r="357">
      <c r="A357" s="162">
        <v>45801.0</v>
      </c>
      <c r="B357" s="163" t="s">
        <v>2588</v>
      </c>
      <c r="C357" s="84"/>
      <c r="D357" s="164">
        <v>5.1951325389E10</v>
      </c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  <c r="AA357" s="84"/>
      <c r="AB357" s="84"/>
      <c r="AC357" s="84"/>
      <c r="AD357" s="84"/>
      <c r="AE357" s="84"/>
      <c r="AF357" s="84"/>
      <c r="AG357" s="84"/>
      <c r="AH357" s="84"/>
      <c r="AI357" s="84"/>
    </row>
    <row r="358">
      <c r="A358" s="162">
        <v>45801.0</v>
      </c>
      <c r="B358" s="163" t="s">
        <v>2589</v>
      </c>
      <c r="C358" s="84"/>
      <c r="D358" s="164">
        <v>5.1965971683E10</v>
      </c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  <c r="AA358" s="84"/>
      <c r="AB358" s="84"/>
      <c r="AC358" s="84"/>
      <c r="AD358" s="84"/>
      <c r="AE358" s="84"/>
      <c r="AF358" s="84"/>
      <c r="AG358" s="84"/>
      <c r="AH358" s="84"/>
      <c r="AI358" s="84"/>
    </row>
    <row r="359">
      <c r="A359" s="162">
        <v>45801.0</v>
      </c>
      <c r="B359" s="163" t="s">
        <v>2590</v>
      </c>
      <c r="C359" s="84"/>
      <c r="D359" s="164">
        <v>5.1988481778E10</v>
      </c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  <c r="AA359" s="84"/>
      <c r="AB359" s="84"/>
      <c r="AC359" s="84"/>
      <c r="AD359" s="84"/>
      <c r="AE359" s="84"/>
      <c r="AF359" s="84"/>
      <c r="AG359" s="84"/>
      <c r="AH359" s="84"/>
      <c r="AI359" s="84"/>
    </row>
    <row r="360">
      <c r="A360" s="162">
        <v>45801.0</v>
      </c>
      <c r="B360" s="163" t="s">
        <v>2591</v>
      </c>
      <c r="C360" s="84"/>
      <c r="D360" s="164">
        <v>5.1987879748E10</v>
      </c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  <c r="AA360" s="84"/>
      <c r="AB360" s="84"/>
      <c r="AC360" s="84"/>
      <c r="AD360" s="84"/>
      <c r="AE360" s="84"/>
      <c r="AF360" s="84"/>
      <c r="AG360" s="84"/>
      <c r="AH360" s="84"/>
      <c r="AI360" s="84"/>
    </row>
    <row r="361">
      <c r="A361" s="162">
        <v>45801.0</v>
      </c>
      <c r="B361" s="163" t="s">
        <v>2592</v>
      </c>
      <c r="C361" s="84"/>
      <c r="D361" s="164">
        <v>5.1910292014E10</v>
      </c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  <c r="AA361" s="84"/>
      <c r="AB361" s="84"/>
      <c r="AC361" s="84"/>
      <c r="AD361" s="84"/>
      <c r="AE361" s="84"/>
      <c r="AF361" s="84"/>
      <c r="AG361" s="84"/>
      <c r="AH361" s="84"/>
      <c r="AI361" s="84"/>
    </row>
    <row r="362">
      <c r="A362" s="162">
        <v>45801.0</v>
      </c>
      <c r="B362" s="163" t="s">
        <v>2593</v>
      </c>
      <c r="C362" s="84"/>
      <c r="D362" s="164">
        <v>5.1913080682E10</v>
      </c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  <c r="AA362" s="84"/>
      <c r="AB362" s="84"/>
      <c r="AC362" s="84"/>
      <c r="AD362" s="84"/>
      <c r="AE362" s="84"/>
      <c r="AF362" s="84"/>
      <c r="AG362" s="84"/>
      <c r="AH362" s="84"/>
      <c r="AI362" s="84"/>
    </row>
    <row r="363">
      <c r="A363" s="162">
        <v>45832.0</v>
      </c>
      <c r="B363" s="163" t="s">
        <v>2594</v>
      </c>
      <c r="C363" s="84"/>
      <c r="D363" s="164">
        <v>5.1980641217E10</v>
      </c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  <c r="AA363" s="84"/>
      <c r="AB363" s="84"/>
      <c r="AC363" s="84"/>
      <c r="AD363" s="84"/>
      <c r="AE363" s="84"/>
      <c r="AF363" s="84"/>
      <c r="AG363" s="84"/>
      <c r="AH363" s="84"/>
      <c r="AI363" s="84"/>
    </row>
    <row r="364">
      <c r="A364" s="162">
        <v>45832.0</v>
      </c>
      <c r="B364" s="163" t="s">
        <v>2595</v>
      </c>
      <c r="C364" s="84"/>
      <c r="D364" s="164">
        <v>5.1970436284E10</v>
      </c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  <c r="AA364" s="84"/>
      <c r="AB364" s="84"/>
      <c r="AC364" s="84"/>
      <c r="AD364" s="84"/>
      <c r="AE364" s="84"/>
      <c r="AF364" s="84"/>
      <c r="AG364" s="84"/>
      <c r="AH364" s="84"/>
      <c r="AI364" s="84"/>
    </row>
    <row r="365">
      <c r="A365" s="162">
        <v>45832.0</v>
      </c>
      <c r="B365" s="163" t="s">
        <v>2596</v>
      </c>
      <c r="C365" s="84"/>
      <c r="D365" s="164">
        <v>5.1922596522E10</v>
      </c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  <c r="AA365" s="84"/>
      <c r="AB365" s="84"/>
      <c r="AC365" s="84"/>
      <c r="AD365" s="84"/>
      <c r="AE365" s="84"/>
      <c r="AF365" s="84"/>
      <c r="AG365" s="84"/>
      <c r="AH365" s="84"/>
      <c r="AI365" s="84"/>
    </row>
    <row r="366">
      <c r="A366" s="162">
        <v>45832.0</v>
      </c>
      <c r="B366" s="163" t="s">
        <v>2597</v>
      </c>
      <c r="C366" s="84"/>
      <c r="D366" s="164">
        <v>5.1977772306E10</v>
      </c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  <c r="AB366" s="84"/>
      <c r="AC366" s="84"/>
      <c r="AD366" s="84"/>
      <c r="AE366" s="84"/>
      <c r="AF366" s="84"/>
      <c r="AG366" s="84"/>
      <c r="AH366" s="84"/>
      <c r="AI366" s="84"/>
    </row>
    <row r="367">
      <c r="A367" s="162">
        <v>45832.0</v>
      </c>
      <c r="B367" s="163" t="s">
        <v>2598</v>
      </c>
      <c r="C367" s="84"/>
      <c r="D367" s="164">
        <v>5.1942434999E10</v>
      </c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  <c r="AA367" s="84"/>
      <c r="AB367" s="84"/>
      <c r="AC367" s="84"/>
      <c r="AD367" s="84"/>
      <c r="AE367" s="84"/>
      <c r="AF367" s="84"/>
      <c r="AG367" s="84"/>
      <c r="AH367" s="84"/>
      <c r="AI367" s="84"/>
    </row>
    <row r="368">
      <c r="A368" s="162">
        <v>45832.0</v>
      </c>
      <c r="B368" s="163" t="s">
        <v>2599</v>
      </c>
      <c r="C368" s="84"/>
      <c r="D368" s="164">
        <v>5.1960839986E10</v>
      </c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  <c r="AC368" s="84"/>
      <c r="AD368" s="84"/>
      <c r="AE368" s="84"/>
      <c r="AF368" s="84"/>
      <c r="AG368" s="84"/>
      <c r="AH368" s="84"/>
      <c r="AI368" s="84"/>
    </row>
    <row r="369">
      <c r="A369" s="162">
        <v>45862.0</v>
      </c>
      <c r="B369" s="163" t="s">
        <v>2600</v>
      </c>
      <c r="C369" s="84"/>
      <c r="D369" s="164">
        <v>5.1901642228E10</v>
      </c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  <c r="AB369" s="84"/>
      <c r="AC369" s="84"/>
      <c r="AD369" s="84"/>
      <c r="AE369" s="84"/>
      <c r="AF369" s="84"/>
      <c r="AG369" s="84"/>
      <c r="AH369" s="84"/>
      <c r="AI369" s="84"/>
    </row>
    <row r="370">
      <c r="A370" s="162">
        <v>45862.0</v>
      </c>
      <c r="B370" s="163" t="s">
        <v>2601</v>
      </c>
      <c r="C370" s="84"/>
      <c r="D370" s="164">
        <v>5.1930111029E10</v>
      </c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  <c r="AA370" s="84"/>
      <c r="AB370" s="84"/>
      <c r="AC370" s="84"/>
      <c r="AD370" s="84"/>
      <c r="AE370" s="84"/>
      <c r="AF370" s="84"/>
      <c r="AG370" s="84"/>
      <c r="AH370" s="84"/>
      <c r="AI370" s="84"/>
    </row>
    <row r="371">
      <c r="A371" s="162">
        <v>45862.0</v>
      </c>
      <c r="B371" s="163" t="s">
        <v>2602</v>
      </c>
      <c r="C371" s="84"/>
      <c r="D371" s="164">
        <v>5.190884862E10</v>
      </c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  <c r="AA371" s="84"/>
      <c r="AB371" s="84"/>
      <c r="AC371" s="84"/>
      <c r="AD371" s="84"/>
      <c r="AE371" s="84"/>
      <c r="AF371" s="84"/>
      <c r="AG371" s="84"/>
      <c r="AH371" s="84"/>
      <c r="AI371" s="84"/>
    </row>
    <row r="372">
      <c r="A372" s="162">
        <v>45862.0</v>
      </c>
      <c r="B372" s="163" t="s">
        <v>2603</v>
      </c>
      <c r="C372" s="84"/>
      <c r="D372" s="164">
        <v>5.1966659397E10</v>
      </c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  <c r="AA372" s="84"/>
      <c r="AB372" s="84"/>
      <c r="AC372" s="84"/>
      <c r="AD372" s="84"/>
      <c r="AE372" s="84"/>
      <c r="AF372" s="84"/>
      <c r="AG372" s="84"/>
      <c r="AH372" s="84"/>
      <c r="AI372" s="84"/>
    </row>
    <row r="373">
      <c r="A373" s="162">
        <v>45862.0</v>
      </c>
      <c r="B373" s="163" t="s">
        <v>2604</v>
      </c>
      <c r="C373" s="84"/>
      <c r="D373" s="164">
        <v>5.1977787944E10</v>
      </c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  <c r="AA373" s="84"/>
      <c r="AB373" s="84"/>
      <c r="AC373" s="84"/>
      <c r="AD373" s="84"/>
      <c r="AE373" s="84"/>
      <c r="AF373" s="84"/>
      <c r="AG373" s="84"/>
      <c r="AH373" s="84"/>
      <c r="AI373" s="84"/>
    </row>
    <row r="374">
      <c r="A374" s="162">
        <v>45862.0</v>
      </c>
      <c r="B374" s="163" t="s">
        <v>2605</v>
      </c>
      <c r="C374" s="84"/>
      <c r="D374" s="164">
        <v>5.1900452454E10</v>
      </c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  <c r="AA374" s="84"/>
      <c r="AB374" s="84"/>
      <c r="AC374" s="84"/>
      <c r="AD374" s="84"/>
      <c r="AE374" s="84"/>
      <c r="AF374" s="84"/>
      <c r="AG374" s="84"/>
      <c r="AH374" s="84"/>
      <c r="AI374" s="84"/>
    </row>
    <row r="375">
      <c r="A375" s="162">
        <v>45985.0</v>
      </c>
      <c r="B375" s="163" t="s">
        <v>2606</v>
      </c>
      <c r="C375" s="84"/>
      <c r="D375" s="164">
        <v>5.1957999381E10</v>
      </c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</row>
    <row r="376">
      <c r="A376" s="162">
        <v>45986.0</v>
      </c>
      <c r="B376" s="163" t="s">
        <v>2607</v>
      </c>
      <c r="C376" s="84"/>
      <c r="D376" s="164">
        <v>5.1976390884E10</v>
      </c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</row>
    <row r="377">
      <c r="A377" s="162">
        <v>45986.0</v>
      </c>
      <c r="B377" s="163" t="s">
        <v>2608</v>
      </c>
      <c r="C377" s="84"/>
      <c r="D377" s="164">
        <v>5.1921350693E10</v>
      </c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  <c r="AA377" s="84"/>
      <c r="AB377" s="84"/>
      <c r="AC377" s="84"/>
      <c r="AD377" s="84"/>
      <c r="AE377" s="84"/>
      <c r="AF377" s="84"/>
      <c r="AG377" s="84"/>
      <c r="AH377" s="84"/>
      <c r="AI377" s="84"/>
    </row>
    <row r="378">
      <c r="A378" s="162">
        <v>45986.0</v>
      </c>
      <c r="B378" s="163" t="s">
        <v>2609</v>
      </c>
      <c r="C378" s="84"/>
      <c r="D378" s="164">
        <v>5.199142911E10</v>
      </c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  <c r="AA378" s="84"/>
      <c r="AB378" s="84"/>
      <c r="AC378" s="84"/>
      <c r="AD378" s="84"/>
      <c r="AE378" s="84"/>
      <c r="AF378" s="84"/>
      <c r="AG378" s="84"/>
      <c r="AH378" s="84"/>
      <c r="AI378" s="84"/>
    </row>
    <row r="379">
      <c r="A379" s="162">
        <v>45986.0</v>
      </c>
      <c r="B379" s="163" t="s">
        <v>2610</v>
      </c>
      <c r="C379" s="84"/>
      <c r="D379" s="164">
        <v>5.1910164209E10</v>
      </c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  <c r="AA379" s="84"/>
      <c r="AB379" s="84"/>
      <c r="AC379" s="84"/>
      <c r="AD379" s="84"/>
      <c r="AE379" s="84"/>
      <c r="AF379" s="84"/>
      <c r="AG379" s="84"/>
      <c r="AH379" s="84"/>
      <c r="AI379" s="84"/>
    </row>
    <row r="380">
      <c r="A380" s="162">
        <v>45986.0</v>
      </c>
      <c r="B380" s="163" t="s">
        <v>2611</v>
      </c>
      <c r="C380" s="84"/>
      <c r="D380" s="164">
        <v>5.19629888E10</v>
      </c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  <c r="AC380" s="84"/>
      <c r="AD380" s="84"/>
      <c r="AE380" s="84"/>
      <c r="AF380" s="84"/>
      <c r="AG380" s="84"/>
      <c r="AH380" s="84"/>
      <c r="AI380" s="84"/>
    </row>
    <row r="381">
      <c r="A381" s="162">
        <v>45986.0</v>
      </c>
      <c r="B381" s="163" t="s">
        <v>2612</v>
      </c>
      <c r="C381" s="84"/>
      <c r="D381" s="164">
        <v>5.1984397968E10</v>
      </c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  <c r="AC381" s="84"/>
      <c r="AD381" s="84"/>
      <c r="AE381" s="84"/>
      <c r="AF381" s="84"/>
      <c r="AG381" s="84"/>
      <c r="AH381" s="84"/>
      <c r="AI381" s="84"/>
    </row>
    <row r="382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/>
      <c r="AB382" s="84"/>
      <c r="AC382" s="84"/>
      <c r="AD382" s="84"/>
      <c r="AE382" s="84"/>
      <c r="AF382" s="84"/>
      <c r="AG382" s="84"/>
      <c r="AH382" s="84"/>
      <c r="AI382" s="84"/>
    </row>
    <row r="383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  <c r="AC383" s="84"/>
      <c r="AD383" s="84"/>
      <c r="AE383" s="84"/>
      <c r="AF383" s="84"/>
      <c r="AG383" s="84"/>
      <c r="AH383" s="84"/>
      <c r="AI383" s="84"/>
    </row>
    <row r="384">
      <c r="A384" s="78" t="s">
        <v>2613</v>
      </c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  <c r="AA384" s="84"/>
      <c r="AB384" s="84"/>
      <c r="AC384" s="84"/>
      <c r="AD384" s="84"/>
      <c r="AE384" s="84"/>
      <c r="AF384" s="84"/>
      <c r="AG384" s="84"/>
      <c r="AH384" s="84"/>
      <c r="AI384" s="84"/>
    </row>
    <row r="385">
      <c r="A385" s="162">
        <v>45681.0</v>
      </c>
      <c r="B385" s="163" t="s">
        <v>2614</v>
      </c>
      <c r="C385" s="84"/>
      <c r="D385" s="165">
        <v>5.196945189E10</v>
      </c>
      <c r="E385" s="78" t="s">
        <v>2615</v>
      </c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  <c r="AA385" s="84"/>
      <c r="AB385" s="84"/>
      <c r="AC385" s="84"/>
      <c r="AD385" s="84"/>
      <c r="AE385" s="84"/>
      <c r="AF385" s="84"/>
      <c r="AG385" s="84"/>
      <c r="AH385" s="84"/>
      <c r="AI385" s="84"/>
    </row>
    <row r="386">
      <c r="A386" s="162">
        <v>45681.0</v>
      </c>
      <c r="B386" s="163" t="s">
        <v>2616</v>
      </c>
      <c r="C386" s="84"/>
      <c r="D386" s="165">
        <v>5.1912304194E10</v>
      </c>
      <c r="E386" s="78" t="s">
        <v>2615</v>
      </c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  <c r="AA386" s="84"/>
      <c r="AB386" s="84"/>
      <c r="AC386" s="84"/>
      <c r="AD386" s="84"/>
      <c r="AE386" s="84"/>
      <c r="AF386" s="84"/>
      <c r="AG386" s="84"/>
      <c r="AH386" s="84"/>
      <c r="AI386" s="84"/>
    </row>
    <row r="387">
      <c r="A387" s="162">
        <v>45681.0</v>
      </c>
      <c r="B387" s="163" t="s">
        <v>2617</v>
      </c>
      <c r="C387" s="84"/>
      <c r="D387" s="165">
        <v>5.1912304194E10</v>
      </c>
      <c r="E387" s="78" t="s">
        <v>2615</v>
      </c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  <c r="AA387" s="84"/>
      <c r="AB387" s="84"/>
      <c r="AC387" s="84"/>
      <c r="AD387" s="84"/>
      <c r="AE387" s="84"/>
      <c r="AF387" s="84"/>
      <c r="AG387" s="84"/>
      <c r="AH387" s="84"/>
      <c r="AI387" s="84"/>
    </row>
    <row r="388">
      <c r="A388" s="162">
        <v>45681.0</v>
      </c>
      <c r="B388" s="163" t="s">
        <v>2618</v>
      </c>
      <c r="C388" s="84"/>
      <c r="D388" s="165">
        <v>5.196945189E10</v>
      </c>
      <c r="E388" s="78" t="s">
        <v>2615</v>
      </c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  <c r="AA388" s="84"/>
      <c r="AB388" s="84"/>
      <c r="AC388" s="84"/>
      <c r="AD388" s="84"/>
      <c r="AE388" s="84"/>
      <c r="AF388" s="84"/>
      <c r="AG388" s="84"/>
      <c r="AH388" s="84"/>
      <c r="AI388" s="84"/>
    </row>
    <row r="389">
      <c r="A389" s="162">
        <v>45712.0</v>
      </c>
      <c r="B389" s="163" t="s">
        <v>2619</v>
      </c>
      <c r="C389" s="84"/>
      <c r="D389" s="165">
        <v>5.1943966919E10</v>
      </c>
      <c r="E389" s="78" t="s">
        <v>2615</v>
      </c>
      <c r="F389" s="84" t="s">
        <v>2620</v>
      </c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  <c r="AA389" s="84"/>
      <c r="AB389" s="84"/>
      <c r="AC389" s="84"/>
      <c r="AD389" s="84"/>
      <c r="AE389" s="84"/>
      <c r="AF389" s="84"/>
      <c r="AG389" s="84"/>
      <c r="AH389" s="84"/>
      <c r="AI389" s="84"/>
    </row>
    <row r="390">
      <c r="A390" s="162">
        <v>45771.0</v>
      </c>
      <c r="B390" s="163" t="s">
        <v>2621</v>
      </c>
      <c r="C390" s="84"/>
      <c r="D390" s="165">
        <v>5.1974446519E10</v>
      </c>
      <c r="E390" s="78" t="s">
        <v>2615</v>
      </c>
      <c r="F390" s="84" t="s">
        <v>2620</v>
      </c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  <c r="AC390" s="84"/>
      <c r="AD390" s="84"/>
      <c r="AE390" s="84"/>
      <c r="AF390" s="84"/>
      <c r="AG390" s="84"/>
      <c r="AH390" s="84"/>
      <c r="AI390" s="84"/>
    </row>
    <row r="391">
      <c r="A391" s="162">
        <v>45893.0</v>
      </c>
      <c r="B391" s="163" t="s">
        <v>2622</v>
      </c>
      <c r="C391" s="84"/>
      <c r="D391" s="165">
        <v>5.1970842362E10</v>
      </c>
      <c r="E391" s="78" t="s">
        <v>2615</v>
      </c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</row>
    <row r="392">
      <c r="A392" s="162">
        <v>45893.0</v>
      </c>
      <c r="B392" s="163" t="s">
        <v>2623</v>
      </c>
      <c r="C392" s="84"/>
      <c r="D392" s="165">
        <v>5.1983702935E10</v>
      </c>
      <c r="E392" s="78" t="s">
        <v>2615</v>
      </c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</row>
    <row r="393">
      <c r="A393" s="162">
        <v>45893.0</v>
      </c>
      <c r="B393" s="163" t="s">
        <v>2624</v>
      </c>
      <c r="C393" s="84"/>
      <c r="D393" s="165">
        <v>5.1968989794E10</v>
      </c>
      <c r="E393" s="78" t="s">
        <v>2615</v>
      </c>
      <c r="F393" s="84" t="s">
        <v>2620</v>
      </c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  <c r="AC393" s="84"/>
      <c r="AD393" s="84"/>
      <c r="AE393" s="84"/>
      <c r="AF393" s="84"/>
      <c r="AG393" s="84"/>
      <c r="AH393" s="84"/>
      <c r="AI393" s="84"/>
    </row>
    <row r="394">
      <c r="A394" s="162">
        <v>45893.0</v>
      </c>
      <c r="B394" s="163" t="s">
        <v>2625</v>
      </c>
      <c r="C394" s="84"/>
      <c r="D394" s="165">
        <v>5.1994073168E10</v>
      </c>
      <c r="E394" s="78" t="s">
        <v>2615</v>
      </c>
      <c r="F394" s="84" t="s">
        <v>2620</v>
      </c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</row>
    <row r="395">
      <c r="A395" s="162">
        <v>45954.0</v>
      </c>
      <c r="B395" s="163" t="s">
        <v>2626</v>
      </c>
      <c r="C395" s="84"/>
      <c r="D395" s="165">
        <v>5.1958208557E10</v>
      </c>
      <c r="E395" s="78" t="s">
        <v>2615</v>
      </c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  <c r="AA395" s="84"/>
      <c r="AB395" s="84"/>
      <c r="AC395" s="84"/>
      <c r="AD395" s="84"/>
      <c r="AE395" s="84"/>
      <c r="AF395" s="84"/>
      <c r="AG395" s="84"/>
      <c r="AH395" s="84"/>
      <c r="AI395" s="84"/>
    </row>
    <row r="396">
      <c r="A396" s="162">
        <v>45954.0</v>
      </c>
      <c r="B396" s="163" t="s">
        <v>2627</v>
      </c>
      <c r="C396" s="84"/>
      <c r="D396" s="165">
        <v>5.1906147253E10</v>
      </c>
      <c r="E396" s="78" t="s">
        <v>2615</v>
      </c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  <c r="AA396" s="84"/>
      <c r="AB396" s="84"/>
      <c r="AC396" s="84"/>
      <c r="AD396" s="84"/>
      <c r="AE396" s="84"/>
      <c r="AF396" s="84"/>
      <c r="AG396" s="84"/>
      <c r="AH396" s="84"/>
      <c r="AI396" s="84"/>
    </row>
    <row r="397">
      <c r="A397" s="162">
        <v>45985.0</v>
      </c>
      <c r="B397" s="163" t="s">
        <v>2628</v>
      </c>
      <c r="C397" s="84"/>
      <c r="D397" s="164">
        <v>5.199909356E10</v>
      </c>
      <c r="E397" s="78" t="s">
        <v>2615</v>
      </c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 s="84"/>
      <c r="AC397" s="84"/>
      <c r="AD397" s="84"/>
      <c r="AE397" s="84"/>
      <c r="AF397" s="84"/>
      <c r="AG397" s="84"/>
      <c r="AH397" s="84"/>
      <c r="AI397" s="84"/>
    </row>
    <row r="398">
      <c r="A398" s="162">
        <v>45985.0</v>
      </c>
      <c r="B398" s="163" t="s">
        <v>2623</v>
      </c>
      <c r="C398" s="84"/>
      <c r="D398" s="165">
        <v>5.1983702935E10</v>
      </c>
      <c r="E398" s="78" t="s">
        <v>2615</v>
      </c>
      <c r="F398" s="84" t="s">
        <v>2620</v>
      </c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  <c r="AA398" s="84"/>
      <c r="AB398" s="84"/>
      <c r="AC398" s="84"/>
      <c r="AD398" s="84"/>
      <c r="AE398" s="84"/>
      <c r="AF398" s="84"/>
      <c r="AG398" s="84"/>
      <c r="AH398" s="84"/>
      <c r="AI398" s="84"/>
    </row>
    <row r="399">
      <c r="A399" s="162">
        <v>45681.0</v>
      </c>
      <c r="B399" s="163" t="s">
        <v>2629</v>
      </c>
      <c r="C399" s="84"/>
      <c r="D399" s="164">
        <v>5.1924210557E10</v>
      </c>
      <c r="E399" s="78" t="s">
        <v>2615</v>
      </c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</row>
    <row r="400">
      <c r="A400" s="162">
        <v>45681.0</v>
      </c>
      <c r="B400" s="163" t="s">
        <v>2630</v>
      </c>
      <c r="C400" s="84"/>
      <c r="D400" s="164">
        <v>5.1956470091E10</v>
      </c>
      <c r="E400" s="78" t="s">
        <v>2615</v>
      </c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</row>
    <row r="401">
      <c r="A401" s="162">
        <v>45681.0</v>
      </c>
      <c r="B401" s="163" t="s">
        <v>2631</v>
      </c>
      <c r="C401" s="84"/>
      <c r="D401" s="164">
        <v>5.1928948464E10</v>
      </c>
      <c r="E401" s="78" t="s">
        <v>2615</v>
      </c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</row>
    <row r="402">
      <c r="A402" s="162">
        <v>45681.0</v>
      </c>
      <c r="B402" s="163" t="s">
        <v>2632</v>
      </c>
      <c r="C402" s="84"/>
      <c r="D402" s="164">
        <v>5.1968725451E10</v>
      </c>
      <c r="E402" s="78" t="s">
        <v>2615</v>
      </c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</row>
    <row r="403">
      <c r="A403" s="162">
        <v>45681.0</v>
      </c>
      <c r="B403" s="163" t="s">
        <v>2633</v>
      </c>
      <c r="C403" s="84"/>
      <c r="D403" s="164">
        <v>5.1950501637E10</v>
      </c>
      <c r="E403" s="78" t="s">
        <v>2615</v>
      </c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  <c r="AA403" s="84"/>
      <c r="AB403" s="84"/>
      <c r="AC403" s="84"/>
      <c r="AD403" s="84"/>
      <c r="AE403" s="84"/>
      <c r="AF403" s="84"/>
      <c r="AG403" s="84"/>
      <c r="AH403" s="84"/>
      <c r="AI403" s="84"/>
    </row>
    <row r="404">
      <c r="A404" s="162">
        <v>45681.0</v>
      </c>
      <c r="B404" s="163" t="s">
        <v>2634</v>
      </c>
      <c r="C404" s="84"/>
      <c r="D404" s="164">
        <v>5.1992174707E10</v>
      </c>
      <c r="E404" s="78" t="s">
        <v>2615</v>
      </c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  <c r="AA404" s="84"/>
      <c r="AB404" s="84"/>
      <c r="AC404" s="84"/>
      <c r="AD404" s="84"/>
      <c r="AE404" s="84"/>
      <c r="AF404" s="84"/>
      <c r="AG404" s="84"/>
      <c r="AH404" s="84"/>
      <c r="AI404" s="84"/>
    </row>
    <row r="405">
      <c r="A405" s="162">
        <v>45681.0</v>
      </c>
      <c r="B405" s="163" t="s">
        <v>2635</v>
      </c>
      <c r="C405" s="84"/>
      <c r="D405" s="164">
        <v>5.1959780461E10</v>
      </c>
      <c r="E405" s="78" t="s">
        <v>2615</v>
      </c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  <c r="AA405" s="84"/>
      <c r="AB405" s="84"/>
      <c r="AC405" s="84"/>
      <c r="AD405" s="84"/>
      <c r="AE405" s="84"/>
      <c r="AF405" s="84"/>
      <c r="AG405" s="84"/>
      <c r="AH405" s="84"/>
      <c r="AI405" s="84"/>
    </row>
    <row r="406">
      <c r="A406" s="162">
        <v>45681.0</v>
      </c>
      <c r="B406" s="163" t="s">
        <v>2636</v>
      </c>
      <c r="C406" s="84"/>
      <c r="D406" s="164">
        <v>5.1951991948E10</v>
      </c>
      <c r="E406" s="78" t="s">
        <v>2615</v>
      </c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  <c r="AA406" s="84"/>
      <c r="AB406" s="84"/>
      <c r="AC406" s="84"/>
      <c r="AD406" s="84"/>
      <c r="AE406" s="84"/>
      <c r="AF406" s="84"/>
      <c r="AG406" s="84"/>
      <c r="AH406" s="84"/>
      <c r="AI406" s="84"/>
    </row>
    <row r="407">
      <c r="A407" s="162">
        <v>45681.0</v>
      </c>
      <c r="B407" s="163" t="s">
        <v>2637</v>
      </c>
      <c r="C407" s="84"/>
      <c r="D407" s="164">
        <v>5.1958250863E10</v>
      </c>
      <c r="E407" s="78" t="s">
        <v>2615</v>
      </c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  <c r="AA407" s="84"/>
      <c r="AB407" s="84"/>
      <c r="AC407" s="84"/>
      <c r="AD407" s="84"/>
      <c r="AE407" s="84"/>
      <c r="AF407" s="84"/>
      <c r="AG407" s="84"/>
      <c r="AH407" s="84"/>
      <c r="AI407" s="84"/>
    </row>
    <row r="408">
      <c r="A408" s="162">
        <v>45681.0</v>
      </c>
      <c r="B408" s="163" t="s">
        <v>2638</v>
      </c>
      <c r="C408" s="84"/>
      <c r="D408" s="164">
        <v>5.1903178727E10</v>
      </c>
      <c r="E408" s="78" t="s">
        <v>2615</v>
      </c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  <c r="AA408" s="84"/>
      <c r="AB408" s="84"/>
      <c r="AC408" s="84"/>
      <c r="AD408" s="84"/>
      <c r="AE408" s="84"/>
      <c r="AF408" s="84"/>
      <c r="AG408" s="84"/>
      <c r="AH408" s="84"/>
      <c r="AI408" s="84"/>
    </row>
    <row r="409">
      <c r="A409" s="162">
        <v>45681.0</v>
      </c>
      <c r="B409" s="163" t="s">
        <v>2639</v>
      </c>
      <c r="C409" s="84"/>
      <c r="D409" s="164">
        <v>5.194369218E10</v>
      </c>
      <c r="E409" s="78" t="s">
        <v>2615</v>
      </c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  <c r="AA409" s="84"/>
      <c r="AB409" s="84"/>
      <c r="AC409" s="84"/>
      <c r="AD409" s="84"/>
      <c r="AE409" s="84"/>
      <c r="AF409" s="84"/>
      <c r="AG409" s="84"/>
      <c r="AH409" s="84"/>
      <c r="AI409" s="84"/>
    </row>
    <row r="410">
      <c r="A410" s="162">
        <v>45681.0</v>
      </c>
      <c r="B410" s="163" t="s">
        <v>2640</v>
      </c>
      <c r="C410" s="84"/>
      <c r="D410" s="164">
        <v>5.1969883722E10</v>
      </c>
      <c r="E410" s="78" t="s">
        <v>2615</v>
      </c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  <c r="AA410" s="84"/>
      <c r="AB410" s="84"/>
      <c r="AC410" s="84"/>
      <c r="AD410" s="84"/>
      <c r="AE410" s="84"/>
      <c r="AF410" s="84"/>
      <c r="AG410" s="84"/>
      <c r="AH410" s="84"/>
      <c r="AI410" s="84"/>
    </row>
    <row r="411">
      <c r="A411" s="162">
        <v>45681.0</v>
      </c>
      <c r="B411" s="163" t="s">
        <v>2641</v>
      </c>
      <c r="C411" s="84"/>
      <c r="D411" s="164">
        <v>5.1929811505E10</v>
      </c>
      <c r="E411" s="78" t="s">
        <v>2615</v>
      </c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  <c r="AA411" s="84"/>
      <c r="AB411" s="84"/>
      <c r="AC411" s="84"/>
      <c r="AD411" s="84"/>
      <c r="AE411" s="84"/>
      <c r="AF411" s="84"/>
      <c r="AG411" s="84"/>
      <c r="AH411" s="84"/>
      <c r="AI411" s="84"/>
    </row>
    <row r="412">
      <c r="A412" s="162">
        <v>45712.0</v>
      </c>
      <c r="B412" s="163" t="s">
        <v>2642</v>
      </c>
      <c r="C412" s="84"/>
      <c r="D412" s="164">
        <v>5.1979313161E10</v>
      </c>
      <c r="E412" s="78" t="s">
        <v>2615</v>
      </c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  <c r="AA412" s="84"/>
      <c r="AB412" s="84"/>
      <c r="AC412" s="84"/>
      <c r="AD412" s="84"/>
      <c r="AE412" s="84"/>
      <c r="AF412" s="84"/>
      <c r="AG412" s="84"/>
      <c r="AH412" s="84"/>
      <c r="AI412" s="84"/>
    </row>
    <row r="413">
      <c r="A413" s="162">
        <v>45712.0</v>
      </c>
      <c r="B413" s="163" t="s">
        <v>2643</v>
      </c>
      <c r="C413" s="84"/>
      <c r="D413" s="164">
        <v>5.1943486417E10</v>
      </c>
      <c r="E413" s="78" t="s">
        <v>2615</v>
      </c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  <c r="AA413" s="84"/>
      <c r="AB413" s="84"/>
      <c r="AC413" s="84"/>
      <c r="AD413" s="84"/>
      <c r="AE413" s="84"/>
      <c r="AF413" s="84"/>
      <c r="AG413" s="84"/>
      <c r="AH413" s="84"/>
      <c r="AI413" s="84"/>
    </row>
    <row r="414">
      <c r="A414" s="162">
        <v>45712.0</v>
      </c>
      <c r="B414" s="163" t="s">
        <v>2644</v>
      </c>
      <c r="C414" s="84"/>
      <c r="D414" s="164">
        <v>5.1962815823E10</v>
      </c>
      <c r="E414" s="78" t="s">
        <v>2615</v>
      </c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  <c r="AA414" s="84"/>
      <c r="AB414" s="84"/>
      <c r="AC414" s="84"/>
      <c r="AD414" s="84"/>
      <c r="AE414" s="84"/>
      <c r="AF414" s="84"/>
      <c r="AG414" s="84"/>
      <c r="AH414" s="84"/>
      <c r="AI414" s="84"/>
    </row>
    <row r="415">
      <c r="A415" s="162">
        <v>45712.0</v>
      </c>
      <c r="B415" s="163" t="s">
        <v>2645</v>
      </c>
      <c r="C415" s="84"/>
      <c r="D415" s="164">
        <v>5.1958020471E10</v>
      </c>
      <c r="E415" s="78" t="s">
        <v>2615</v>
      </c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  <c r="AA415" s="84"/>
      <c r="AB415" s="84"/>
      <c r="AC415" s="84"/>
      <c r="AD415" s="84"/>
      <c r="AE415" s="84"/>
      <c r="AF415" s="84"/>
      <c r="AG415" s="84"/>
      <c r="AH415" s="84"/>
      <c r="AI415" s="84"/>
    </row>
    <row r="416">
      <c r="A416" s="162">
        <v>45712.0</v>
      </c>
      <c r="B416" s="163" t="s">
        <v>2646</v>
      </c>
      <c r="C416" s="84"/>
      <c r="D416" s="164">
        <v>5.194567405E10</v>
      </c>
      <c r="E416" s="78" t="s">
        <v>2615</v>
      </c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  <c r="AA416" s="84"/>
      <c r="AB416" s="84"/>
      <c r="AC416" s="84"/>
      <c r="AD416" s="84"/>
      <c r="AE416" s="84"/>
      <c r="AF416" s="84"/>
      <c r="AG416" s="84"/>
      <c r="AH416" s="84"/>
      <c r="AI416" s="84"/>
    </row>
    <row r="417">
      <c r="A417" s="162">
        <v>45712.0</v>
      </c>
      <c r="B417" s="163" t="s">
        <v>2647</v>
      </c>
      <c r="C417" s="84"/>
      <c r="D417" s="164">
        <v>5.195634626E10</v>
      </c>
      <c r="E417" s="78" t="s">
        <v>2615</v>
      </c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  <c r="AA417" s="84"/>
      <c r="AB417" s="84"/>
      <c r="AC417" s="84"/>
      <c r="AD417" s="84"/>
      <c r="AE417" s="84"/>
      <c r="AF417" s="84"/>
      <c r="AG417" s="84"/>
      <c r="AH417" s="84"/>
      <c r="AI417" s="84"/>
    </row>
    <row r="418">
      <c r="A418" s="162">
        <v>45712.0</v>
      </c>
      <c r="B418" s="163" t="s">
        <v>2648</v>
      </c>
      <c r="C418" s="84"/>
      <c r="D418" s="164">
        <v>5.1954151929E10</v>
      </c>
      <c r="E418" s="78" t="s">
        <v>2615</v>
      </c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  <c r="AA418" s="84"/>
      <c r="AB418" s="84"/>
      <c r="AC418" s="84"/>
      <c r="AD418" s="84"/>
      <c r="AE418" s="84"/>
      <c r="AF418" s="84"/>
      <c r="AG418" s="84"/>
      <c r="AH418" s="84"/>
      <c r="AI418" s="84"/>
    </row>
    <row r="419">
      <c r="A419" s="162">
        <v>45712.0</v>
      </c>
      <c r="B419" s="163" t="s">
        <v>2649</v>
      </c>
      <c r="C419" s="84"/>
      <c r="D419" s="164">
        <v>5.198437928E10</v>
      </c>
      <c r="E419" s="78" t="s">
        <v>2615</v>
      </c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  <c r="AA419" s="84"/>
      <c r="AB419" s="84"/>
      <c r="AC419" s="84"/>
      <c r="AD419" s="84"/>
      <c r="AE419" s="84"/>
      <c r="AF419" s="84"/>
      <c r="AG419" s="84"/>
      <c r="AH419" s="84"/>
      <c r="AI419" s="84"/>
    </row>
    <row r="420">
      <c r="A420" s="162">
        <v>45712.0</v>
      </c>
      <c r="B420" s="163" t="s">
        <v>2650</v>
      </c>
      <c r="C420" s="84"/>
      <c r="D420" s="164">
        <v>5.1966606419E10</v>
      </c>
      <c r="E420" s="78" t="s">
        <v>2615</v>
      </c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  <c r="AA420" s="84"/>
      <c r="AB420" s="84"/>
      <c r="AC420" s="84"/>
      <c r="AD420" s="84"/>
      <c r="AE420" s="84"/>
      <c r="AF420" s="84"/>
      <c r="AG420" s="84"/>
      <c r="AH420" s="84"/>
      <c r="AI420" s="84"/>
    </row>
    <row r="421">
      <c r="A421" s="162">
        <v>45712.0</v>
      </c>
      <c r="B421" s="163" t="s">
        <v>2651</v>
      </c>
      <c r="C421" s="84"/>
      <c r="D421" s="164">
        <v>5.1974551612E10</v>
      </c>
      <c r="E421" s="78" t="s">
        <v>2615</v>
      </c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  <c r="AA421" s="84"/>
      <c r="AB421" s="84"/>
      <c r="AC421" s="84"/>
      <c r="AD421" s="84"/>
      <c r="AE421" s="84"/>
      <c r="AF421" s="84"/>
      <c r="AG421" s="84"/>
      <c r="AH421" s="84"/>
      <c r="AI421" s="84"/>
    </row>
    <row r="422">
      <c r="A422" s="162">
        <v>45712.0</v>
      </c>
      <c r="B422" s="163" t="s">
        <v>2652</v>
      </c>
      <c r="C422" s="84"/>
      <c r="D422" s="164">
        <v>5.1963703483E10</v>
      </c>
      <c r="E422" s="78" t="s">
        <v>2615</v>
      </c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  <c r="AA422" s="84"/>
      <c r="AB422" s="84"/>
      <c r="AC422" s="84"/>
      <c r="AD422" s="84"/>
      <c r="AE422" s="84"/>
      <c r="AF422" s="84"/>
      <c r="AG422" s="84"/>
      <c r="AH422" s="84"/>
      <c r="AI422" s="84"/>
    </row>
    <row r="423">
      <c r="A423" s="162">
        <v>45712.0</v>
      </c>
      <c r="B423" s="163" t="s">
        <v>2653</v>
      </c>
      <c r="C423" s="84"/>
      <c r="D423" s="164">
        <v>5.1958110769E10</v>
      </c>
      <c r="E423" s="78" t="s">
        <v>2615</v>
      </c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  <c r="AA423" s="84"/>
      <c r="AB423" s="84"/>
      <c r="AC423" s="84"/>
      <c r="AD423" s="84"/>
      <c r="AE423" s="84"/>
      <c r="AF423" s="84"/>
      <c r="AG423" s="84"/>
      <c r="AH423" s="84"/>
      <c r="AI423" s="84"/>
    </row>
    <row r="424">
      <c r="A424" s="162">
        <v>45712.0</v>
      </c>
      <c r="B424" s="163" t="s">
        <v>2654</v>
      </c>
      <c r="C424" s="84"/>
      <c r="D424" s="164">
        <v>5.1938592786E10</v>
      </c>
      <c r="E424" s="78" t="s">
        <v>2615</v>
      </c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  <c r="AA424" s="84"/>
      <c r="AB424" s="84"/>
      <c r="AC424" s="84"/>
      <c r="AD424" s="84"/>
      <c r="AE424" s="84"/>
      <c r="AF424" s="84"/>
      <c r="AG424" s="84"/>
      <c r="AH424" s="84"/>
      <c r="AI424" s="84"/>
    </row>
    <row r="425">
      <c r="A425" s="162">
        <v>45712.0</v>
      </c>
      <c r="B425" s="163" t="s">
        <v>2655</v>
      </c>
      <c r="C425" s="84"/>
      <c r="D425" s="164" t="s">
        <v>2656</v>
      </c>
      <c r="E425" s="78" t="s">
        <v>2615</v>
      </c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  <c r="AA425" s="84"/>
      <c r="AB425" s="84"/>
      <c r="AC425" s="84"/>
      <c r="AD425" s="84"/>
      <c r="AE425" s="84"/>
      <c r="AF425" s="84"/>
      <c r="AG425" s="84"/>
      <c r="AH425" s="84"/>
      <c r="AI425" s="84"/>
    </row>
    <row r="426">
      <c r="A426" s="162">
        <v>45712.0</v>
      </c>
      <c r="B426" s="163" t="s">
        <v>2657</v>
      </c>
      <c r="C426" s="84"/>
      <c r="D426" s="164">
        <v>5.1969559472E10</v>
      </c>
      <c r="E426" s="78" t="s">
        <v>2615</v>
      </c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  <c r="AA426" s="84"/>
      <c r="AB426" s="84"/>
      <c r="AC426" s="84"/>
      <c r="AD426" s="84"/>
      <c r="AE426" s="84"/>
      <c r="AF426" s="84"/>
      <c r="AG426" s="84"/>
      <c r="AH426" s="84"/>
      <c r="AI426" s="84"/>
    </row>
    <row r="427">
      <c r="A427" s="162">
        <v>45712.0</v>
      </c>
      <c r="B427" s="163" t="s">
        <v>2658</v>
      </c>
      <c r="C427" s="84"/>
      <c r="D427" s="164">
        <v>5.198411018E10</v>
      </c>
      <c r="E427" s="78" t="s">
        <v>2615</v>
      </c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  <c r="AA427" s="84"/>
      <c r="AB427" s="84"/>
      <c r="AC427" s="84"/>
      <c r="AD427" s="84"/>
      <c r="AE427" s="84"/>
      <c r="AF427" s="84"/>
      <c r="AG427" s="84"/>
      <c r="AH427" s="84"/>
      <c r="AI427" s="84"/>
    </row>
    <row r="428">
      <c r="A428" s="162">
        <v>45771.0</v>
      </c>
      <c r="B428" s="163" t="s">
        <v>2659</v>
      </c>
      <c r="C428" s="84"/>
      <c r="D428" s="164">
        <v>5.1989980886E10</v>
      </c>
      <c r="E428" s="78" t="s">
        <v>2615</v>
      </c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  <c r="AA428" s="84"/>
      <c r="AB428" s="84"/>
      <c r="AC428" s="84"/>
      <c r="AD428" s="84"/>
      <c r="AE428" s="84"/>
      <c r="AF428" s="84"/>
      <c r="AG428" s="84"/>
      <c r="AH428" s="84"/>
      <c r="AI428" s="84"/>
    </row>
    <row r="429">
      <c r="A429" s="162">
        <v>45771.0</v>
      </c>
      <c r="B429" s="163" t="s">
        <v>2660</v>
      </c>
      <c r="C429" s="84"/>
      <c r="D429" s="164">
        <v>5.1980038403E10</v>
      </c>
      <c r="E429" s="78" t="s">
        <v>2615</v>
      </c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  <c r="AA429" s="84"/>
      <c r="AB429" s="84"/>
      <c r="AC429" s="84"/>
      <c r="AD429" s="84"/>
      <c r="AE429" s="84"/>
      <c r="AF429" s="84"/>
      <c r="AG429" s="84"/>
      <c r="AH429" s="84"/>
      <c r="AI429" s="84"/>
    </row>
    <row r="430">
      <c r="A430" s="162">
        <v>45771.0</v>
      </c>
      <c r="B430" s="163" t="s">
        <v>2661</v>
      </c>
      <c r="C430" s="84"/>
      <c r="D430" s="164">
        <v>5.1984441507E10</v>
      </c>
      <c r="E430" s="78" t="s">
        <v>2615</v>
      </c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  <c r="AA430" s="84"/>
      <c r="AB430" s="84"/>
      <c r="AC430" s="84"/>
      <c r="AD430" s="84"/>
      <c r="AE430" s="84"/>
      <c r="AF430" s="84"/>
      <c r="AG430" s="84"/>
      <c r="AH430" s="84"/>
      <c r="AI430" s="84"/>
    </row>
    <row r="431">
      <c r="A431" s="162">
        <v>45771.0</v>
      </c>
      <c r="B431" s="163" t="s">
        <v>2662</v>
      </c>
      <c r="C431" s="84"/>
      <c r="D431" s="164">
        <v>5.1963802629E10</v>
      </c>
      <c r="E431" s="78" t="s">
        <v>2615</v>
      </c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  <c r="AA431" s="84"/>
      <c r="AB431" s="84"/>
      <c r="AC431" s="84"/>
      <c r="AD431" s="84"/>
      <c r="AE431" s="84"/>
      <c r="AF431" s="84"/>
      <c r="AG431" s="84"/>
      <c r="AH431" s="84"/>
      <c r="AI431" s="84"/>
    </row>
    <row r="432">
      <c r="A432" s="162">
        <v>45771.0</v>
      </c>
      <c r="B432" s="163" t="s">
        <v>2663</v>
      </c>
      <c r="C432" s="84"/>
      <c r="D432" s="164">
        <v>5.1937498296E10</v>
      </c>
      <c r="E432" s="78" t="s">
        <v>2615</v>
      </c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  <c r="AA432" s="84"/>
      <c r="AB432" s="84"/>
      <c r="AC432" s="84"/>
      <c r="AD432" s="84"/>
      <c r="AE432" s="84"/>
      <c r="AF432" s="84"/>
      <c r="AG432" s="84"/>
      <c r="AH432" s="84"/>
      <c r="AI432" s="84"/>
    </row>
    <row r="433">
      <c r="A433" s="162">
        <v>45771.0</v>
      </c>
      <c r="B433" s="163" t="s">
        <v>2664</v>
      </c>
      <c r="C433" s="84"/>
      <c r="D433" s="164">
        <v>5.1987270824E10</v>
      </c>
      <c r="E433" s="78" t="s">
        <v>2615</v>
      </c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  <c r="AA433" s="84"/>
      <c r="AB433" s="84"/>
      <c r="AC433" s="84"/>
      <c r="AD433" s="84"/>
      <c r="AE433" s="84"/>
      <c r="AF433" s="84"/>
      <c r="AG433" s="84"/>
      <c r="AH433" s="84"/>
      <c r="AI433" s="84"/>
    </row>
    <row r="434">
      <c r="A434" s="162">
        <v>45771.0</v>
      </c>
      <c r="B434" s="163" t="s">
        <v>2665</v>
      </c>
      <c r="C434" s="84"/>
      <c r="D434" s="164">
        <v>5.1957253203E10</v>
      </c>
      <c r="E434" s="78" t="s">
        <v>2615</v>
      </c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  <c r="AA434" s="84"/>
      <c r="AB434" s="84"/>
      <c r="AC434" s="84"/>
      <c r="AD434" s="84"/>
      <c r="AE434" s="84"/>
      <c r="AF434" s="84"/>
      <c r="AG434" s="84"/>
      <c r="AH434" s="84"/>
      <c r="AI434" s="84"/>
    </row>
    <row r="435">
      <c r="A435" s="162">
        <v>45771.0</v>
      </c>
      <c r="B435" s="163" t="s">
        <v>2666</v>
      </c>
      <c r="C435" s="84"/>
      <c r="D435" s="164">
        <v>5.1974223514E10</v>
      </c>
      <c r="E435" s="78" t="s">
        <v>2615</v>
      </c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  <c r="AA435" s="84"/>
      <c r="AB435" s="84"/>
      <c r="AC435" s="84"/>
      <c r="AD435" s="84"/>
      <c r="AE435" s="84"/>
      <c r="AF435" s="84"/>
      <c r="AG435" s="84"/>
      <c r="AH435" s="84"/>
      <c r="AI435" s="84"/>
    </row>
    <row r="436">
      <c r="A436" s="162">
        <v>45771.0</v>
      </c>
      <c r="B436" s="163" t="s">
        <v>2667</v>
      </c>
      <c r="C436" s="84"/>
      <c r="D436" s="164">
        <v>5.195495807E10</v>
      </c>
      <c r="E436" s="78" t="s">
        <v>2615</v>
      </c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  <c r="AA436" s="84"/>
      <c r="AB436" s="84"/>
      <c r="AC436" s="84"/>
      <c r="AD436" s="84"/>
      <c r="AE436" s="84"/>
      <c r="AF436" s="84"/>
      <c r="AG436" s="84"/>
      <c r="AH436" s="84"/>
      <c r="AI436" s="84"/>
    </row>
    <row r="437">
      <c r="A437" s="162">
        <v>45771.0</v>
      </c>
      <c r="B437" s="163" t="s">
        <v>2668</v>
      </c>
      <c r="C437" s="84"/>
      <c r="D437" s="164">
        <v>5.1984907388E10</v>
      </c>
      <c r="E437" s="78" t="s">
        <v>2615</v>
      </c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  <c r="AA437" s="84"/>
      <c r="AB437" s="84"/>
      <c r="AC437" s="84"/>
      <c r="AD437" s="84"/>
      <c r="AE437" s="84"/>
      <c r="AF437" s="84"/>
      <c r="AG437" s="84"/>
      <c r="AH437" s="84"/>
      <c r="AI437" s="84"/>
    </row>
    <row r="438">
      <c r="A438" s="162">
        <v>45771.0</v>
      </c>
      <c r="B438" s="163" t="s">
        <v>2669</v>
      </c>
      <c r="C438" s="84"/>
      <c r="D438" s="164">
        <v>5.1999353882E10</v>
      </c>
      <c r="E438" s="78" t="s">
        <v>2615</v>
      </c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  <c r="AA438" s="84"/>
      <c r="AB438" s="84"/>
      <c r="AC438" s="84"/>
      <c r="AD438" s="84"/>
      <c r="AE438" s="84"/>
      <c r="AF438" s="84"/>
      <c r="AG438" s="84"/>
      <c r="AH438" s="84"/>
      <c r="AI438" s="84"/>
    </row>
    <row r="439">
      <c r="A439" s="162">
        <v>45771.0</v>
      </c>
      <c r="B439" s="163" t="s">
        <v>2670</v>
      </c>
      <c r="C439" s="84"/>
      <c r="D439" s="164">
        <v>5.1973698126E10</v>
      </c>
      <c r="E439" s="78" t="s">
        <v>2615</v>
      </c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  <c r="AA439" s="84"/>
      <c r="AB439" s="84"/>
      <c r="AC439" s="84"/>
      <c r="AD439" s="84"/>
      <c r="AE439" s="84"/>
      <c r="AF439" s="84"/>
      <c r="AG439" s="84"/>
      <c r="AH439" s="84"/>
      <c r="AI439" s="84"/>
    </row>
    <row r="440">
      <c r="A440" s="162">
        <v>45771.0</v>
      </c>
      <c r="B440" s="163" t="s">
        <v>2671</v>
      </c>
      <c r="C440" s="84"/>
      <c r="D440" s="164">
        <v>5.193211604E10</v>
      </c>
      <c r="E440" s="78" t="s">
        <v>2615</v>
      </c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  <c r="AA440" s="84"/>
      <c r="AB440" s="84"/>
      <c r="AC440" s="84"/>
      <c r="AD440" s="84"/>
      <c r="AE440" s="84"/>
      <c r="AF440" s="84"/>
      <c r="AG440" s="84"/>
      <c r="AH440" s="84"/>
      <c r="AI440" s="84"/>
    </row>
    <row r="441">
      <c r="A441" s="162">
        <v>45771.0</v>
      </c>
      <c r="B441" s="163" t="s">
        <v>2672</v>
      </c>
      <c r="C441" s="84"/>
      <c r="D441" s="164">
        <v>5.1975782945E10</v>
      </c>
      <c r="E441" s="78" t="s">
        <v>2615</v>
      </c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  <c r="AA441" s="84"/>
      <c r="AB441" s="84"/>
      <c r="AC441" s="84"/>
      <c r="AD441" s="84"/>
      <c r="AE441" s="84"/>
      <c r="AF441" s="84"/>
      <c r="AG441" s="84"/>
      <c r="AH441" s="84"/>
      <c r="AI441" s="84"/>
    </row>
    <row r="442">
      <c r="A442" s="162">
        <v>45771.0</v>
      </c>
      <c r="B442" s="163" t="s">
        <v>2673</v>
      </c>
      <c r="C442" s="84"/>
      <c r="D442" s="164">
        <v>5.1901461585E10</v>
      </c>
      <c r="E442" s="78" t="s">
        <v>2615</v>
      </c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  <c r="AA442" s="84"/>
      <c r="AB442" s="84"/>
      <c r="AC442" s="84"/>
      <c r="AD442" s="84"/>
      <c r="AE442" s="84"/>
      <c r="AF442" s="84"/>
      <c r="AG442" s="84"/>
      <c r="AH442" s="84"/>
      <c r="AI442" s="84"/>
    </row>
    <row r="443">
      <c r="A443" s="162">
        <v>45801.0</v>
      </c>
      <c r="B443" s="163" t="s">
        <v>2674</v>
      </c>
      <c r="C443" s="84"/>
      <c r="D443" s="164">
        <v>5.1982753188E10</v>
      </c>
      <c r="E443" s="78" t="s">
        <v>2615</v>
      </c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  <c r="AA443" s="84"/>
      <c r="AB443" s="84"/>
      <c r="AC443" s="84"/>
      <c r="AD443" s="84"/>
      <c r="AE443" s="84"/>
      <c r="AF443" s="84"/>
      <c r="AG443" s="84"/>
      <c r="AH443" s="84"/>
      <c r="AI443" s="84"/>
    </row>
    <row r="444">
      <c r="A444" s="162">
        <v>45801.0</v>
      </c>
      <c r="B444" s="163" t="s">
        <v>2675</v>
      </c>
      <c r="C444" s="84"/>
      <c r="D444" s="164">
        <v>5.1920698823E10</v>
      </c>
      <c r="E444" s="78" t="s">
        <v>2615</v>
      </c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  <c r="AA444" s="84"/>
      <c r="AB444" s="84"/>
      <c r="AC444" s="84"/>
      <c r="AD444" s="84"/>
      <c r="AE444" s="84"/>
      <c r="AF444" s="84"/>
      <c r="AG444" s="84"/>
      <c r="AH444" s="84"/>
      <c r="AI444" s="84"/>
    </row>
    <row r="445">
      <c r="A445" s="162">
        <v>45801.0</v>
      </c>
      <c r="B445" s="163" t="s">
        <v>2676</v>
      </c>
      <c r="C445" s="84"/>
      <c r="D445" s="164">
        <v>5.1949051271E10</v>
      </c>
      <c r="E445" s="78" t="s">
        <v>2615</v>
      </c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  <c r="AA445" s="84"/>
      <c r="AB445" s="84"/>
      <c r="AC445" s="84"/>
      <c r="AD445" s="84"/>
      <c r="AE445" s="84"/>
      <c r="AF445" s="84"/>
      <c r="AG445" s="84"/>
      <c r="AH445" s="84"/>
      <c r="AI445" s="84"/>
    </row>
    <row r="446">
      <c r="A446" s="162">
        <v>45801.0</v>
      </c>
      <c r="B446" s="163" t="s">
        <v>2677</v>
      </c>
      <c r="C446" s="84"/>
      <c r="D446" s="164">
        <v>5.1941939838E10</v>
      </c>
      <c r="E446" s="78" t="s">
        <v>2615</v>
      </c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  <c r="AA446" s="84"/>
      <c r="AB446" s="84"/>
      <c r="AC446" s="84"/>
      <c r="AD446" s="84"/>
      <c r="AE446" s="84"/>
      <c r="AF446" s="84"/>
      <c r="AG446" s="84"/>
      <c r="AH446" s="84"/>
      <c r="AI446" s="84"/>
    </row>
    <row r="447">
      <c r="A447" s="162">
        <v>45801.0</v>
      </c>
      <c r="B447" s="163" t="s">
        <v>2678</v>
      </c>
      <c r="C447" s="84"/>
      <c r="D447" s="164">
        <v>5.1981088309E10</v>
      </c>
      <c r="E447" s="78" t="s">
        <v>2615</v>
      </c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  <c r="AA447" s="84"/>
      <c r="AB447" s="84"/>
      <c r="AC447" s="84"/>
      <c r="AD447" s="84"/>
      <c r="AE447" s="84"/>
      <c r="AF447" s="84"/>
      <c r="AG447" s="84"/>
      <c r="AH447" s="84"/>
      <c r="AI447" s="84"/>
    </row>
    <row r="448">
      <c r="A448" s="162">
        <v>45801.0</v>
      </c>
      <c r="B448" s="163" t="s">
        <v>2679</v>
      </c>
      <c r="C448" s="84"/>
      <c r="D448" s="164">
        <v>5.1941383824E10</v>
      </c>
      <c r="E448" s="78" t="s">
        <v>2615</v>
      </c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  <c r="AA448" s="84"/>
      <c r="AB448" s="84"/>
      <c r="AC448" s="84"/>
      <c r="AD448" s="84"/>
      <c r="AE448" s="84"/>
      <c r="AF448" s="84"/>
      <c r="AG448" s="84"/>
      <c r="AH448" s="84"/>
      <c r="AI448" s="84"/>
    </row>
    <row r="449">
      <c r="A449" s="162">
        <v>45801.0</v>
      </c>
      <c r="B449" s="163" t="s">
        <v>2680</v>
      </c>
      <c r="C449" s="84"/>
      <c r="D449" s="164">
        <v>5.1969204098E10</v>
      </c>
      <c r="E449" s="78" t="s">
        <v>2615</v>
      </c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  <c r="AA449" s="84"/>
      <c r="AB449" s="84"/>
      <c r="AC449" s="84"/>
      <c r="AD449" s="84"/>
      <c r="AE449" s="84"/>
      <c r="AF449" s="84"/>
      <c r="AG449" s="84"/>
      <c r="AH449" s="84"/>
      <c r="AI449" s="84"/>
    </row>
    <row r="450">
      <c r="A450" s="162">
        <v>45801.0</v>
      </c>
      <c r="B450" s="163" t="s">
        <v>2681</v>
      </c>
      <c r="C450" s="84"/>
      <c r="D450" s="164">
        <v>5.1963718348E10</v>
      </c>
      <c r="E450" s="78" t="s">
        <v>2615</v>
      </c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  <c r="AA450" s="84"/>
      <c r="AB450" s="84"/>
      <c r="AC450" s="84"/>
      <c r="AD450" s="84"/>
      <c r="AE450" s="84"/>
      <c r="AF450" s="84"/>
      <c r="AG450" s="84"/>
      <c r="AH450" s="84"/>
      <c r="AI450" s="84"/>
    </row>
    <row r="451">
      <c r="A451" s="162">
        <v>45832.0</v>
      </c>
      <c r="B451" s="163" t="s">
        <v>2682</v>
      </c>
      <c r="C451" s="84"/>
      <c r="D451" s="164">
        <v>5.1939396788E10</v>
      </c>
      <c r="E451" s="78" t="s">
        <v>2615</v>
      </c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  <c r="AA451" s="84"/>
      <c r="AB451" s="84"/>
      <c r="AC451" s="84"/>
      <c r="AD451" s="84"/>
      <c r="AE451" s="84"/>
      <c r="AF451" s="84"/>
      <c r="AG451" s="84"/>
      <c r="AH451" s="84"/>
      <c r="AI451" s="84"/>
    </row>
    <row r="452">
      <c r="A452" s="162">
        <v>45832.0</v>
      </c>
      <c r="B452" s="163" t="s">
        <v>2683</v>
      </c>
      <c r="C452" s="84"/>
      <c r="D452" s="164">
        <v>5.1950307133E10</v>
      </c>
      <c r="E452" s="78" t="s">
        <v>2615</v>
      </c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  <c r="AA452" s="84"/>
      <c r="AB452" s="84"/>
      <c r="AC452" s="84"/>
      <c r="AD452" s="84"/>
      <c r="AE452" s="84"/>
      <c r="AF452" s="84"/>
      <c r="AG452" s="84"/>
      <c r="AH452" s="84"/>
      <c r="AI452" s="84"/>
    </row>
    <row r="453">
      <c r="A453" s="162">
        <v>45832.0</v>
      </c>
      <c r="B453" s="163" t="s">
        <v>2684</v>
      </c>
      <c r="C453" s="84"/>
      <c r="D453" s="164">
        <v>5.1983685112E10</v>
      </c>
      <c r="E453" s="78" t="s">
        <v>2615</v>
      </c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  <c r="AA453" s="84"/>
      <c r="AB453" s="84"/>
      <c r="AC453" s="84"/>
      <c r="AD453" s="84"/>
      <c r="AE453" s="84"/>
      <c r="AF453" s="84"/>
      <c r="AG453" s="84"/>
      <c r="AH453" s="84"/>
      <c r="AI453" s="84"/>
    </row>
    <row r="454">
      <c r="A454" s="162">
        <v>45832.0</v>
      </c>
      <c r="B454" s="163" t="s">
        <v>2685</v>
      </c>
      <c r="C454" s="84"/>
      <c r="D454" s="164">
        <v>5.1979933226E10</v>
      </c>
      <c r="E454" s="78" t="s">
        <v>2615</v>
      </c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  <c r="AA454" s="84"/>
      <c r="AB454" s="84"/>
      <c r="AC454" s="84"/>
      <c r="AD454" s="84"/>
      <c r="AE454" s="84"/>
      <c r="AF454" s="84"/>
      <c r="AG454" s="84"/>
      <c r="AH454" s="84"/>
      <c r="AI454" s="84"/>
    </row>
    <row r="455">
      <c r="A455" s="162">
        <v>45832.0</v>
      </c>
      <c r="B455" s="163" t="s">
        <v>2686</v>
      </c>
      <c r="C455" s="84"/>
      <c r="D455" s="164">
        <v>5.1984519937E10</v>
      </c>
      <c r="E455" s="78" t="s">
        <v>2615</v>
      </c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  <c r="AA455" s="84"/>
      <c r="AB455" s="84"/>
      <c r="AC455" s="84"/>
      <c r="AD455" s="84"/>
      <c r="AE455" s="84"/>
      <c r="AF455" s="84"/>
      <c r="AG455" s="84"/>
      <c r="AH455" s="84"/>
      <c r="AI455" s="84"/>
    </row>
    <row r="456">
      <c r="A456" s="162">
        <v>45832.0</v>
      </c>
      <c r="B456" s="163" t="s">
        <v>2687</v>
      </c>
      <c r="C456" s="84"/>
      <c r="D456" s="164">
        <v>5.1990072469E10</v>
      </c>
      <c r="E456" s="78" t="s">
        <v>2615</v>
      </c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  <c r="AA456" s="84"/>
      <c r="AB456" s="84"/>
      <c r="AC456" s="84"/>
      <c r="AD456" s="84"/>
      <c r="AE456" s="84"/>
      <c r="AF456" s="84"/>
      <c r="AG456" s="84"/>
      <c r="AH456" s="84"/>
      <c r="AI456" s="84"/>
    </row>
    <row r="457">
      <c r="A457" s="162">
        <v>45832.0</v>
      </c>
      <c r="B457" s="163" t="s">
        <v>2688</v>
      </c>
      <c r="C457" s="84"/>
      <c r="D457" s="164">
        <v>5.1978867059E10</v>
      </c>
      <c r="E457" s="78" t="s">
        <v>2615</v>
      </c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  <c r="AB457" s="84"/>
      <c r="AC457" s="84"/>
      <c r="AD457" s="84"/>
      <c r="AE457" s="84"/>
      <c r="AF457" s="84"/>
      <c r="AG457" s="84"/>
      <c r="AH457" s="84"/>
      <c r="AI457" s="84"/>
    </row>
    <row r="458">
      <c r="A458" s="162">
        <v>45832.0</v>
      </c>
      <c r="B458" s="163" t="s">
        <v>2689</v>
      </c>
      <c r="C458" s="84"/>
      <c r="D458" s="164">
        <v>5.1998263519E10</v>
      </c>
      <c r="E458" s="78" t="s">
        <v>2615</v>
      </c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  <c r="AA458" s="84"/>
      <c r="AB458" s="84"/>
      <c r="AC458" s="84"/>
      <c r="AD458" s="84"/>
      <c r="AE458" s="84"/>
      <c r="AF458" s="84"/>
      <c r="AG458" s="84"/>
      <c r="AH458" s="84"/>
      <c r="AI458" s="84"/>
    </row>
    <row r="459">
      <c r="A459" s="162">
        <v>45832.0</v>
      </c>
      <c r="B459" s="163" t="s">
        <v>2690</v>
      </c>
      <c r="C459" s="84"/>
      <c r="D459" s="164">
        <v>5.1925778477E10</v>
      </c>
      <c r="E459" s="78" t="s">
        <v>2615</v>
      </c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  <c r="AA459" s="84"/>
      <c r="AB459" s="84"/>
      <c r="AC459" s="84"/>
      <c r="AD459" s="84"/>
      <c r="AE459" s="84"/>
      <c r="AF459" s="84"/>
      <c r="AG459" s="84"/>
      <c r="AH459" s="84"/>
      <c r="AI459" s="84"/>
    </row>
    <row r="460">
      <c r="A460" s="162">
        <v>45832.0</v>
      </c>
      <c r="B460" s="163" t="s">
        <v>2691</v>
      </c>
      <c r="C460" s="84"/>
      <c r="D460" s="164">
        <v>5.1954303935E10</v>
      </c>
      <c r="E460" s="78" t="s">
        <v>2615</v>
      </c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  <c r="AA460" s="84"/>
      <c r="AB460" s="84"/>
      <c r="AC460" s="84"/>
      <c r="AD460" s="84"/>
      <c r="AE460" s="84"/>
      <c r="AF460" s="84"/>
      <c r="AG460" s="84"/>
      <c r="AH460" s="84"/>
      <c r="AI460" s="84"/>
    </row>
    <row r="461">
      <c r="A461" s="162">
        <v>45893.0</v>
      </c>
      <c r="B461" s="163" t="s">
        <v>2692</v>
      </c>
      <c r="C461" s="84"/>
      <c r="D461" s="164">
        <v>5.1994104142E10</v>
      </c>
      <c r="E461" s="78" t="s">
        <v>2615</v>
      </c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  <c r="AA461" s="84"/>
      <c r="AB461" s="84"/>
      <c r="AC461" s="84"/>
      <c r="AD461" s="84"/>
      <c r="AE461" s="84"/>
      <c r="AF461" s="84"/>
      <c r="AG461" s="84"/>
      <c r="AH461" s="84"/>
      <c r="AI461" s="84"/>
    </row>
    <row r="462">
      <c r="A462" s="162">
        <v>45893.0</v>
      </c>
      <c r="B462" s="163" t="s">
        <v>2693</v>
      </c>
      <c r="C462" s="84"/>
      <c r="D462" s="164">
        <v>5.1953605211E10</v>
      </c>
      <c r="E462" s="78" t="s">
        <v>2615</v>
      </c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  <c r="AA462" s="84"/>
      <c r="AB462" s="84"/>
      <c r="AC462" s="84"/>
      <c r="AD462" s="84"/>
      <c r="AE462" s="84"/>
      <c r="AF462" s="84"/>
      <c r="AG462" s="84"/>
      <c r="AH462" s="84"/>
      <c r="AI462" s="84"/>
    </row>
    <row r="463">
      <c r="A463" s="162">
        <v>45893.0</v>
      </c>
      <c r="B463" s="163" t="s">
        <v>2694</v>
      </c>
      <c r="C463" s="84"/>
      <c r="D463" s="164">
        <v>5.1974350187E10</v>
      </c>
      <c r="E463" s="78" t="s">
        <v>2615</v>
      </c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  <c r="AA463" s="84"/>
      <c r="AB463" s="84"/>
      <c r="AC463" s="84"/>
      <c r="AD463" s="84"/>
      <c r="AE463" s="84"/>
      <c r="AF463" s="84"/>
      <c r="AG463" s="84"/>
      <c r="AH463" s="84"/>
      <c r="AI463" s="84"/>
    </row>
    <row r="464">
      <c r="A464" s="162">
        <v>45893.0</v>
      </c>
      <c r="B464" s="163" t="s">
        <v>2695</v>
      </c>
      <c r="C464" s="84"/>
      <c r="D464" s="164">
        <v>5.1944331708E10</v>
      </c>
      <c r="E464" s="78" t="s">
        <v>2615</v>
      </c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  <c r="AA464" s="84"/>
      <c r="AB464" s="84"/>
      <c r="AC464" s="84"/>
      <c r="AD464" s="84"/>
      <c r="AE464" s="84"/>
      <c r="AF464" s="84"/>
      <c r="AG464" s="84"/>
      <c r="AH464" s="84"/>
      <c r="AI464" s="84"/>
    </row>
    <row r="465">
      <c r="A465" s="162">
        <v>45893.0</v>
      </c>
      <c r="B465" s="163" t="s">
        <v>2696</v>
      </c>
      <c r="C465" s="84"/>
      <c r="D465" s="164">
        <v>5.192283076E10</v>
      </c>
      <c r="E465" s="78" t="s">
        <v>2615</v>
      </c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  <c r="AA465" s="84"/>
      <c r="AB465" s="84"/>
      <c r="AC465" s="84"/>
      <c r="AD465" s="84"/>
      <c r="AE465" s="84"/>
      <c r="AF465" s="84"/>
      <c r="AG465" s="84"/>
      <c r="AH465" s="84"/>
      <c r="AI465" s="84"/>
    </row>
    <row r="466">
      <c r="A466" s="162">
        <v>45893.0</v>
      </c>
      <c r="B466" s="163" t="s">
        <v>2697</v>
      </c>
      <c r="C466" s="84"/>
      <c r="D466" s="164">
        <v>5.1990270238E10</v>
      </c>
      <c r="E466" s="78" t="s">
        <v>2615</v>
      </c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  <c r="AA466" s="84"/>
      <c r="AB466" s="84"/>
      <c r="AC466" s="84"/>
      <c r="AD466" s="84"/>
      <c r="AE466" s="84"/>
      <c r="AF466" s="84"/>
      <c r="AG466" s="84"/>
      <c r="AH466" s="84"/>
      <c r="AI466" s="84"/>
    </row>
    <row r="467">
      <c r="A467" s="162">
        <v>45893.0</v>
      </c>
      <c r="B467" s="163" t="s">
        <v>2698</v>
      </c>
      <c r="C467" s="84"/>
      <c r="D467" s="164">
        <v>5.1942915251E10</v>
      </c>
      <c r="E467" s="78" t="s">
        <v>2615</v>
      </c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  <c r="AA467" s="84"/>
      <c r="AB467" s="84"/>
      <c r="AC467" s="84"/>
      <c r="AD467" s="84"/>
      <c r="AE467" s="84"/>
      <c r="AF467" s="84"/>
      <c r="AG467" s="84"/>
      <c r="AH467" s="84"/>
      <c r="AI467" s="84"/>
    </row>
    <row r="468">
      <c r="A468" s="162">
        <v>45893.0</v>
      </c>
      <c r="B468" s="163" t="s">
        <v>2699</v>
      </c>
      <c r="C468" s="84"/>
      <c r="D468" s="164">
        <v>5.1977325525E10</v>
      </c>
      <c r="E468" s="78" t="s">
        <v>2615</v>
      </c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  <c r="AA468" s="84"/>
      <c r="AB468" s="84"/>
      <c r="AC468" s="84"/>
      <c r="AD468" s="84"/>
      <c r="AE468" s="84"/>
      <c r="AF468" s="84"/>
      <c r="AG468" s="84"/>
      <c r="AH468" s="84"/>
      <c r="AI468" s="84"/>
    </row>
    <row r="469">
      <c r="A469" s="162">
        <v>45893.0</v>
      </c>
      <c r="B469" s="163" t="s">
        <v>2700</v>
      </c>
      <c r="C469" s="84"/>
      <c r="D469" s="164">
        <v>5.1966957766E10</v>
      </c>
      <c r="E469" s="78" t="s">
        <v>2615</v>
      </c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  <c r="AA469" s="84"/>
      <c r="AB469" s="84"/>
      <c r="AC469" s="84"/>
      <c r="AD469" s="84"/>
      <c r="AE469" s="84"/>
      <c r="AF469" s="84"/>
      <c r="AG469" s="84"/>
      <c r="AH469" s="84"/>
      <c r="AI469" s="84"/>
    </row>
    <row r="470">
      <c r="A470" s="162">
        <v>45893.0</v>
      </c>
      <c r="B470" s="163" t="s">
        <v>2701</v>
      </c>
      <c r="C470" s="84"/>
      <c r="D470" s="164">
        <v>5.1989279538E10</v>
      </c>
      <c r="E470" s="78" t="s">
        <v>2615</v>
      </c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  <c r="AA470" s="84"/>
      <c r="AB470" s="84"/>
      <c r="AC470" s="84"/>
      <c r="AD470" s="84"/>
      <c r="AE470" s="84"/>
      <c r="AF470" s="84"/>
      <c r="AG470" s="84"/>
      <c r="AH470" s="84"/>
      <c r="AI470" s="84"/>
    </row>
    <row r="471">
      <c r="A471" s="162">
        <v>45893.0</v>
      </c>
      <c r="B471" s="163" t="s">
        <v>2702</v>
      </c>
      <c r="C471" s="84"/>
      <c r="D471" s="164">
        <v>5.1993321801E10</v>
      </c>
      <c r="E471" s="78" t="s">
        <v>2615</v>
      </c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  <c r="AA471" s="84"/>
      <c r="AB471" s="84"/>
      <c r="AC471" s="84"/>
      <c r="AD471" s="84"/>
      <c r="AE471" s="84"/>
      <c r="AF471" s="84"/>
      <c r="AG471" s="84"/>
      <c r="AH471" s="84"/>
      <c r="AI471" s="84"/>
    </row>
    <row r="472">
      <c r="A472" s="162" t="s">
        <v>2703</v>
      </c>
      <c r="B472" s="163" t="s">
        <v>2704</v>
      </c>
      <c r="C472" s="84"/>
      <c r="D472" s="164">
        <v>5.1950956151E10</v>
      </c>
      <c r="E472" s="78" t="s">
        <v>2615</v>
      </c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  <c r="AA472" s="84"/>
      <c r="AB472" s="84"/>
      <c r="AC472" s="84"/>
      <c r="AD472" s="84"/>
      <c r="AE472" s="84"/>
      <c r="AF472" s="84"/>
      <c r="AG472" s="84"/>
      <c r="AH472" s="84"/>
      <c r="AI472" s="84"/>
    </row>
    <row r="473">
      <c r="A473" s="162" t="s">
        <v>2703</v>
      </c>
      <c r="B473" s="163" t="s">
        <v>2705</v>
      </c>
      <c r="C473" s="84"/>
      <c r="D473" s="164">
        <v>5.1949592081E10</v>
      </c>
      <c r="E473" s="78" t="s">
        <v>2615</v>
      </c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  <c r="AA473" s="84"/>
      <c r="AB473" s="84"/>
      <c r="AC473" s="84"/>
      <c r="AD473" s="84"/>
      <c r="AE473" s="84"/>
      <c r="AF473" s="84"/>
      <c r="AG473" s="84"/>
      <c r="AH473" s="84"/>
      <c r="AI473" s="84"/>
    </row>
    <row r="474">
      <c r="A474" s="162" t="s">
        <v>2703</v>
      </c>
      <c r="B474" s="163" t="s">
        <v>2706</v>
      </c>
      <c r="C474" s="84"/>
      <c r="D474" s="165">
        <v>5.1935119055E10</v>
      </c>
      <c r="E474" s="78" t="s">
        <v>2615</v>
      </c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  <c r="AA474" s="84"/>
      <c r="AB474" s="84"/>
      <c r="AC474" s="84"/>
      <c r="AD474" s="84"/>
      <c r="AE474" s="84"/>
      <c r="AF474" s="84"/>
      <c r="AG474" s="84"/>
      <c r="AH474" s="84"/>
      <c r="AI474" s="84"/>
    </row>
    <row r="475">
      <c r="A475" s="162" t="s">
        <v>2703</v>
      </c>
      <c r="B475" s="163" t="s">
        <v>2707</v>
      </c>
      <c r="C475" s="84"/>
      <c r="D475" s="164">
        <v>5.1931432046E10</v>
      </c>
      <c r="E475" s="78" t="s">
        <v>2615</v>
      </c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  <c r="AA475" s="84"/>
      <c r="AB475" s="84"/>
      <c r="AC475" s="84"/>
      <c r="AD475" s="84"/>
      <c r="AE475" s="84"/>
      <c r="AF475" s="84"/>
      <c r="AG475" s="84"/>
      <c r="AH475" s="84"/>
      <c r="AI475" s="84"/>
    </row>
    <row r="476">
      <c r="A476" s="162" t="s">
        <v>2703</v>
      </c>
      <c r="B476" s="163" t="s">
        <v>2708</v>
      </c>
      <c r="C476" s="84"/>
      <c r="D476" s="164">
        <v>5.196942185E10</v>
      </c>
      <c r="E476" s="78" t="s">
        <v>2615</v>
      </c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  <c r="AA476" s="84"/>
      <c r="AB476" s="84"/>
      <c r="AC476" s="84"/>
      <c r="AD476" s="84"/>
      <c r="AE476" s="84"/>
      <c r="AF476" s="84"/>
      <c r="AG476" s="84"/>
      <c r="AH476" s="84"/>
      <c r="AI476" s="84"/>
    </row>
    <row r="477">
      <c r="A477" s="162" t="s">
        <v>2703</v>
      </c>
      <c r="B477" s="163" t="s">
        <v>2709</v>
      </c>
      <c r="C477" s="84"/>
      <c r="D477" s="164">
        <v>5.1976135525E10</v>
      </c>
      <c r="E477" s="78" t="s">
        <v>2615</v>
      </c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  <c r="AA477" s="84"/>
      <c r="AB477" s="84"/>
      <c r="AC477" s="84"/>
      <c r="AD477" s="84"/>
      <c r="AE477" s="84"/>
      <c r="AF477" s="84"/>
      <c r="AG477" s="84"/>
      <c r="AH477" s="84"/>
      <c r="AI477" s="84"/>
    </row>
    <row r="478">
      <c r="A478" s="162" t="s">
        <v>2703</v>
      </c>
      <c r="B478" s="163" t="s">
        <v>2710</v>
      </c>
      <c r="C478" s="84"/>
      <c r="D478" s="164">
        <v>5.1996029753E10</v>
      </c>
      <c r="E478" s="78" t="s">
        <v>2615</v>
      </c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  <c r="AA478" s="84"/>
      <c r="AB478" s="84"/>
      <c r="AC478" s="84"/>
      <c r="AD478" s="84"/>
      <c r="AE478" s="84"/>
      <c r="AF478" s="84"/>
      <c r="AG478" s="84"/>
      <c r="AH478" s="84"/>
      <c r="AI478" s="84"/>
    </row>
    <row r="479">
      <c r="A479" s="162" t="s">
        <v>2703</v>
      </c>
      <c r="B479" s="163" t="s">
        <v>2711</v>
      </c>
      <c r="C479" s="84"/>
      <c r="D479" s="164">
        <v>5.1922722012E10</v>
      </c>
      <c r="E479" s="78" t="s">
        <v>2615</v>
      </c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  <c r="AA479" s="84"/>
      <c r="AB479" s="84"/>
      <c r="AC479" s="84"/>
      <c r="AD479" s="84"/>
      <c r="AE479" s="84"/>
      <c r="AF479" s="84"/>
      <c r="AG479" s="84"/>
      <c r="AH479" s="84"/>
      <c r="AI479" s="84"/>
    </row>
    <row r="480">
      <c r="A480" s="162" t="s">
        <v>2703</v>
      </c>
      <c r="B480" s="163" t="s">
        <v>2712</v>
      </c>
      <c r="C480" s="84"/>
      <c r="D480" s="164">
        <v>5.1984421036E10</v>
      </c>
      <c r="E480" s="78" t="s">
        <v>2615</v>
      </c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  <c r="AA480" s="84"/>
      <c r="AB480" s="84"/>
      <c r="AC480" s="84"/>
      <c r="AD480" s="84"/>
      <c r="AE480" s="84"/>
      <c r="AF480" s="84"/>
      <c r="AG480" s="84"/>
      <c r="AH480" s="84"/>
      <c r="AI480" s="84"/>
    </row>
    <row r="481">
      <c r="A481" s="162" t="s">
        <v>2703</v>
      </c>
      <c r="B481" s="163" t="s">
        <v>2713</v>
      </c>
      <c r="C481" s="84"/>
      <c r="D481" s="164">
        <v>5.193027734E10</v>
      </c>
      <c r="E481" s="78" t="s">
        <v>2615</v>
      </c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  <c r="AA481" s="84"/>
      <c r="AB481" s="84"/>
      <c r="AC481" s="84"/>
      <c r="AD481" s="84"/>
      <c r="AE481" s="84"/>
      <c r="AF481" s="84"/>
      <c r="AG481" s="84"/>
      <c r="AH481" s="84"/>
      <c r="AI481" s="84"/>
    </row>
    <row r="482">
      <c r="A482" s="162" t="s">
        <v>2703</v>
      </c>
      <c r="B482" s="163" t="s">
        <v>2714</v>
      </c>
      <c r="C482" s="84"/>
      <c r="D482" s="164">
        <v>5.1969540261E10</v>
      </c>
      <c r="E482" s="78" t="s">
        <v>2615</v>
      </c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  <c r="AA482" s="84"/>
      <c r="AB482" s="84"/>
      <c r="AC482" s="84"/>
      <c r="AD482" s="84"/>
      <c r="AE482" s="84"/>
      <c r="AF482" s="84"/>
      <c r="AG482" s="84"/>
      <c r="AH482" s="84"/>
      <c r="AI482" s="84"/>
    </row>
    <row r="483">
      <c r="A483" s="162" t="s">
        <v>2703</v>
      </c>
      <c r="B483" s="163" t="s">
        <v>2715</v>
      </c>
      <c r="C483" s="84"/>
      <c r="D483" s="164">
        <v>5.195367622E10</v>
      </c>
      <c r="E483" s="78" t="s">
        <v>2615</v>
      </c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  <c r="AA483" s="84"/>
      <c r="AB483" s="84"/>
      <c r="AC483" s="84"/>
      <c r="AD483" s="84"/>
      <c r="AE483" s="84"/>
      <c r="AF483" s="84"/>
      <c r="AG483" s="84"/>
      <c r="AH483" s="84"/>
      <c r="AI483" s="84"/>
    </row>
    <row r="484">
      <c r="A484" s="162" t="s">
        <v>2703</v>
      </c>
      <c r="B484" s="163" t="s">
        <v>2716</v>
      </c>
      <c r="C484" s="84"/>
      <c r="D484" s="164">
        <v>5.199987527E10</v>
      </c>
      <c r="E484" s="78" t="s">
        <v>2615</v>
      </c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  <c r="AA484" s="84"/>
      <c r="AB484" s="84"/>
      <c r="AC484" s="84"/>
      <c r="AD484" s="84"/>
      <c r="AE484" s="84"/>
      <c r="AF484" s="84"/>
      <c r="AG484" s="84"/>
      <c r="AH484" s="84"/>
      <c r="AI484" s="84"/>
    </row>
    <row r="485">
      <c r="A485" s="162" t="s">
        <v>2703</v>
      </c>
      <c r="B485" s="163" t="s">
        <v>2717</v>
      </c>
      <c r="C485" s="84"/>
      <c r="D485" s="164">
        <v>5.1946310197E10</v>
      </c>
      <c r="E485" s="78" t="s">
        <v>2615</v>
      </c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  <c r="AA485" s="84"/>
      <c r="AB485" s="84"/>
      <c r="AC485" s="84"/>
      <c r="AD485" s="84"/>
      <c r="AE485" s="84"/>
      <c r="AF485" s="84"/>
      <c r="AG485" s="84"/>
      <c r="AH485" s="84"/>
      <c r="AI485" s="84"/>
    </row>
    <row r="486">
      <c r="A486" s="162" t="s">
        <v>2703</v>
      </c>
      <c r="B486" s="163" t="s">
        <v>2718</v>
      </c>
      <c r="C486" s="84"/>
      <c r="D486" s="164">
        <v>5.1982711477E10</v>
      </c>
      <c r="E486" s="78" t="s">
        <v>2615</v>
      </c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  <c r="AA486" s="84"/>
      <c r="AB486" s="84"/>
      <c r="AC486" s="84"/>
      <c r="AD486" s="84"/>
      <c r="AE486" s="84"/>
      <c r="AF486" s="84"/>
      <c r="AG486" s="84"/>
      <c r="AH486" s="84"/>
      <c r="AI486" s="84"/>
    </row>
    <row r="487">
      <c r="A487" s="162" t="s">
        <v>2703</v>
      </c>
      <c r="B487" s="163" t="s">
        <v>2719</v>
      </c>
      <c r="C487" s="84"/>
      <c r="D487" s="164">
        <v>5.1981170996E10</v>
      </c>
      <c r="E487" s="78" t="s">
        <v>2615</v>
      </c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  <c r="AA487" s="84"/>
      <c r="AB487" s="84"/>
      <c r="AC487" s="84"/>
      <c r="AD487" s="84"/>
      <c r="AE487" s="84"/>
      <c r="AF487" s="84"/>
      <c r="AG487" s="84"/>
      <c r="AH487" s="84"/>
      <c r="AI487" s="84"/>
    </row>
    <row r="488">
      <c r="A488" s="162">
        <v>45954.0</v>
      </c>
      <c r="B488" s="163" t="s">
        <v>2720</v>
      </c>
      <c r="C488" s="84"/>
      <c r="D488" s="164">
        <v>5.1959525657E10</v>
      </c>
      <c r="E488" s="78" t="s">
        <v>2615</v>
      </c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  <c r="AA488" s="84"/>
      <c r="AB488" s="84"/>
      <c r="AC488" s="84"/>
      <c r="AD488" s="84"/>
      <c r="AE488" s="84"/>
      <c r="AF488" s="84"/>
      <c r="AG488" s="84"/>
      <c r="AH488" s="84"/>
      <c r="AI488" s="84"/>
    </row>
    <row r="489">
      <c r="A489" s="162">
        <v>45954.0</v>
      </c>
      <c r="B489" s="163" t="s">
        <v>2721</v>
      </c>
      <c r="C489" s="84"/>
      <c r="D489" s="164">
        <v>5.1969008038E10</v>
      </c>
      <c r="E489" s="78" t="s">
        <v>2615</v>
      </c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  <c r="AA489" s="84"/>
      <c r="AB489" s="84"/>
      <c r="AC489" s="84"/>
      <c r="AD489" s="84"/>
      <c r="AE489" s="84"/>
      <c r="AF489" s="84"/>
      <c r="AG489" s="84"/>
      <c r="AH489" s="84"/>
      <c r="AI489" s="84"/>
    </row>
    <row r="490">
      <c r="A490" s="162">
        <v>45954.0</v>
      </c>
      <c r="B490" s="163" t="s">
        <v>2722</v>
      </c>
      <c r="C490" s="84"/>
      <c r="D490" s="164">
        <v>5.1960974872E10</v>
      </c>
      <c r="E490" s="78" t="s">
        <v>2615</v>
      </c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  <c r="AA490" s="84"/>
      <c r="AB490" s="84"/>
      <c r="AC490" s="84"/>
      <c r="AD490" s="84"/>
      <c r="AE490" s="84"/>
      <c r="AF490" s="84"/>
      <c r="AG490" s="84"/>
      <c r="AH490" s="84"/>
      <c r="AI490" s="84"/>
    </row>
    <row r="491">
      <c r="A491" s="162">
        <v>45954.0</v>
      </c>
      <c r="B491" s="163" t="s">
        <v>2723</v>
      </c>
      <c r="C491" s="84"/>
      <c r="D491" s="164">
        <v>5.1995949079E10</v>
      </c>
      <c r="E491" s="78" t="s">
        <v>2615</v>
      </c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  <c r="AA491" s="84"/>
      <c r="AB491" s="84"/>
      <c r="AC491" s="84"/>
      <c r="AD491" s="84"/>
      <c r="AE491" s="84"/>
      <c r="AF491" s="84"/>
      <c r="AG491" s="84"/>
      <c r="AH491" s="84"/>
      <c r="AI491" s="84"/>
    </row>
    <row r="492">
      <c r="A492" s="162">
        <v>45954.0</v>
      </c>
      <c r="B492" s="163" t="s">
        <v>2724</v>
      </c>
      <c r="C492" s="84"/>
      <c r="D492" s="164">
        <v>5.1945698516E10</v>
      </c>
      <c r="E492" s="78" t="s">
        <v>2615</v>
      </c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  <c r="AA492" s="84"/>
      <c r="AB492" s="84"/>
      <c r="AC492" s="84"/>
      <c r="AD492" s="84"/>
      <c r="AE492" s="84"/>
      <c r="AF492" s="84"/>
      <c r="AG492" s="84"/>
      <c r="AH492" s="84"/>
      <c r="AI492" s="84"/>
    </row>
    <row r="493">
      <c r="A493" s="162">
        <v>45954.0</v>
      </c>
      <c r="B493" s="163" t="s">
        <v>2725</v>
      </c>
      <c r="C493" s="84"/>
      <c r="D493" s="164">
        <v>5.1942350969E10</v>
      </c>
      <c r="E493" s="78" t="s">
        <v>2615</v>
      </c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  <c r="AA493" s="84"/>
      <c r="AB493" s="84"/>
      <c r="AC493" s="84"/>
      <c r="AD493" s="84"/>
      <c r="AE493" s="84"/>
      <c r="AF493" s="84"/>
      <c r="AG493" s="84"/>
      <c r="AH493" s="84"/>
      <c r="AI493" s="84"/>
    </row>
    <row r="494">
      <c r="A494" s="162">
        <v>45954.0</v>
      </c>
      <c r="B494" s="163" t="s">
        <v>2726</v>
      </c>
      <c r="C494" s="84"/>
      <c r="D494" s="164">
        <v>5.1959880404E10</v>
      </c>
      <c r="E494" s="78" t="s">
        <v>2615</v>
      </c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  <c r="AA494" s="84"/>
      <c r="AB494" s="84"/>
      <c r="AC494" s="84"/>
      <c r="AD494" s="84"/>
      <c r="AE494" s="84"/>
      <c r="AF494" s="84"/>
      <c r="AG494" s="84"/>
      <c r="AH494" s="84"/>
      <c r="AI494" s="84"/>
    </row>
    <row r="495">
      <c r="A495" s="162">
        <v>45954.0</v>
      </c>
      <c r="B495" s="163" t="s">
        <v>2727</v>
      </c>
      <c r="C495" s="84"/>
      <c r="D495" s="164">
        <v>5.198394385E10</v>
      </c>
      <c r="E495" s="78" t="s">
        <v>2615</v>
      </c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  <c r="AA495" s="84"/>
      <c r="AB495" s="84"/>
      <c r="AC495" s="84"/>
      <c r="AD495" s="84"/>
      <c r="AE495" s="84"/>
      <c r="AF495" s="84"/>
      <c r="AG495" s="84"/>
      <c r="AH495" s="84"/>
      <c r="AI495" s="84"/>
    </row>
    <row r="496">
      <c r="A496" s="162">
        <v>45954.0</v>
      </c>
      <c r="B496" s="163" t="s">
        <v>2728</v>
      </c>
      <c r="C496" s="84"/>
      <c r="D496" s="164">
        <v>5.1929070628E10</v>
      </c>
      <c r="E496" s="78" t="s">
        <v>2615</v>
      </c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  <c r="AA496" s="84"/>
      <c r="AB496" s="84"/>
      <c r="AC496" s="84"/>
      <c r="AD496" s="84"/>
      <c r="AE496" s="84"/>
      <c r="AF496" s="84"/>
      <c r="AG496" s="84"/>
      <c r="AH496" s="84"/>
      <c r="AI496" s="84"/>
    </row>
    <row r="497">
      <c r="A497" s="162">
        <v>45954.0</v>
      </c>
      <c r="B497" s="163" t="s">
        <v>2729</v>
      </c>
      <c r="C497" s="84"/>
      <c r="D497" s="164">
        <v>5.1920682344E10</v>
      </c>
      <c r="E497" s="78" t="s">
        <v>2615</v>
      </c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  <c r="AA497" s="84"/>
      <c r="AB497" s="84"/>
      <c r="AC497" s="84"/>
      <c r="AD497" s="84"/>
      <c r="AE497" s="84"/>
      <c r="AF497" s="84"/>
      <c r="AG497" s="84"/>
      <c r="AH497" s="84"/>
      <c r="AI497" s="84"/>
    </row>
    <row r="498">
      <c r="A498" s="162">
        <v>45954.0</v>
      </c>
      <c r="B498" s="163" t="s">
        <v>2730</v>
      </c>
      <c r="C498" s="84"/>
      <c r="D498" s="164">
        <v>5.1950913475E10</v>
      </c>
      <c r="E498" s="78" t="s">
        <v>2615</v>
      </c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  <c r="AA498" s="84"/>
      <c r="AB498" s="84"/>
      <c r="AC498" s="84"/>
      <c r="AD498" s="84"/>
      <c r="AE498" s="84"/>
      <c r="AF498" s="84"/>
      <c r="AG498" s="84"/>
      <c r="AH498" s="84"/>
      <c r="AI498" s="84"/>
    </row>
    <row r="499">
      <c r="A499" s="162">
        <v>45954.0</v>
      </c>
      <c r="B499" s="163" t="s">
        <v>2731</v>
      </c>
      <c r="C499" s="84"/>
      <c r="D499" s="164">
        <v>5.1932810539E10</v>
      </c>
      <c r="E499" s="78" t="s">
        <v>2615</v>
      </c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  <c r="AA499" s="84"/>
      <c r="AB499" s="84"/>
      <c r="AC499" s="84"/>
      <c r="AD499" s="84"/>
      <c r="AE499" s="84"/>
      <c r="AF499" s="84"/>
      <c r="AG499" s="84"/>
      <c r="AH499" s="84"/>
      <c r="AI499" s="84"/>
    </row>
    <row r="500">
      <c r="A500" s="162">
        <v>45954.0</v>
      </c>
      <c r="B500" s="163" t="s">
        <v>2732</v>
      </c>
      <c r="C500" s="84"/>
      <c r="D500" s="164">
        <v>5.1938852769E10</v>
      </c>
      <c r="E500" s="78" t="s">
        <v>2615</v>
      </c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  <c r="AA500" s="84"/>
      <c r="AB500" s="84"/>
      <c r="AC500" s="84"/>
      <c r="AD500" s="84"/>
      <c r="AE500" s="84"/>
      <c r="AF500" s="84"/>
      <c r="AG500" s="84"/>
      <c r="AH500" s="84"/>
      <c r="AI500" s="84"/>
    </row>
    <row r="501">
      <c r="A501" s="162">
        <v>45954.0</v>
      </c>
      <c r="B501" s="163" t="s">
        <v>2733</v>
      </c>
      <c r="C501" s="84"/>
      <c r="D501" s="164">
        <v>5.1949638333E10</v>
      </c>
      <c r="E501" s="78" t="s">
        <v>2615</v>
      </c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  <c r="AA501" s="84"/>
      <c r="AB501" s="84"/>
      <c r="AC501" s="84"/>
      <c r="AD501" s="84"/>
      <c r="AE501" s="84"/>
      <c r="AF501" s="84"/>
      <c r="AG501" s="84"/>
      <c r="AH501" s="84"/>
      <c r="AI501" s="84"/>
    </row>
    <row r="502">
      <c r="A502" s="162">
        <v>45954.0</v>
      </c>
      <c r="B502" s="163" t="s">
        <v>2734</v>
      </c>
      <c r="C502" s="84"/>
      <c r="D502" s="164">
        <v>5.1992843247E10</v>
      </c>
      <c r="E502" s="78" t="s">
        <v>2615</v>
      </c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  <c r="AA502" s="84"/>
      <c r="AB502" s="84"/>
      <c r="AC502" s="84"/>
      <c r="AD502" s="84"/>
      <c r="AE502" s="84"/>
      <c r="AF502" s="84"/>
      <c r="AG502" s="84"/>
      <c r="AH502" s="84"/>
      <c r="AI502" s="84"/>
    </row>
    <row r="503">
      <c r="A503" s="162">
        <v>45985.0</v>
      </c>
      <c r="B503" s="163" t="s">
        <v>2735</v>
      </c>
      <c r="C503" s="84"/>
      <c r="D503" s="164">
        <v>5.1968052226E10</v>
      </c>
      <c r="E503" s="78" t="s">
        <v>2615</v>
      </c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  <c r="AA503" s="84"/>
      <c r="AB503" s="84"/>
      <c r="AC503" s="84"/>
      <c r="AD503" s="84"/>
      <c r="AE503" s="84"/>
      <c r="AF503" s="84"/>
      <c r="AG503" s="84"/>
      <c r="AH503" s="84"/>
      <c r="AI503" s="84"/>
    </row>
    <row r="504">
      <c r="A504" s="162">
        <v>45985.0</v>
      </c>
      <c r="B504" s="163" t="s">
        <v>2736</v>
      </c>
      <c r="C504" s="84"/>
      <c r="D504" s="164">
        <v>5.1935070053E10</v>
      </c>
      <c r="E504" s="78" t="s">
        <v>2615</v>
      </c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  <c r="AA504" s="84"/>
      <c r="AB504" s="84"/>
      <c r="AC504" s="84"/>
      <c r="AD504" s="84"/>
      <c r="AE504" s="84"/>
      <c r="AF504" s="84"/>
      <c r="AG504" s="84"/>
      <c r="AH504" s="84"/>
      <c r="AI504" s="84"/>
    </row>
    <row r="505">
      <c r="A505" s="162">
        <v>45985.0</v>
      </c>
      <c r="B505" s="163" t="s">
        <v>2737</v>
      </c>
      <c r="C505" s="84"/>
      <c r="D505" s="164">
        <v>5.19453429E10</v>
      </c>
      <c r="E505" s="78" t="s">
        <v>2615</v>
      </c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  <c r="AA505" s="84"/>
      <c r="AB505" s="84"/>
      <c r="AC505" s="84"/>
      <c r="AD505" s="84"/>
      <c r="AE505" s="84"/>
      <c r="AF505" s="84"/>
      <c r="AG505" s="84"/>
      <c r="AH505" s="84"/>
      <c r="AI505" s="84"/>
    </row>
    <row r="506">
      <c r="A506" s="162">
        <v>45985.0</v>
      </c>
      <c r="B506" s="163" t="s">
        <v>2738</v>
      </c>
      <c r="C506" s="84"/>
      <c r="D506" s="164">
        <v>5.1942236585E10</v>
      </c>
      <c r="E506" s="78" t="s">
        <v>2615</v>
      </c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  <c r="AA506" s="84"/>
      <c r="AB506" s="84"/>
      <c r="AC506" s="84"/>
      <c r="AD506" s="84"/>
      <c r="AE506" s="84"/>
      <c r="AF506" s="84"/>
      <c r="AG506" s="84"/>
      <c r="AH506" s="84"/>
      <c r="AI506" s="84"/>
    </row>
    <row r="507">
      <c r="A507" s="162">
        <v>45985.0</v>
      </c>
      <c r="B507" s="163" t="s">
        <v>2739</v>
      </c>
      <c r="C507" s="84"/>
      <c r="D507" s="164">
        <v>5.1990197303E10</v>
      </c>
      <c r="E507" s="78" t="s">
        <v>2615</v>
      </c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  <c r="AA507" s="84"/>
      <c r="AB507" s="84"/>
      <c r="AC507" s="84"/>
      <c r="AD507" s="84"/>
      <c r="AE507" s="84"/>
      <c r="AF507" s="84"/>
      <c r="AG507" s="84"/>
      <c r="AH507" s="84"/>
      <c r="AI507" s="84"/>
    </row>
    <row r="508">
      <c r="A508" s="162">
        <v>45985.0</v>
      </c>
      <c r="B508" s="163" t="s">
        <v>2740</v>
      </c>
      <c r="C508" s="84"/>
      <c r="D508" s="164">
        <v>5.1913799571E10</v>
      </c>
      <c r="E508" s="78" t="s">
        <v>2615</v>
      </c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  <c r="AA508" s="84"/>
      <c r="AB508" s="84"/>
      <c r="AC508" s="84"/>
      <c r="AD508" s="84"/>
      <c r="AE508" s="84"/>
      <c r="AF508" s="84"/>
      <c r="AG508" s="84"/>
      <c r="AH508" s="84"/>
      <c r="AI508" s="84"/>
    </row>
    <row r="509">
      <c r="A509" s="162">
        <v>45985.0</v>
      </c>
      <c r="B509" s="163" t="s">
        <v>2741</v>
      </c>
      <c r="C509" s="84"/>
      <c r="D509" s="164">
        <v>5.1952974548E10</v>
      </c>
      <c r="E509" s="78" t="s">
        <v>2615</v>
      </c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  <c r="AA509" s="84"/>
      <c r="AB509" s="84"/>
      <c r="AC509" s="84"/>
      <c r="AD509" s="84"/>
      <c r="AE509" s="84"/>
      <c r="AF509" s="84"/>
      <c r="AG509" s="84"/>
      <c r="AH509" s="84"/>
      <c r="AI509" s="84"/>
    </row>
    <row r="510">
      <c r="A510" s="162">
        <v>45985.0</v>
      </c>
      <c r="B510" s="163" t="s">
        <v>2742</v>
      </c>
      <c r="C510" s="84"/>
      <c r="D510" s="164">
        <v>5.1924005195E10</v>
      </c>
      <c r="E510" s="78" t="s">
        <v>2615</v>
      </c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  <c r="AA510" s="84"/>
      <c r="AB510" s="84"/>
      <c r="AC510" s="84"/>
      <c r="AD510" s="84"/>
      <c r="AE510" s="84"/>
      <c r="AF510" s="84"/>
      <c r="AG510" s="84"/>
      <c r="AH510" s="84"/>
      <c r="AI510" s="84"/>
    </row>
    <row r="511">
      <c r="A511" s="162">
        <v>45985.0</v>
      </c>
      <c r="B511" s="163" t="s">
        <v>2743</v>
      </c>
      <c r="C511" s="84"/>
      <c r="D511" s="164">
        <v>5.1951230356E10</v>
      </c>
      <c r="E511" s="78" t="s">
        <v>2615</v>
      </c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  <c r="AA511" s="84"/>
      <c r="AB511" s="84"/>
      <c r="AC511" s="84"/>
      <c r="AD511" s="84"/>
      <c r="AE511" s="84"/>
      <c r="AF511" s="84"/>
      <c r="AG511" s="84"/>
      <c r="AH511" s="84"/>
      <c r="AI511" s="84"/>
    </row>
    <row r="512">
      <c r="A512" s="162">
        <v>45985.0</v>
      </c>
      <c r="B512" s="163" t="s">
        <v>2744</v>
      </c>
      <c r="C512" s="84"/>
      <c r="D512" s="164">
        <v>5.1986357943E10</v>
      </c>
      <c r="E512" s="78" t="s">
        <v>2615</v>
      </c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  <c r="AA512" s="84"/>
      <c r="AB512" s="84"/>
      <c r="AC512" s="84"/>
      <c r="AD512" s="84"/>
      <c r="AE512" s="84"/>
      <c r="AF512" s="84"/>
      <c r="AG512" s="84"/>
      <c r="AH512" s="84"/>
      <c r="AI512" s="84"/>
    </row>
    <row r="513">
      <c r="A513" s="162">
        <v>45985.0</v>
      </c>
      <c r="B513" s="163" t="s">
        <v>2745</v>
      </c>
      <c r="C513" s="84"/>
      <c r="D513" s="164">
        <v>5.1957207148E10</v>
      </c>
      <c r="E513" s="78" t="s">
        <v>2615</v>
      </c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  <c r="AA513" s="84"/>
      <c r="AB513" s="84"/>
      <c r="AC513" s="84"/>
      <c r="AD513" s="84"/>
      <c r="AE513" s="84"/>
      <c r="AF513" s="84"/>
      <c r="AG513" s="84"/>
      <c r="AH513" s="84"/>
      <c r="AI513" s="84"/>
    </row>
    <row r="514">
      <c r="A514" s="162">
        <v>45985.0</v>
      </c>
      <c r="B514" s="163" t="s">
        <v>2746</v>
      </c>
      <c r="C514" s="84"/>
      <c r="D514" s="164">
        <v>5.1998994969E10</v>
      </c>
      <c r="E514" s="78" t="s">
        <v>2615</v>
      </c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  <c r="AA514" s="84"/>
      <c r="AB514" s="84"/>
      <c r="AC514" s="84"/>
      <c r="AD514" s="84"/>
      <c r="AE514" s="84"/>
      <c r="AF514" s="84"/>
      <c r="AG514" s="84"/>
      <c r="AH514" s="84"/>
      <c r="AI514" s="84"/>
    </row>
    <row r="515">
      <c r="A515" s="162">
        <v>45985.0</v>
      </c>
      <c r="B515" s="163" t="s">
        <v>2747</v>
      </c>
      <c r="C515" s="84"/>
      <c r="D515" s="164">
        <v>5.1947858564E10</v>
      </c>
      <c r="E515" s="78" t="s">
        <v>2615</v>
      </c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  <c r="AA515" s="84"/>
      <c r="AB515" s="84"/>
      <c r="AC515" s="84"/>
      <c r="AD515" s="84"/>
      <c r="AE515" s="84"/>
      <c r="AF515" s="84"/>
      <c r="AG515" s="84"/>
      <c r="AH515" s="84"/>
      <c r="AI515" s="84"/>
    </row>
    <row r="516">
      <c r="A516" s="162">
        <v>45985.0</v>
      </c>
      <c r="B516" s="163" t="s">
        <v>2748</v>
      </c>
      <c r="C516" s="84"/>
      <c r="D516" s="164">
        <v>5.1999031802E10</v>
      </c>
      <c r="E516" s="78" t="s">
        <v>2615</v>
      </c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  <c r="AA516" s="84"/>
      <c r="AB516" s="84"/>
      <c r="AC516" s="84"/>
      <c r="AD516" s="84"/>
      <c r="AE516" s="84"/>
      <c r="AF516" s="84"/>
      <c r="AG516" s="84"/>
      <c r="AH516" s="84"/>
      <c r="AI516" s="84"/>
    </row>
    <row r="517">
      <c r="A517" s="162">
        <v>45985.0</v>
      </c>
      <c r="B517" s="163" t="s">
        <v>2749</v>
      </c>
      <c r="C517" s="84"/>
      <c r="D517" s="164">
        <v>5.1970828991E10</v>
      </c>
      <c r="E517" s="78" t="s">
        <v>2615</v>
      </c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  <c r="AA517" s="84"/>
      <c r="AB517" s="84"/>
      <c r="AC517" s="84"/>
      <c r="AD517" s="84"/>
      <c r="AE517" s="84"/>
      <c r="AF517" s="84"/>
      <c r="AG517" s="84"/>
      <c r="AH517" s="84"/>
      <c r="AI517" s="84"/>
    </row>
    <row r="518">
      <c r="A518" s="162">
        <v>45985.0</v>
      </c>
      <c r="B518" s="163" t="s">
        <v>2750</v>
      </c>
      <c r="C518" s="84"/>
      <c r="D518" s="164">
        <v>5.1977368896E10</v>
      </c>
      <c r="E518" s="78" t="s">
        <v>2615</v>
      </c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  <c r="AA518" s="84"/>
      <c r="AB518" s="84"/>
      <c r="AC518" s="84"/>
      <c r="AD518" s="84"/>
      <c r="AE518" s="84"/>
      <c r="AF518" s="84"/>
      <c r="AG518" s="84"/>
      <c r="AH518" s="84"/>
      <c r="AI518" s="84"/>
    </row>
    <row r="519">
      <c r="A519" s="162">
        <v>45985.0</v>
      </c>
      <c r="B519" s="163" t="s">
        <v>2751</v>
      </c>
      <c r="C519" s="84"/>
      <c r="D519" s="164">
        <v>5.1921861749E10</v>
      </c>
      <c r="E519" s="78" t="s">
        <v>2615</v>
      </c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  <c r="AA519" s="84"/>
      <c r="AB519" s="84"/>
      <c r="AC519" s="84"/>
      <c r="AD519" s="84"/>
      <c r="AE519" s="84"/>
      <c r="AF519" s="84"/>
      <c r="AG519" s="84"/>
      <c r="AH519" s="84"/>
      <c r="AI519" s="84"/>
    </row>
    <row r="520">
      <c r="A520" s="162">
        <v>45985.0</v>
      </c>
      <c r="B520" s="163" t="s">
        <v>2752</v>
      </c>
      <c r="C520" s="84"/>
      <c r="D520" s="164">
        <v>5.1984233775E10</v>
      </c>
      <c r="E520" s="78" t="s">
        <v>2615</v>
      </c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  <c r="AA520" s="84"/>
      <c r="AB520" s="84"/>
      <c r="AC520" s="84"/>
      <c r="AD520" s="84"/>
      <c r="AE520" s="84"/>
      <c r="AF520" s="84"/>
      <c r="AG520" s="84"/>
      <c r="AH520" s="84"/>
      <c r="AI520" s="84"/>
    </row>
    <row r="521">
      <c r="A521" s="162">
        <v>45985.0</v>
      </c>
      <c r="B521" s="163" t="s">
        <v>2753</v>
      </c>
      <c r="C521" s="84"/>
      <c r="D521" s="164">
        <v>5.1991441676E10</v>
      </c>
      <c r="E521" s="78" t="s">
        <v>2615</v>
      </c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  <c r="AA521" s="84"/>
      <c r="AB521" s="84"/>
      <c r="AC521" s="84"/>
      <c r="AD521" s="84"/>
      <c r="AE521" s="84"/>
      <c r="AF521" s="84"/>
      <c r="AG521" s="84"/>
      <c r="AH521" s="84"/>
      <c r="AI521" s="84"/>
    </row>
    <row r="522">
      <c r="A522" s="162">
        <v>45985.0</v>
      </c>
      <c r="B522" s="163" t="s">
        <v>2754</v>
      </c>
      <c r="C522" s="84"/>
      <c r="D522" s="164">
        <v>5.1914982418E10</v>
      </c>
      <c r="E522" s="78" t="s">
        <v>2615</v>
      </c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  <c r="AA522" s="84"/>
      <c r="AB522" s="84"/>
      <c r="AC522" s="84"/>
      <c r="AD522" s="84"/>
      <c r="AE522" s="84"/>
      <c r="AF522" s="84"/>
      <c r="AG522" s="84"/>
      <c r="AH522" s="84"/>
      <c r="AI522" s="84"/>
    </row>
    <row r="523">
      <c r="A523" s="162">
        <v>45985.0</v>
      </c>
      <c r="B523" s="163" t="s">
        <v>2755</v>
      </c>
      <c r="C523" s="84"/>
      <c r="D523" s="164">
        <v>5.1978379501E10</v>
      </c>
      <c r="E523" s="78" t="s">
        <v>2615</v>
      </c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  <c r="AA523" s="84"/>
      <c r="AB523" s="84"/>
      <c r="AC523" s="84"/>
      <c r="AD523" s="84"/>
      <c r="AE523" s="84"/>
      <c r="AF523" s="84"/>
      <c r="AG523" s="84"/>
      <c r="AH523" s="84"/>
      <c r="AI523" s="84"/>
    </row>
    <row r="524">
      <c r="A524" s="162">
        <v>45985.0</v>
      </c>
      <c r="B524" s="163" t="s">
        <v>2756</v>
      </c>
      <c r="C524" s="84"/>
      <c r="D524" s="164">
        <v>5.1972547561E10</v>
      </c>
      <c r="E524" s="78" t="s">
        <v>2615</v>
      </c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  <c r="AA524" s="84"/>
      <c r="AB524" s="84"/>
      <c r="AC524" s="84"/>
      <c r="AD524" s="84"/>
      <c r="AE524" s="84"/>
      <c r="AF524" s="84"/>
      <c r="AG524" s="84"/>
      <c r="AH524" s="84"/>
      <c r="AI524" s="84"/>
    </row>
    <row r="525">
      <c r="A525" s="162">
        <v>45985.0</v>
      </c>
      <c r="B525" s="163" t="s">
        <v>2757</v>
      </c>
      <c r="C525" s="84"/>
      <c r="D525" s="164">
        <v>5.1994950116E10</v>
      </c>
      <c r="E525" s="78" t="s">
        <v>2615</v>
      </c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  <c r="AA525" s="84"/>
      <c r="AB525" s="84"/>
      <c r="AC525" s="84"/>
      <c r="AD525" s="84"/>
      <c r="AE525" s="84"/>
      <c r="AF525" s="84"/>
      <c r="AG525" s="84"/>
      <c r="AH525" s="84"/>
      <c r="AI525" s="84"/>
    </row>
    <row r="526">
      <c r="A526" s="162">
        <v>45985.0</v>
      </c>
      <c r="B526" s="163" t="s">
        <v>2758</v>
      </c>
      <c r="C526" s="84"/>
      <c r="D526" s="164">
        <v>5.1956733709E10</v>
      </c>
      <c r="E526" s="78" t="s">
        <v>2615</v>
      </c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  <c r="AA526" s="84"/>
      <c r="AB526" s="84"/>
      <c r="AC526" s="84"/>
      <c r="AD526" s="84"/>
      <c r="AE526" s="84"/>
      <c r="AF526" s="84"/>
      <c r="AG526" s="84"/>
      <c r="AH526" s="84"/>
      <c r="AI526" s="84"/>
    </row>
    <row r="527">
      <c r="A527" s="162">
        <v>45985.0</v>
      </c>
      <c r="B527" s="163" t="s">
        <v>2759</v>
      </c>
      <c r="C527" s="84"/>
      <c r="D527" s="164">
        <v>5.1993436385E10</v>
      </c>
      <c r="E527" s="78" t="s">
        <v>2615</v>
      </c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  <c r="AA527" s="84"/>
      <c r="AB527" s="84"/>
      <c r="AC527" s="84"/>
      <c r="AD527" s="84"/>
      <c r="AE527" s="84"/>
      <c r="AF527" s="84"/>
      <c r="AG527" s="84"/>
      <c r="AH527" s="84"/>
      <c r="AI527" s="84"/>
    </row>
    <row r="528">
      <c r="A528" s="162">
        <v>45985.0</v>
      </c>
      <c r="B528" s="163" t="s">
        <v>2760</v>
      </c>
      <c r="C528" s="84"/>
      <c r="D528" s="165">
        <v>5.1971083959E10</v>
      </c>
      <c r="E528" s="78" t="s">
        <v>2615</v>
      </c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  <c r="AA528" s="84"/>
      <c r="AB528" s="84"/>
      <c r="AC528" s="84"/>
      <c r="AD528" s="84"/>
      <c r="AE528" s="84"/>
      <c r="AF528" s="84"/>
      <c r="AG528" s="84"/>
      <c r="AH528" s="84"/>
      <c r="AI528" s="84"/>
    </row>
    <row r="529">
      <c r="A529" s="162">
        <v>45985.0</v>
      </c>
      <c r="B529" s="163" t="s">
        <v>2761</v>
      </c>
      <c r="C529" s="84"/>
      <c r="D529" s="164">
        <v>5.1978296786E10</v>
      </c>
      <c r="E529" s="78" t="s">
        <v>2615</v>
      </c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  <c r="AA529" s="84"/>
      <c r="AB529" s="84"/>
      <c r="AC529" s="84"/>
      <c r="AD529" s="84"/>
      <c r="AE529" s="84"/>
      <c r="AF529" s="84"/>
      <c r="AG529" s="84"/>
      <c r="AH529" s="84"/>
      <c r="AI529" s="84"/>
    </row>
    <row r="530">
      <c r="A530" s="162">
        <v>45985.0</v>
      </c>
      <c r="B530" s="163" t="s">
        <v>2762</v>
      </c>
      <c r="C530" s="84"/>
      <c r="D530" s="164">
        <v>5.1979979073E10</v>
      </c>
      <c r="E530" s="78" t="s">
        <v>2615</v>
      </c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  <c r="AA530" s="84"/>
      <c r="AB530" s="84"/>
      <c r="AC530" s="84"/>
      <c r="AD530" s="84"/>
      <c r="AE530" s="84"/>
      <c r="AF530" s="84"/>
      <c r="AG530" s="84"/>
      <c r="AH530" s="84"/>
      <c r="AI530" s="84"/>
    </row>
    <row r="531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  <c r="AA531" s="84"/>
      <c r="AB531" s="84"/>
      <c r="AC531" s="84"/>
      <c r="AD531" s="84"/>
      <c r="AE531" s="84"/>
      <c r="AF531" s="84"/>
      <c r="AG531" s="84"/>
      <c r="AH531" s="84"/>
      <c r="AI531" s="84"/>
    </row>
    <row r="532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  <c r="AA532" s="84"/>
      <c r="AB532" s="84"/>
      <c r="AC532" s="84"/>
      <c r="AD532" s="84"/>
      <c r="AE532" s="84"/>
      <c r="AF532" s="84"/>
      <c r="AG532" s="84"/>
      <c r="AH532" s="84"/>
      <c r="AI532" s="84"/>
    </row>
    <row r="533">
      <c r="A533" s="78" t="s">
        <v>2763</v>
      </c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  <c r="AA533" s="84"/>
      <c r="AB533" s="84"/>
      <c r="AC533" s="84"/>
      <c r="AD533" s="84"/>
      <c r="AE533" s="84"/>
      <c r="AF533" s="84"/>
      <c r="AG533" s="84"/>
      <c r="AH533" s="84"/>
      <c r="AI533" s="84"/>
    </row>
    <row r="534">
      <c r="A534" s="162">
        <v>45985.0</v>
      </c>
      <c r="B534" s="163" t="s">
        <v>2764</v>
      </c>
      <c r="C534" s="84"/>
      <c r="D534" s="165">
        <v>5.1969663187E10</v>
      </c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  <c r="AA534" s="84"/>
      <c r="AB534" s="84"/>
      <c r="AC534" s="84"/>
      <c r="AD534" s="84"/>
      <c r="AE534" s="84"/>
      <c r="AF534" s="84"/>
      <c r="AG534" s="84"/>
      <c r="AH534" s="84"/>
      <c r="AI534" s="84"/>
    </row>
    <row r="535">
      <c r="A535" s="162">
        <v>45985.0</v>
      </c>
      <c r="B535" s="163" t="s">
        <v>2765</v>
      </c>
      <c r="C535" s="84"/>
      <c r="D535" s="165">
        <v>5.1921464906E10</v>
      </c>
      <c r="E535" s="78" t="s">
        <v>1453</v>
      </c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  <c r="AA535" s="84"/>
      <c r="AB535" s="84"/>
      <c r="AC535" s="84"/>
      <c r="AD535" s="84"/>
      <c r="AE535" s="84"/>
      <c r="AF535" s="84"/>
      <c r="AG535" s="84"/>
      <c r="AH535" s="84"/>
      <c r="AI535" s="84"/>
    </row>
    <row r="536">
      <c r="A536" s="162">
        <v>45985.0</v>
      </c>
      <c r="B536" s="163" t="s">
        <v>2766</v>
      </c>
      <c r="C536" s="84"/>
      <c r="D536" s="165">
        <v>5.1959715087E10</v>
      </c>
      <c r="E536" s="78" t="s">
        <v>1453</v>
      </c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  <c r="AA536" s="84"/>
      <c r="AB536" s="84"/>
      <c r="AC536" s="84"/>
      <c r="AD536" s="84"/>
      <c r="AE536" s="84"/>
      <c r="AF536" s="84"/>
      <c r="AG536" s="84"/>
      <c r="AH536" s="84"/>
      <c r="AI536" s="84"/>
    </row>
    <row r="537">
      <c r="A537" s="162">
        <v>45985.0</v>
      </c>
      <c r="B537" s="163" t="s">
        <v>2767</v>
      </c>
      <c r="C537" s="84"/>
      <c r="D537" s="165">
        <v>5.1943858564E10</v>
      </c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  <c r="AA537" s="84"/>
      <c r="AB537" s="84"/>
      <c r="AC537" s="84"/>
      <c r="AD537" s="84"/>
      <c r="AE537" s="84"/>
      <c r="AF537" s="84"/>
      <c r="AG537" s="84"/>
      <c r="AH537" s="84"/>
      <c r="AI537" s="84"/>
    </row>
    <row r="538">
      <c r="A538" s="162">
        <v>45627.0</v>
      </c>
      <c r="B538" s="163" t="s">
        <v>2768</v>
      </c>
      <c r="C538" s="84"/>
      <c r="D538" s="165">
        <v>5.1936945255E10</v>
      </c>
      <c r="E538" s="78" t="s">
        <v>1453</v>
      </c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  <c r="AA538" s="84"/>
      <c r="AB538" s="84"/>
      <c r="AC538" s="84"/>
      <c r="AD538" s="84"/>
      <c r="AE538" s="84"/>
      <c r="AF538" s="84"/>
      <c r="AG538" s="84"/>
      <c r="AH538" s="84"/>
      <c r="AI538" s="84"/>
    </row>
    <row r="539">
      <c r="A539" s="162">
        <v>45627.0</v>
      </c>
      <c r="B539" s="163" t="s">
        <v>2769</v>
      </c>
      <c r="C539" s="84"/>
      <c r="D539" s="165">
        <v>5.1983964468E10</v>
      </c>
      <c r="E539" s="78" t="s">
        <v>1453</v>
      </c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  <c r="AA539" s="84"/>
      <c r="AB539" s="84"/>
      <c r="AC539" s="84"/>
      <c r="AD539" s="84"/>
      <c r="AE539" s="84"/>
      <c r="AF539" s="84"/>
      <c r="AG539" s="84"/>
      <c r="AH539" s="84"/>
      <c r="AI539" s="84"/>
    </row>
    <row r="540">
      <c r="A540" s="162">
        <v>45627.0</v>
      </c>
      <c r="B540" s="163" t="s">
        <v>2770</v>
      </c>
      <c r="C540" s="84"/>
      <c r="D540" s="165">
        <v>5.199104267E10</v>
      </c>
      <c r="E540" s="78" t="s">
        <v>1453</v>
      </c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  <c r="AA540" s="84"/>
      <c r="AB540" s="84"/>
      <c r="AC540" s="84"/>
      <c r="AD540" s="84"/>
      <c r="AE540" s="84"/>
      <c r="AF540" s="84"/>
      <c r="AG540" s="84"/>
      <c r="AH540" s="84"/>
      <c r="AI540" s="84"/>
    </row>
    <row r="541">
      <c r="A541" s="162">
        <v>45985.0</v>
      </c>
      <c r="B541" s="163" t="s">
        <v>2771</v>
      </c>
      <c r="C541" s="84"/>
      <c r="D541" s="164">
        <v>5.1974346987E10</v>
      </c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  <c r="AA541" s="84"/>
      <c r="AB541" s="84"/>
      <c r="AC541" s="84"/>
      <c r="AD541" s="84"/>
      <c r="AE541" s="84"/>
      <c r="AF541" s="84"/>
      <c r="AG541" s="84"/>
      <c r="AH541" s="84"/>
      <c r="AI541" s="84"/>
    </row>
    <row r="542">
      <c r="A542" s="162">
        <v>45985.0</v>
      </c>
      <c r="B542" s="163" t="s">
        <v>2772</v>
      </c>
      <c r="C542" s="84"/>
      <c r="D542" s="164">
        <v>5.191873762E10</v>
      </c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  <c r="AA542" s="84"/>
      <c r="AB542" s="84"/>
      <c r="AC542" s="84"/>
      <c r="AD542" s="84"/>
      <c r="AE542" s="84"/>
      <c r="AF542" s="84"/>
      <c r="AG542" s="84"/>
      <c r="AH542" s="84"/>
      <c r="AI542" s="84"/>
    </row>
    <row r="543">
      <c r="A543" s="162">
        <v>45985.0</v>
      </c>
      <c r="B543" s="163" t="s">
        <v>2773</v>
      </c>
      <c r="C543" s="84"/>
      <c r="D543" s="164">
        <v>5.1901735835E10</v>
      </c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  <c r="AA543" s="84"/>
      <c r="AB543" s="84"/>
      <c r="AC543" s="84"/>
      <c r="AD543" s="84"/>
      <c r="AE543" s="84"/>
      <c r="AF543" s="84"/>
      <c r="AG543" s="84"/>
      <c r="AH543" s="84"/>
      <c r="AI543" s="84"/>
    </row>
    <row r="544">
      <c r="A544" s="162">
        <v>45985.0</v>
      </c>
      <c r="B544" s="163" t="s">
        <v>2774</v>
      </c>
      <c r="C544" s="84"/>
      <c r="D544" s="164">
        <v>5.1958447958E10</v>
      </c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  <c r="AA544" s="84"/>
      <c r="AB544" s="84"/>
      <c r="AC544" s="84"/>
      <c r="AD544" s="84"/>
      <c r="AE544" s="84"/>
      <c r="AF544" s="84"/>
      <c r="AG544" s="84"/>
      <c r="AH544" s="84"/>
      <c r="AI544" s="84"/>
    </row>
    <row r="545">
      <c r="A545" s="162">
        <v>45985.0</v>
      </c>
      <c r="B545" s="163" t="s">
        <v>2775</v>
      </c>
      <c r="C545" s="84"/>
      <c r="D545" s="164">
        <v>5.1919660061E10</v>
      </c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  <c r="AA545" s="84"/>
      <c r="AB545" s="84"/>
      <c r="AC545" s="84"/>
      <c r="AD545" s="84"/>
      <c r="AE545" s="84"/>
      <c r="AF545" s="84"/>
      <c r="AG545" s="84"/>
      <c r="AH545" s="84"/>
      <c r="AI545" s="84"/>
    </row>
    <row r="546">
      <c r="A546" s="162">
        <v>45985.0</v>
      </c>
      <c r="B546" s="163" t="s">
        <v>2776</v>
      </c>
      <c r="C546" s="84"/>
      <c r="D546" s="164">
        <v>5.1943196324E10</v>
      </c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  <c r="AA546" s="84"/>
      <c r="AB546" s="84"/>
      <c r="AC546" s="84"/>
      <c r="AD546" s="84"/>
      <c r="AE546" s="84"/>
      <c r="AF546" s="84"/>
      <c r="AG546" s="84"/>
      <c r="AH546" s="84"/>
      <c r="AI546" s="84"/>
    </row>
    <row r="547">
      <c r="A547" s="162">
        <v>45985.0</v>
      </c>
      <c r="B547" s="163" t="s">
        <v>2777</v>
      </c>
      <c r="C547" s="84"/>
      <c r="D547" s="164">
        <v>5.1987010095E10</v>
      </c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  <c r="AA547" s="84"/>
      <c r="AB547" s="84"/>
      <c r="AC547" s="84"/>
      <c r="AD547" s="84"/>
      <c r="AE547" s="84"/>
      <c r="AF547" s="84"/>
      <c r="AG547" s="84"/>
      <c r="AH547" s="84"/>
      <c r="AI547" s="84"/>
    </row>
    <row r="548">
      <c r="A548" s="162">
        <v>45985.0</v>
      </c>
      <c r="B548" s="163" t="s">
        <v>2778</v>
      </c>
      <c r="C548" s="84"/>
      <c r="D548" s="164">
        <v>5.1985050634E10</v>
      </c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  <c r="AA548" s="84"/>
      <c r="AB548" s="84"/>
      <c r="AC548" s="84"/>
      <c r="AD548" s="84"/>
      <c r="AE548" s="84"/>
      <c r="AF548" s="84"/>
      <c r="AG548" s="84"/>
      <c r="AH548" s="84"/>
      <c r="AI548" s="84"/>
    </row>
    <row r="549">
      <c r="A549" s="162">
        <v>45985.0</v>
      </c>
      <c r="B549" s="163" t="s">
        <v>2779</v>
      </c>
      <c r="C549" s="84"/>
      <c r="D549" s="164">
        <v>5.1922712458E10</v>
      </c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  <c r="AA549" s="84"/>
      <c r="AB549" s="84"/>
      <c r="AC549" s="84"/>
      <c r="AD549" s="84"/>
      <c r="AE549" s="84"/>
      <c r="AF549" s="84"/>
      <c r="AG549" s="84"/>
      <c r="AH549" s="84"/>
      <c r="AI549" s="84"/>
    </row>
    <row r="550">
      <c r="A550" s="162">
        <v>45985.0</v>
      </c>
      <c r="B550" s="163" t="s">
        <v>2780</v>
      </c>
      <c r="C550" s="84"/>
      <c r="D550" s="164">
        <v>5.1957560103E10</v>
      </c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  <c r="AA550" s="84"/>
      <c r="AB550" s="84"/>
      <c r="AC550" s="84"/>
      <c r="AD550" s="84"/>
      <c r="AE550" s="84"/>
      <c r="AF550" s="84"/>
      <c r="AG550" s="84"/>
      <c r="AH550" s="84"/>
      <c r="AI550" s="84"/>
    </row>
    <row r="551">
      <c r="A551" s="162">
        <v>45985.0</v>
      </c>
      <c r="B551" s="163" t="s">
        <v>2781</v>
      </c>
      <c r="C551" s="84"/>
      <c r="D551" s="164">
        <v>5.1955333248E10</v>
      </c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  <c r="AA551" s="84"/>
      <c r="AB551" s="84"/>
      <c r="AC551" s="84"/>
      <c r="AD551" s="84"/>
      <c r="AE551" s="84"/>
      <c r="AF551" s="84"/>
      <c r="AG551" s="84"/>
      <c r="AH551" s="84"/>
      <c r="AI551" s="84"/>
    </row>
    <row r="552">
      <c r="A552" s="162">
        <v>45985.0</v>
      </c>
      <c r="B552" s="163" t="s">
        <v>2782</v>
      </c>
      <c r="C552" s="84"/>
      <c r="D552" s="164">
        <v>5.1951592224E10</v>
      </c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  <c r="AA552" s="84"/>
      <c r="AB552" s="84"/>
      <c r="AC552" s="84"/>
      <c r="AD552" s="84"/>
      <c r="AE552" s="84"/>
      <c r="AF552" s="84"/>
      <c r="AG552" s="84"/>
      <c r="AH552" s="84"/>
      <c r="AI552" s="84"/>
    </row>
    <row r="553">
      <c r="A553" s="162">
        <v>45985.0</v>
      </c>
      <c r="B553" s="163" t="s">
        <v>2783</v>
      </c>
      <c r="C553" s="84"/>
      <c r="D553" s="164">
        <v>5.1982002165E10</v>
      </c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  <c r="AA553" s="84"/>
      <c r="AB553" s="84"/>
      <c r="AC553" s="84"/>
      <c r="AD553" s="84"/>
      <c r="AE553" s="84"/>
      <c r="AF553" s="84"/>
      <c r="AG553" s="84"/>
      <c r="AH553" s="84"/>
      <c r="AI553" s="84"/>
    </row>
    <row r="554">
      <c r="A554" s="162">
        <v>45985.0</v>
      </c>
      <c r="B554" s="163" t="s">
        <v>2784</v>
      </c>
      <c r="C554" s="84"/>
      <c r="D554" s="164">
        <v>5.1928951083E10</v>
      </c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  <c r="AA554" s="84"/>
      <c r="AB554" s="84"/>
      <c r="AC554" s="84"/>
      <c r="AD554" s="84"/>
      <c r="AE554" s="84"/>
      <c r="AF554" s="84"/>
      <c r="AG554" s="84"/>
      <c r="AH554" s="84"/>
      <c r="AI554" s="84"/>
    </row>
    <row r="555">
      <c r="A555" s="162">
        <v>45985.0</v>
      </c>
      <c r="B555" s="163" t="s">
        <v>2785</v>
      </c>
      <c r="C555" s="84"/>
      <c r="D555" s="164">
        <v>5.1920496901E10</v>
      </c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  <c r="AA555" s="84"/>
      <c r="AB555" s="84"/>
      <c r="AC555" s="84"/>
      <c r="AD555" s="84"/>
      <c r="AE555" s="84"/>
      <c r="AF555" s="84"/>
      <c r="AG555" s="84"/>
      <c r="AH555" s="84"/>
      <c r="AI555" s="84"/>
    </row>
    <row r="556">
      <c r="A556" s="162">
        <v>45985.0</v>
      </c>
      <c r="B556" s="163" t="s">
        <v>2786</v>
      </c>
      <c r="C556" s="84"/>
      <c r="D556" s="164">
        <v>5.1934397089E10</v>
      </c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  <c r="AA556" s="84"/>
      <c r="AB556" s="84"/>
      <c r="AC556" s="84"/>
      <c r="AD556" s="84"/>
      <c r="AE556" s="84"/>
      <c r="AF556" s="84"/>
      <c r="AG556" s="84"/>
      <c r="AH556" s="84"/>
      <c r="AI556" s="84"/>
    </row>
    <row r="557">
      <c r="A557" s="162">
        <v>45985.0</v>
      </c>
      <c r="B557" s="163" t="s">
        <v>2787</v>
      </c>
      <c r="C557" s="84"/>
      <c r="D557" s="164">
        <v>5.1963706406E10</v>
      </c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  <c r="AA557" s="84"/>
      <c r="AB557" s="84"/>
      <c r="AC557" s="84"/>
      <c r="AD557" s="84"/>
      <c r="AE557" s="84"/>
      <c r="AF557" s="84"/>
      <c r="AG557" s="84"/>
      <c r="AH557" s="84"/>
      <c r="AI557" s="84"/>
    </row>
    <row r="558">
      <c r="A558" s="162">
        <v>45985.0</v>
      </c>
      <c r="B558" s="163" t="s">
        <v>2788</v>
      </c>
      <c r="C558" s="84"/>
      <c r="D558" s="164">
        <v>5.194090831E10</v>
      </c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  <c r="AA558" s="84"/>
      <c r="AB558" s="84"/>
      <c r="AC558" s="84"/>
      <c r="AD558" s="84"/>
      <c r="AE558" s="84"/>
      <c r="AF558" s="84"/>
      <c r="AG558" s="84"/>
      <c r="AH558" s="84"/>
      <c r="AI558" s="84"/>
    </row>
    <row r="559">
      <c r="A559" s="162">
        <v>45985.0</v>
      </c>
      <c r="B559" s="163" t="s">
        <v>2789</v>
      </c>
      <c r="C559" s="84"/>
      <c r="D559" s="164">
        <v>5.1929464036E10</v>
      </c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  <c r="AA559" s="84"/>
      <c r="AB559" s="84"/>
      <c r="AC559" s="84"/>
      <c r="AD559" s="84"/>
      <c r="AE559" s="84"/>
      <c r="AF559" s="84"/>
      <c r="AG559" s="84"/>
      <c r="AH559" s="84"/>
      <c r="AI559" s="84"/>
    </row>
    <row r="560">
      <c r="A560" s="162">
        <v>45985.0</v>
      </c>
      <c r="B560" s="163" t="s">
        <v>2790</v>
      </c>
      <c r="C560" s="84"/>
      <c r="D560" s="164">
        <v>5.1984537992E10</v>
      </c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  <c r="AA560" s="84"/>
      <c r="AB560" s="84"/>
      <c r="AC560" s="84"/>
      <c r="AD560" s="84"/>
      <c r="AE560" s="84"/>
      <c r="AF560" s="84"/>
      <c r="AG560" s="84"/>
      <c r="AH560" s="84"/>
      <c r="AI560" s="84"/>
    </row>
    <row r="561">
      <c r="A561" s="162">
        <v>45985.0</v>
      </c>
      <c r="B561" s="163" t="s">
        <v>2791</v>
      </c>
      <c r="C561" s="84"/>
      <c r="D561" s="164">
        <v>5.1959089371E10</v>
      </c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  <c r="AA561" s="84"/>
      <c r="AB561" s="84"/>
      <c r="AC561" s="84"/>
      <c r="AD561" s="84"/>
      <c r="AE561" s="84"/>
      <c r="AF561" s="84"/>
      <c r="AG561" s="84"/>
      <c r="AH561" s="84"/>
      <c r="AI561" s="84"/>
    </row>
    <row r="562">
      <c r="A562" s="162">
        <v>45985.0</v>
      </c>
      <c r="B562" s="163" t="s">
        <v>2792</v>
      </c>
      <c r="C562" s="84"/>
      <c r="D562" s="164">
        <v>5.1997355653E10</v>
      </c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  <c r="AA562" s="84"/>
      <c r="AB562" s="84"/>
      <c r="AC562" s="84"/>
      <c r="AD562" s="84"/>
      <c r="AE562" s="84"/>
      <c r="AF562" s="84"/>
      <c r="AG562" s="84"/>
      <c r="AH562" s="84"/>
      <c r="AI562" s="84"/>
    </row>
    <row r="563">
      <c r="A563" s="162">
        <v>45627.0</v>
      </c>
      <c r="B563" s="163" t="s">
        <v>2793</v>
      </c>
      <c r="C563" s="84"/>
      <c r="D563" s="164">
        <v>5.1954155089E10</v>
      </c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  <c r="AA563" s="84"/>
      <c r="AB563" s="84"/>
      <c r="AC563" s="84"/>
      <c r="AD563" s="84"/>
      <c r="AE563" s="84"/>
      <c r="AF563" s="84"/>
      <c r="AG563" s="84"/>
      <c r="AH563" s="84"/>
      <c r="AI563" s="84"/>
    </row>
    <row r="564">
      <c r="A564" s="162">
        <v>45627.0</v>
      </c>
      <c r="B564" s="163" t="s">
        <v>2794</v>
      </c>
      <c r="C564" s="84"/>
      <c r="D564" s="164">
        <v>5.1942982402E10</v>
      </c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  <c r="AA564" s="84"/>
      <c r="AB564" s="84"/>
      <c r="AC564" s="84"/>
      <c r="AD564" s="84"/>
      <c r="AE564" s="84"/>
      <c r="AF564" s="84"/>
      <c r="AG564" s="84"/>
      <c r="AH564" s="84"/>
      <c r="AI564" s="84"/>
    </row>
    <row r="565">
      <c r="A565" s="162">
        <v>45627.0</v>
      </c>
      <c r="B565" s="163" t="s">
        <v>2795</v>
      </c>
      <c r="C565" s="84"/>
      <c r="D565" s="164">
        <v>5.1938392554E10</v>
      </c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  <c r="AA565" s="84"/>
      <c r="AB565" s="84"/>
      <c r="AC565" s="84"/>
      <c r="AD565" s="84"/>
      <c r="AE565" s="84"/>
      <c r="AF565" s="84"/>
      <c r="AG565" s="84"/>
      <c r="AH565" s="84"/>
      <c r="AI565" s="84"/>
    </row>
    <row r="566">
      <c r="A566" s="162">
        <v>45627.0</v>
      </c>
      <c r="B566" s="163" t="s">
        <v>2796</v>
      </c>
      <c r="C566" s="84"/>
      <c r="D566" s="164">
        <v>5.198565223E10</v>
      </c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  <c r="AA566" s="84"/>
      <c r="AB566" s="84"/>
      <c r="AC566" s="84"/>
      <c r="AD566" s="84"/>
      <c r="AE566" s="84"/>
      <c r="AF566" s="84"/>
      <c r="AG566" s="84"/>
      <c r="AH566" s="84"/>
      <c r="AI566" s="84"/>
    </row>
    <row r="567">
      <c r="A567" s="162">
        <v>45627.0</v>
      </c>
      <c r="B567" s="163" t="s">
        <v>2797</v>
      </c>
      <c r="C567" s="84"/>
      <c r="D567" s="164">
        <v>5.1915392147E10</v>
      </c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  <c r="AA567" s="84"/>
      <c r="AB567" s="84"/>
      <c r="AC567" s="84"/>
      <c r="AD567" s="84"/>
      <c r="AE567" s="84"/>
      <c r="AF567" s="84"/>
      <c r="AG567" s="84"/>
      <c r="AH567" s="84"/>
      <c r="AI567" s="84"/>
    </row>
    <row r="568">
      <c r="A568" s="162">
        <v>45627.0</v>
      </c>
      <c r="B568" s="163" t="s">
        <v>2798</v>
      </c>
      <c r="C568" s="84"/>
      <c r="D568" s="164">
        <v>5.1966567176E10</v>
      </c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  <c r="AA568" s="84"/>
      <c r="AB568" s="84"/>
      <c r="AC568" s="84"/>
      <c r="AD568" s="84"/>
      <c r="AE568" s="84"/>
      <c r="AF568" s="84"/>
      <c r="AG568" s="84"/>
      <c r="AH568" s="84"/>
      <c r="AI568" s="84"/>
    </row>
    <row r="569">
      <c r="A569" s="162">
        <v>45627.0</v>
      </c>
      <c r="B569" s="163" t="s">
        <v>2799</v>
      </c>
      <c r="C569" s="84"/>
      <c r="D569" s="164">
        <v>5.1952524352E10</v>
      </c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  <c r="AA569" s="84"/>
      <c r="AB569" s="84"/>
      <c r="AC569" s="84"/>
      <c r="AD569" s="84"/>
      <c r="AE569" s="84"/>
      <c r="AF569" s="84"/>
      <c r="AG569" s="84"/>
      <c r="AH569" s="84"/>
      <c r="AI569" s="84"/>
    </row>
    <row r="570">
      <c r="A570" s="162">
        <v>45627.0</v>
      </c>
      <c r="B570" s="163" t="s">
        <v>2800</v>
      </c>
      <c r="C570" s="84"/>
      <c r="D570" s="164">
        <v>5.1973156079E10</v>
      </c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  <c r="AA570" s="84"/>
      <c r="AB570" s="84"/>
      <c r="AC570" s="84"/>
      <c r="AD570" s="84"/>
      <c r="AE570" s="84"/>
      <c r="AF570" s="84"/>
      <c r="AG570" s="84"/>
      <c r="AH570" s="84"/>
      <c r="AI570" s="84"/>
    </row>
    <row r="571">
      <c r="A571" s="162">
        <v>45627.0</v>
      </c>
      <c r="B571" s="163" t="s">
        <v>2801</v>
      </c>
      <c r="C571" s="84"/>
      <c r="D571" s="164">
        <v>5.1951210724E10</v>
      </c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  <c r="AA571" s="84"/>
      <c r="AB571" s="84"/>
      <c r="AC571" s="84"/>
      <c r="AD571" s="84"/>
      <c r="AE571" s="84"/>
      <c r="AF571" s="84"/>
      <c r="AG571" s="84"/>
      <c r="AH571" s="84"/>
      <c r="AI571" s="84"/>
    </row>
    <row r="572">
      <c r="A572" s="162">
        <v>45627.0</v>
      </c>
      <c r="B572" s="163" t="s">
        <v>2802</v>
      </c>
      <c r="C572" s="84"/>
      <c r="D572" s="164">
        <v>5.1967684154E10</v>
      </c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  <c r="AA572" s="84"/>
      <c r="AB572" s="84"/>
      <c r="AC572" s="84"/>
      <c r="AD572" s="84"/>
      <c r="AE572" s="84"/>
      <c r="AF572" s="84"/>
      <c r="AG572" s="84"/>
      <c r="AH572" s="84"/>
      <c r="AI572" s="84"/>
    </row>
    <row r="573">
      <c r="A573" s="162">
        <v>45627.0</v>
      </c>
      <c r="B573" s="163" t="s">
        <v>2803</v>
      </c>
      <c r="C573" s="84"/>
      <c r="D573" s="164">
        <v>5.1923402822E10</v>
      </c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  <c r="AA573" s="84"/>
      <c r="AB573" s="84"/>
      <c r="AC573" s="84"/>
      <c r="AD573" s="84"/>
      <c r="AE573" s="84"/>
      <c r="AF573" s="84"/>
      <c r="AG573" s="84"/>
      <c r="AH573" s="84"/>
      <c r="AI573" s="84"/>
    </row>
    <row r="574">
      <c r="A574" s="162">
        <v>45627.0</v>
      </c>
      <c r="B574" s="163" t="s">
        <v>2804</v>
      </c>
      <c r="C574" s="84"/>
      <c r="D574" s="164">
        <v>5.1910127505E10</v>
      </c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  <c r="AA574" s="84"/>
      <c r="AB574" s="84"/>
      <c r="AC574" s="84"/>
      <c r="AD574" s="84"/>
      <c r="AE574" s="84"/>
      <c r="AF574" s="84"/>
      <c r="AG574" s="84"/>
      <c r="AH574" s="84"/>
      <c r="AI574" s="84"/>
    </row>
    <row r="575">
      <c r="A575" s="162">
        <v>45627.0</v>
      </c>
      <c r="B575" s="163" t="s">
        <v>2805</v>
      </c>
      <c r="C575" s="84"/>
      <c r="D575" s="164">
        <v>5.1968386392E10</v>
      </c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  <c r="AA575" s="84"/>
      <c r="AB575" s="84"/>
      <c r="AC575" s="84"/>
      <c r="AD575" s="84"/>
      <c r="AE575" s="84"/>
      <c r="AF575" s="84"/>
      <c r="AG575" s="84"/>
      <c r="AH575" s="84"/>
      <c r="AI575" s="84"/>
    </row>
    <row r="576">
      <c r="A576" s="162">
        <v>45627.0</v>
      </c>
      <c r="B576" s="163" t="s">
        <v>2806</v>
      </c>
      <c r="C576" s="84"/>
      <c r="D576" s="164">
        <v>5.197882467E10</v>
      </c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  <c r="AA576" s="84"/>
      <c r="AB576" s="84"/>
      <c r="AC576" s="84"/>
      <c r="AD576" s="84"/>
      <c r="AE576" s="84"/>
      <c r="AF576" s="84"/>
      <c r="AG576" s="84"/>
      <c r="AH576" s="84"/>
      <c r="AI576" s="84"/>
    </row>
    <row r="577">
      <c r="A577" s="162">
        <v>45627.0</v>
      </c>
      <c r="B577" s="163" t="s">
        <v>2807</v>
      </c>
      <c r="C577" s="84"/>
      <c r="D577" s="164">
        <v>5.193857054E10</v>
      </c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  <c r="AA577" s="84"/>
      <c r="AB577" s="84"/>
      <c r="AC577" s="84"/>
      <c r="AD577" s="84"/>
      <c r="AE577" s="84"/>
      <c r="AF577" s="84"/>
      <c r="AG577" s="84"/>
      <c r="AH577" s="84"/>
      <c r="AI577" s="84"/>
    </row>
    <row r="578">
      <c r="A578" s="162">
        <v>45627.0</v>
      </c>
      <c r="B578" s="163" t="s">
        <v>2808</v>
      </c>
      <c r="C578" s="84"/>
      <c r="D578" s="164">
        <v>5.1927761779E10</v>
      </c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  <c r="AA578" s="84"/>
      <c r="AB578" s="84"/>
      <c r="AC578" s="84"/>
      <c r="AD578" s="84"/>
      <c r="AE578" s="84"/>
      <c r="AF578" s="84"/>
      <c r="AG578" s="84"/>
      <c r="AH578" s="84"/>
      <c r="AI578" s="84"/>
    </row>
    <row r="579">
      <c r="A579" s="162">
        <v>45627.0</v>
      </c>
      <c r="B579" s="163" t="s">
        <v>2809</v>
      </c>
      <c r="C579" s="84"/>
      <c r="D579" s="164">
        <v>5.1966504945E10</v>
      </c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  <c r="AA579" s="84"/>
      <c r="AB579" s="84"/>
      <c r="AC579" s="84"/>
      <c r="AD579" s="84"/>
      <c r="AE579" s="84"/>
      <c r="AF579" s="84"/>
      <c r="AG579" s="84"/>
      <c r="AH579" s="84"/>
      <c r="AI579" s="84"/>
    </row>
    <row r="580">
      <c r="A580" s="162">
        <v>45627.0</v>
      </c>
      <c r="B580" s="163" t="s">
        <v>2810</v>
      </c>
      <c r="C580" s="84"/>
      <c r="D580" s="164">
        <v>5.1992044912E10</v>
      </c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  <c r="AA580" s="84"/>
      <c r="AB580" s="84"/>
      <c r="AC580" s="84"/>
      <c r="AD580" s="84"/>
      <c r="AE580" s="84"/>
      <c r="AF580" s="84"/>
      <c r="AG580" s="84"/>
      <c r="AH580" s="84"/>
      <c r="AI580" s="84"/>
    </row>
    <row r="581">
      <c r="A581" s="162">
        <v>45627.0</v>
      </c>
      <c r="B581" s="163" t="s">
        <v>2811</v>
      </c>
      <c r="C581" s="84"/>
      <c r="D581" s="164">
        <v>5.19175617E10</v>
      </c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  <c r="AA581" s="84"/>
      <c r="AB581" s="84"/>
      <c r="AC581" s="84"/>
      <c r="AD581" s="84"/>
      <c r="AE581" s="84"/>
      <c r="AF581" s="84"/>
      <c r="AG581" s="84"/>
      <c r="AH581" s="84"/>
      <c r="AI581" s="84"/>
    </row>
    <row r="582">
      <c r="A582" s="162">
        <v>45627.0</v>
      </c>
      <c r="B582" s="163" t="s">
        <v>2812</v>
      </c>
      <c r="C582" s="84"/>
      <c r="D582" s="164">
        <v>5.1987306956E10</v>
      </c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  <c r="AA582" s="84"/>
      <c r="AB582" s="84"/>
      <c r="AC582" s="84"/>
      <c r="AD582" s="84"/>
      <c r="AE582" s="84"/>
      <c r="AF582" s="84"/>
      <c r="AG582" s="84"/>
      <c r="AH582" s="84"/>
      <c r="AI582" s="84"/>
    </row>
    <row r="583">
      <c r="A583" s="162">
        <v>45627.0</v>
      </c>
      <c r="B583" s="163" t="s">
        <v>2813</v>
      </c>
      <c r="C583" s="84"/>
      <c r="D583" s="164">
        <v>5.1994818435E10</v>
      </c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  <c r="AA583" s="84"/>
      <c r="AB583" s="84"/>
      <c r="AC583" s="84"/>
      <c r="AD583" s="84"/>
      <c r="AE583" s="84"/>
      <c r="AF583" s="84"/>
      <c r="AG583" s="84"/>
      <c r="AH583" s="84"/>
      <c r="AI583" s="84"/>
    </row>
    <row r="584">
      <c r="A584" s="162">
        <v>45627.0</v>
      </c>
      <c r="B584" s="163" t="s">
        <v>2814</v>
      </c>
      <c r="C584" s="84"/>
      <c r="D584" s="164">
        <v>5.1902327647E10</v>
      </c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  <c r="AA584" s="84"/>
      <c r="AB584" s="84"/>
      <c r="AC584" s="84"/>
      <c r="AD584" s="84"/>
      <c r="AE584" s="84"/>
      <c r="AF584" s="84"/>
      <c r="AG584" s="84"/>
      <c r="AH584" s="84"/>
      <c r="AI584" s="84"/>
    </row>
    <row r="585">
      <c r="A585" s="162">
        <v>45627.0</v>
      </c>
      <c r="B585" s="163" t="s">
        <v>2815</v>
      </c>
      <c r="C585" s="84"/>
      <c r="D585" s="164">
        <v>5.1999156133E10</v>
      </c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  <c r="AA585" s="84"/>
      <c r="AB585" s="84"/>
      <c r="AC585" s="84"/>
      <c r="AD585" s="84"/>
      <c r="AE585" s="84"/>
      <c r="AF585" s="84"/>
      <c r="AG585" s="84"/>
      <c r="AH585" s="84"/>
      <c r="AI585" s="84"/>
    </row>
    <row r="586">
      <c r="A586" s="162">
        <v>45627.0</v>
      </c>
      <c r="B586" s="163" t="s">
        <v>2816</v>
      </c>
      <c r="C586" s="84"/>
      <c r="D586" s="164">
        <v>5.198360519E10</v>
      </c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  <c r="AA586" s="84"/>
      <c r="AB586" s="84"/>
      <c r="AC586" s="84"/>
      <c r="AD586" s="84"/>
      <c r="AE586" s="84"/>
      <c r="AF586" s="84"/>
      <c r="AG586" s="84"/>
      <c r="AH586" s="84"/>
      <c r="AI586" s="84"/>
    </row>
    <row r="587">
      <c r="A587" s="162">
        <v>45627.0</v>
      </c>
      <c r="B587" s="163" t="s">
        <v>2817</v>
      </c>
      <c r="C587" s="84"/>
      <c r="D587" s="164">
        <v>5.1987046979E10</v>
      </c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  <c r="AA587" s="84"/>
      <c r="AB587" s="84"/>
      <c r="AC587" s="84"/>
      <c r="AD587" s="84"/>
      <c r="AE587" s="84"/>
      <c r="AF587" s="84"/>
      <c r="AG587" s="84"/>
      <c r="AH587" s="84"/>
      <c r="AI587" s="84"/>
    </row>
    <row r="588">
      <c r="A588" s="162">
        <v>45627.0</v>
      </c>
      <c r="B588" s="163" t="s">
        <v>2818</v>
      </c>
      <c r="C588" s="84"/>
      <c r="D588" s="164">
        <v>5.1947588927E10</v>
      </c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  <c r="AA588" s="84"/>
      <c r="AB588" s="84"/>
      <c r="AC588" s="84"/>
      <c r="AD588" s="84"/>
      <c r="AE588" s="84"/>
      <c r="AF588" s="84"/>
      <c r="AG588" s="84"/>
      <c r="AH588" s="84"/>
      <c r="AI588" s="84"/>
    </row>
    <row r="589">
      <c r="A589" s="162">
        <v>45627.0</v>
      </c>
      <c r="B589" s="163" t="s">
        <v>2819</v>
      </c>
      <c r="C589" s="84"/>
      <c r="D589" s="164">
        <v>5.1958792218E10</v>
      </c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  <c r="AA589" s="84"/>
      <c r="AB589" s="84"/>
      <c r="AC589" s="84"/>
      <c r="AD589" s="84"/>
      <c r="AE589" s="84"/>
      <c r="AF589" s="84"/>
      <c r="AG589" s="84"/>
      <c r="AH589" s="84"/>
      <c r="AI589" s="84"/>
    </row>
    <row r="590">
      <c r="A590" s="162">
        <v>45627.0</v>
      </c>
      <c r="B590" s="163" t="s">
        <v>2820</v>
      </c>
      <c r="C590" s="84"/>
      <c r="D590" s="164">
        <v>5.193170229E10</v>
      </c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  <c r="AA590" s="84"/>
      <c r="AB590" s="84"/>
      <c r="AC590" s="84"/>
      <c r="AD590" s="84"/>
      <c r="AE590" s="84"/>
      <c r="AF590" s="84"/>
      <c r="AG590" s="84"/>
      <c r="AH590" s="84"/>
      <c r="AI590" s="84"/>
    </row>
    <row r="591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  <c r="AA591" s="84"/>
      <c r="AB591" s="84"/>
      <c r="AC591" s="84"/>
      <c r="AD591" s="84"/>
      <c r="AE591" s="84"/>
      <c r="AF591" s="84"/>
      <c r="AG591" s="84"/>
      <c r="AH591" s="84"/>
      <c r="AI591" s="84"/>
    </row>
    <row r="592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  <c r="AA592" s="84"/>
      <c r="AB592" s="84"/>
      <c r="AC592" s="84"/>
      <c r="AD592" s="84"/>
      <c r="AE592" s="84"/>
      <c r="AF592" s="84"/>
      <c r="AG592" s="84"/>
      <c r="AH592" s="84"/>
      <c r="AI592" s="84"/>
    </row>
    <row r="593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  <c r="AA593" s="84"/>
      <c r="AB593" s="84"/>
      <c r="AC593" s="84"/>
      <c r="AD593" s="84"/>
      <c r="AE593" s="84"/>
      <c r="AF593" s="84"/>
      <c r="AG593" s="84"/>
      <c r="AH593" s="84"/>
      <c r="AI593" s="84"/>
    </row>
    <row r="594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  <c r="AA594" s="84"/>
      <c r="AB594" s="84"/>
      <c r="AC594" s="84"/>
      <c r="AD594" s="84"/>
      <c r="AE594" s="84"/>
      <c r="AF594" s="84"/>
      <c r="AG594" s="84"/>
      <c r="AH594" s="84"/>
      <c r="AI594" s="84"/>
    </row>
    <row r="595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  <c r="AA595" s="84"/>
      <c r="AB595" s="84"/>
      <c r="AC595" s="84"/>
      <c r="AD595" s="84"/>
      <c r="AE595" s="84"/>
      <c r="AF595" s="84"/>
      <c r="AG595" s="84"/>
      <c r="AH595" s="84"/>
      <c r="AI595" s="84"/>
    </row>
    <row r="596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  <c r="AA596" s="84"/>
      <c r="AB596" s="84"/>
      <c r="AC596" s="84"/>
      <c r="AD596" s="84"/>
      <c r="AE596" s="84"/>
      <c r="AF596" s="84"/>
      <c r="AG596" s="84"/>
      <c r="AH596" s="84"/>
      <c r="AI596" s="84"/>
    </row>
    <row r="597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  <c r="AA597" s="84"/>
      <c r="AB597" s="84"/>
      <c r="AC597" s="84"/>
      <c r="AD597" s="84"/>
      <c r="AE597" s="84"/>
      <c r="AF597" s="84"/>
      <c r="AG597" s="84"/>
      <c r="AH597" s="84"/>
      <c r="AI597" s="84"/>
    </row>
    <row r="598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  <c r="AA598" s="84"/>
      <c r="AB598" s="84"/>
      <c r="AC598" s="84"/>
      <c r="AD598" s="84"/>
      <c r="AE598" s="84"/>
      <c r="AF598" s="84"/>
      <c r="AG598" s="84"/>
      <c r="AH598" s="84"/>
      <c r="AI598" s="84"/>
    </row>
    <row r="599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  <c r="AA599" s="84"/>
      <c r="AB599" s="84"/>
      <c r="AC599" s="84"/>
      <c r="AD599" s="84"/>
      <c r="AE599" s="84"/>
      <c r="AF599" s="84"/>
      <c r="AG599" s="84"/>
      <c r="AH599" s="84"/>
      <c r="AI599" s="84"/>
    </row>
    <row r="600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  <c r="AA600" s="84"/>
      <c r="AB600" s="84"/>
      <c r="AC600" s="84"/>
      <c r="AD600" s="84"/>
      <c r="AE600" s="84"/>
      <c r="AF600" s="84"/>
      <c r="AG600" s="84"/>
      <c r="AH600" s="84"/>
      <c r="AI600" s="84"/>
    </row>
    <row r="601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  <c r="AA601" s="84"/>
      <c r="AB601" s="84"/>
      <c r="AC601" s="84"/>
      <c r="AD601" s="84"/>
      <c r="AE601" s="84"/>
      <c r="AF601" s="84"/>
      <c r="AG601" s="84"/>
      <c r="AH601" s="84"/>
      <c r="AI601" s="84"/>
    </row>
    <row r="602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  <c r="AA602" s="84"/>
      <c r="AB602" s="84"/>
      <c r="AC602" s="84"/>
      <c r="AD602" s="84"/>
      <c r="AE602" s="84"/>
      <c r="AF602" s="84"/>
      <c r="AG602" s="84"/>
      <c r="AH602" s="84"/>
      <c r="AI602" s="84"/>
    </row>
    <row r="603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  <c r="AA603" s="84"/>
      <c r="AB603" s="84"/>
      <c r="AC603" s="84"/>
      <c r="AD603" s="84"/>
      <c r="AE603" s="84"/>
      <c r="AF603" s="84"/>
      <c r="AG603" s="84"/>
      <c r="AH603" s="84"/>
      <c r="AI603" s="84"/>
    </row>
    <row r="604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  <c r="AA604" s="84"/>
      <c r="AB604" s="84"/>
      <c r="AC604" s="84"/>
      <c r="AD604" s="84"/>
      <c r="AE604" s="84"/>
      <c r="AF604" s="84"/>
      <c r="AG604" s="84"/>
      <c r="AH604" s="84"/>
      <c r="AI604" s="84"/>
    </row>
    <row r="605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  <c r="AA605" s="84"/>
      <c r="AB605" s="84"/>
      <c r="AC605" s="84"/>
      <c r="AD605" s="84"/>
      <c r="AE605" s="84"/>
      <c r="AF605" s="84"/>
      <c r="AG605" s="84"/>
      <c r="AH605" s="84"/>
      <c r="AI605" s="84"/>
    </row>
    <row r="606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  <c r="AA606" s="84"/>
      <c r="AB606" s="84"/>
      <c r="AC606" s="84"/>
      <c r="AD606" s="84"/>
      <c r="AE606" s="84"/>
      <c r="AF606" s="84"/>
      <c r="AG606" s="84"/>
      <c r="AH606" s="84"/>
      <c r="AI606" s="84"/>
    </row>
    <row r="607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  <c r="AA607" s="84"/>
      <c r="AB607" s="84"/>
      <c r="AC607" s="84"/>
      <c r="AD607" s="84"/>
      <c r="AE607" s="84"/>
      <c r="AF607" s="84"/>
      <c r="AG607" s="84"/>
      <c r="AH607" s="84"/>
      <c r="AI607" s="84"/>
    </row>
    <row r="608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  <c r="AA608" s="84"/>
      <c r="AB608" s="84"/>
      <c r="AC608" s="84"/>
      <c r="AD608" s="84"/>
      <c r="AE608" s="84"/>
      <c r="AF608" s="84"/>
      <c r="AG608" s="84"/>
      <c r="AH608" s="84"/>
      <c r="AI608" s="84"/>
    </row>
    <row r="609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  <c r="AA609" s="84"/>
      <c r="AB609" s="84"/>
      <c r="AC609" s="84"/>
      <c r="AD609" s="84"/>
      <c r="AE609" s="84"/>
      <c r="AF609" s="84"/>
      <c r="AG609" s="84"/>
      <c r="AH609" s="84"/>
      <c r="AI609" s="84"/>
    </row>
    <row r="610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  <c r="AA610" s="84"/>
      <c r="AB610" s="84"/>
      <c r="AC610" s="84"/>
      <c r="AD610" s="84"/>
      <c r="AE610" s="84"/>
      <c r="AF610" s="84"/>
      <c r="AG610" s="84"/>
      <c r="AH610" s="84"/>
      <c r="AI610" s="84"/>
    </row>
    <row r="611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  <c r="AA611" s="84"/>
      <c r="AB611" s="84"/>
      <c r="AC611" s="84"/>
      <c r="AD611" s="84"/>
      <c r="AE611" s="84"/>
      <c r="AF611" s="84"/>
      <c r="AG611" s="84"/>
      <c r="AH611" s="84"/>
      <c r="AI611" s="84"/>
    </row>
    <row r="612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  <c r="AA612" s="84"/>
      <c r="AB612" s="84"/>
      <c r="AC612" s="84"/>
      <c r="AD612" s="84"/>
      <c r="AE612" s="84"/>
      <c r="AF612" s="84"/>
      <c r="AG612" s="84"/>
      <c r="AH612" s="84"/>
      <c r="AI612" s="84"/>
    </row>
    <row r="613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  <c r="AA613" s="84"/>
      <c r="AB613" s="84"/>
      <c r="AC613" s="84"/>
      <c r="AD613" s="84"/>
      <c r="AE613" s="84"/>
      <c r="AF613" s="84"/>
      <c r="AG613" s="84"/>
      <c r="AH613" s="84"/>
      <c r="AI613" s="84"/>
    </row>
    <row r="614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  <c r="AA614" s="84"/>
      <c r="AB614" s="84"/>
      <c r="AC614" s="84"/>
      <c r="AD614" s="84"/>
      <c r="AE614" s="84"/>
      <c r="AF614" s="84"/>
      <c r="AG614" s="84"/>
      <c r="AH614" s="84"/>
      <c r="AI614" s="84"/>
    </row>
    <row r="615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  <c r="AA615" s="84"/>
      <c r="AB615" s="84"/>
      <c r="AC615" s="84"/>
      <c r="AD615" s="84"/>
      <c r="AE615" s="84"/>
      <c r="AF615" s="84"/>
      <c r="AG615" s="84"/>
      <c r="AH615" s="84"/>
      <c r="AI615" s="84"/>
    </row>
    <row r="616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  <c r="AA616" s="84"/>
      <c r="AB616" s="84"/>
      <c r="AC616" s="84"/>
      <c r="AD616" s="84"/>
      <c r="AE616" s="84"/>
      <c r="AF616" s="84"/>
      <c r="AG616" s="84"/>
      <c r="AH616" s="84"/>
      <c r="AI616" s="84"/>
    </row>
    <row r="617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  <c r="AA617" s="84"/>
      <c r="AB617" s="84"/>
      <c r="AC617" s="84"/>
      <c r="AD617" s="84"/>
      <c r="AE617" s="84"/>
      <c r="AF617" s="84"/>
      <c r="AG617" s="84"/>
      <c r="AH617" s="84"/>
      <c r="AI617" s="84"/>
    </row>
    <row r="618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  <c r="AA618" s="84"/>
      <c r="AB618" s="84"/>
      <c r="AC618" s="84"/>
      <c r="AD618" s="84"/>
      <c r="AE618" s="84"/>
      <c r="AF618" s="84"/>
      <c r="AG618" s="84"/>
      <c r="AH618" s="84"/>
      <c r="AI618" s="84"/>
    </row>
    <row r="619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  <c r="AA619" s="84"/>
      <c r="AB619" s="84"/>
      <c r="AC619" s="84"/>
      <c r="AD619" s="84"/>
      <c r="AE619" s="84"/>
      <c r="AF619" s="84"/>
      <c r="AG619" s="84"/>
      <c r="AH619" s="84"/>
      <c r="AI619" s="84"/>
    </row>
    <row r="620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  <c r="AA620" s="84"/>
      <c r="AB620" s="84"/>
      <c r="AC620" s="84"/>
      <c r="AD620" s="84"/>
      <c r="AE620" s="84"/>
      <c r="AF620" s="84"/>
      <c r="AG620" s="84"/>
      <c r="AH620" s="84"/>
      <c r="AI620" s="84"/>
    </row>
    <row r="621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  <c r="AA621" s="84"/>
      <c r="AB621" s="84"/>
      <c r="AC621" s="84"/>
      <c r="AD621" s="84"/>
      <c r="AE621" s="84"/>
      <c r="AF621" s="84"/>
      <c r="AG621" s="84"/>
      <c r="AH621" s="84"/>
      <c r="AI621" s="84"/>
    </row>
    <row r="622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  <c r="AA622" s="84"/>
      <c r="AB622" s="84"/>
      <c r="AC622" s="84"/>
      <c r="AD622" s="84"/>
      <c r="AE622" s="84"/>
      <c r="AF622" s="84"/>
      <c r="AG622" s="84"/>
      <c r="AH622" s="84"/>
      <c r="AI622" s="84"/>
    </row>
    <row r="623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  <c r="AA623" s="84"/>
      <c r="AB623" s="84"/>
      <c r="AC623" s="84"/>
      <c r="AD623" s="84"/>
      <c r="AE623" s="84"/>
      <c r="AF623" s="84"/>
      <c r="AG623" s="84"/>
      <c r="AH623" s="84"/>
      <c r="AI623" s="84"/>
    </row>
    <row r="624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  <c r="AA624" s="84"/>
      <c r="AB624" s="84"/>
      <c r="AC624" s="84"/>
      <c r="AD624" s="84"/>
      <c r="AE624" s="84"/>
      <c r="AF624" s="84"/>
      <c r="AG624" s="84"/>
      <c r="AH624" s="84"/>
      <c r="AI624" s="84"/>
    </row>
    <row r="625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  <c r="AA625" s="84"/>
      <c r="AB625" s="84"/>
      <c r="AC625" s="84"/>
      <c r="AD625" s="84"/>
      <c r="AE625" s="84"/>
      <c r="AF625" s="84"/>
      <c r="AG625" s="84"/>
      <c r="AH625" s="84"/>
      <c r="AI625" s="84"/>
    </row>
    <row r="626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  <c r="AA626" s="84"/>
      <c r="AB626" s="84"/>
      <c r="AC626" s="84"/>
      <c r="AD626" s="84"/>
      <c r="AE626" s="84"/>
      <c r="AF626" s="84"/>
      <c r="AG626" s="84"/>
      <c r="AH626" s="84"/>
      <c r="AI626" s="84"/>
    </row>
    <row r="627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  <c r="AA627" s="84"/>
      <c r="AB627" s="84"/>
      <c r="AC627" s="84"/>
      <c r="AD627" s="84"/>
      <c r="AE627" s="84"/>
      <c r="AF627" s="84"/>
      <c r="AG627" s="84"/>
      <c r="AH627" s="84"/>
      <c r="AI627" s="84"/>
    </row>
    <row r="628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  <c r="AA628" s="84"/>
      <c r="AB628" s="84"/>
      <c r="AC628" s="84"/>
      <c r="AD628" s="84"/>
      <c r="AE628" s="84"/>
      <c r="AF628" s="84"/>
      <c r="AG628" s="84"/>
      <c r="AH628" s="84"/>
      <c r="AI628" s="84"/>
    </row>
    <row r="629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  <c r="AA629" s="84"/>
      <c r="AB629" s="84"/>
      <c r="AC629" s="84"/>
      <c r="AD629" s="84"/>
      <c r="AE629" s="84"/>
      <c r="AF629" s="84"/>
      <c r="AG629" s="84"/>
      <c r="AH629" s="84"/>
      <c r="AI629" s="84"/>
    </row>
    <row r="630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  <c r="AA630" s="84"/>
      <c r="AB630" s="84"/>
      <c r="AC630" s="84"/>
      <c r="AD630" s="84"/>
      <c r="AE630" s="84"/>
      <c r="AF630" s="84"/>
      <c r="AG630" s="84"/>
      <c r="AH630" s="84"/>
      <c r="AI630" s="84"/>
    </row>
    <row r="631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  <c r="AA631" s="84"/>
      <c r="AB631" s="84"/>
      <c r="AC631" s="84"/>
      <c r="AD631" s="84"/>
      <c r="AE631" s="84"/>
      <c r="AF631" s="84"/>
      <c r="AG631" s="84"/>
      <c r="AH631" s="84"/>
      <c r="AI631" s="84"/>
    </row>
    <row r="632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  <c r="AA632" s="84"/>
      <c r="AB632" s="84"/>
      <c r="AC632" s="84"/>
      <c r="AD632" s="84"/>
      <c r="AE632" s="84"/>
      <c r="AF632" s="84"/>
      <c r="AG632" s="84"/>
      <c r="AH632" s="84"/>
      <c r="AI632" s="84"/>
    </row>
    <row r="633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  <c r="AA633" s="84"/>
      <c r="AB633" s="84"/>
      <c r="AC633" s="84"/>
      <c r="AD633" s="84"/>
      <c r="AE633" s="84"/>
      <c r="AF633" s="84"/>
      <c r="AG633" s="84"/>
      <c r="AH633" s="84"/>
      <c r="AI633" s="84"/>
    </row>
    <row r="634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  <c r="AA634" s="84"/>
      <c r="AB634" s="84"/>
      <c r="AC634" s="84"/>
      <c r="AD634" s="84"/>
      <c r="AE634" s="84"/>
      <c r="AF634" s="84"/>
      <c r="AG634" s="84"/>
      <c r="AH634" s="84"/>
      <c r="AI634" s="84"/>
    </row>
    <row r="635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  <c r="AA635" s="84"/>
      <c r="AB635" s="84"/>
      <c r="AC635" s="84"/>
      <c r="AD635" s="84"/>
      <c r="AE635" s="84"/>
      <c r="AF635" s="84"/>
      <c r="AG635" s="84"/>
      <c r="AH635" s="84"/>
      <c r="AI635" s="84"/>
    </row>
    <row r="636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  <c r="AA636" s="84"/>
      <c r="AB636" s="84"/>
      <c r="AC636" s="84"/>
      <c r="AD636" s="84"/>
      <c r="AE636" s="84"/>
      <c r="AF636" s="84"/>
      <c r="AG636" s="84"/>
      <c r="AH636" s="84"/>
      <c r="AI636" s="84"/>
    </row>
    <row r="637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  <c r="AA637" s="84"/>
      <c r="AB637" s="84"/>
      <c r="AC637" s="84"/>
      <c r="AD637" s="84"/>
      <c r="AE637" s="84"/>
      <c r="AF637" s="84"/>
      <c r="AG637" s="84"/>
      <c r="AH637" s="84"/>
      <c r="AI637" s="84"/>
    </row>
    <row r="638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  <c r="AA638" s="84"/>
      <c r="AB638" s="84"/>
      <c r="AC638" s="84"/>
      <c r="AD638" s="84"/>
      <c r="AE638" s="84"/>
      <c r="AF638" s="84"/>
      <c r="AG638" s="84"/>
      <c r="AH638" s="84"/>
      <c r="AI638" s="84"/>
    </row>
    <row r="639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  <c r="AA639" s="84"/>
      <c r="AB639" s="84"/>
      <c r="AC639" s="84"/>
      <c r="AD639" s="84"/>
      <c r="AE639" s="84"/>
      <c r="AF639" s="84"/>
      <c r="AG639" s="84"/>
      <c r="AH639" s="84"/>
      <c r="AI639" s="84"/>
    </row>
    <row r="640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  <c r="AA640" s="84"/>
      <c r="AB640" s="84"/>
      <c r="AC640" s="84"/>
      <c r="AD640" s="84"/>
      <c r="AE640" s="84"/>
      <c r="AF640" s="84"/>
      <c r="AG640" s="84"/>
      <c r="AH640" s="84"/>
      <c r="AI640" s="84"/>
    </row>
    <row r="641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  <c r="AA641" s="84"/>
      <c r="AB641" s="84"/>
      <c r="AC641" s="84"/>
      <c r="AD641" s="84"/>
      <c r="AE641" s="84"/>
      <c r="AF641" s="84"/>
      <c r="AG641" s="84"/>
      <c r="AH641" s="84"/>
      <c r="AI641" s="84"/>
    </row>
    <row r="642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  <c r="AA642" s="84"/>
      <c r="AB642" s="84"/>
      <c r="AC642" s="84"/>
      <c r="AD642" s="84"/>
      <c r="AE642" s="84"/>
      <c r="AF642" s="84"/>
      <c r="AG642" s="84"/>
      <c r="AH642" s="84"/>
      <c r="AI642" s="84"/>
    </row>
    <row r="643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  <c r="AA643" s="84"/>
      <c r="AB643" s="84"/>
      <c r="AC643" s="84"/>
      <c r="AD643" s="84"/>
      <c r="AE643" s="84"/>
      <c r="AF643" s="84"/>
      <c r="AG643" s="84"/>
      <c r="AH643" s="84"/>
      <c r="AI643" s="84"/>
    </row>
    <row r="644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  <c r="AA644" s="84"/>
      <c r="AB644" s="84"/>
      <c r="AC644" s="84"/>
      <c r="AD644" s="84"/>
      <c r="AE644" s="84"/>
      <c r="AF644" s="84"/>
      <c r="AG644" s="84"/>
      <c r="AH644" s="84"/>
      <c r="AI644" s="84"/>
    </row>
    <row r="645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  <c r="AA645" s="84"/>
      <c r="AB645" s="84"/>
      <c r="AC645" s="84"/>
      <c r="AD645" s="84"/>
      <c r="AE645" s="84"/>
      <c r="AF645" s="84"/>
      <c r="AG645" s="84"/>
      <c r="AH645" s="84"/>
      <c r="AI645" s="84"/>
    </row>
    <row r="646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  <c r="AA646" s="84"/>
      <c r="AB646" s="84"/>
      <c r="AC646" s="84"/>
      <c r="AD646" s="84"/>
      <c r="AE646" s="84"/>
      <c r="AF646" s="84"/>
      <c r="AG646" s="84"/>
      <c r="AH646" s="84"/>
      <c r="AI646" s="84"/>
    </row>
    <row r="647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  <c r="AA647" s="84"/>
      <c r="AB647" s="84"/>
      <c r="AC647" s="84"/>
      <c r="AD647" s="84"/>
      <c r="AE647" s="84"/>
      <c r="AF647" s="84"/>
      <c r="AG647" s="84"/>
      <c r="AH647" s="84"/>
      <c r="AI647" s="84"/>
    </row>
    <row r="648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  <c r="AA648" s="84"/>
      <c r="AB648" s="84"/>
      <c r="AC648" s="84"/>
      <c r="AD648" s="84"/>
      <c r="AE648" s="84"/>
      <c r="AF648" s="84"/>
      <c r="AG648" s="84"/>
      <c r="AH648" s="84"/>
      <c r="AI648" s="84"/>
    </row>
    <row r="649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  <c r="AA649" s="84"/>
      <c r="AB649" s="84"/>
      <c r="AC649" s="84"/>
      <c r="AD649" s="84"/>
      <c r="AE649" s="84"/>
      <c r="AF649" s="84"/>
      <c r="AG649" s="84"/>
      <c r="AH649" s="84"/>
      <c r="AI649" s="84"/>
    </row>
    <row r="650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  <c r="AA650" s="84"/>
      <c r="AB650" s="84"/>
      <c r="AC650" s="84"/>
      <c r="AD650" s="84"/>
      <c r="AE650" s="84"/>
      <c r="AF650" s="84"/>
      <c r="AG650" s="84"/>
      <c r="AH650" s="84"/>
      <c r="AI650" s="84"/>
    </row>
    <row r="651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  <c r="AA651" s="84"/>
      <c r="AB651" s="84"/>
      <c r="AC651" s="84"/>
      <c r="AD651" s="84"/>
      <c r="AE651" s="84"/>
      <c r="AF651" s="84"/>
      <c r="AG651" s="84"/>
      <c r="AH651" s="84"/>
      <c r="AI651" s="84"/>
    </row>
    <row r="652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  <c r="AA652" s="84"/>
      <c r="AB652" s="84"/>
      <c r="AC652" s="84"/>
      <c r="AD652" s="84"/>
      <c r="AE652" s="84"/>
      <c r="AF652" s="84"/>
      <c r="AG652" s="84"/>
      <c r="AH652" s="84"/>
      <c r="AI652" s="84"/>
    </row>
    <row r="653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  <c r="AA653" s="84"/>
      <c r="AB653" s="84"/>
      <c r="AC653" s="84"/>
      <c r="AD653" s="84"/>
      <c r="AE653" s="84"/>
      <c r="AF653" s="84"/>
      <c r="AG653" s="84"/>
      <c r="AH653" s="84"/>
      <c r="AI653" s="84"/>
    </row>
    <row r="654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  <c r="AA654" s="84"/>
      <c r="AB654" s="84"/>
      <c r="AC654" s="84"/>
      <c r="AD654" s="84"/>
      <c r="AE654" s="84"/>
      <c r="AF654" s="84"/>
      <c r="AG654" s="84"/>
      <c r="AH654" s="84"/>
      <c r="AI654" s="84"/>
    </row>
    <row r="655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  <c r="AA655" s="84"/>
      <c r="AB655" s="84"/>
      <c r="AC655" s="84"/>
      <c r="AD655" s="84"/>
      <c r="AE655" s="84"/>
      <c r="AF655" s="84"/>
      <c r="AG655" s="84"/>
      <c r="AH655" s="84"/>
      <c r="AI655" s="84"/>
    </row>
    <row r="656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  <c r="AA656" s="84"/>
      <c r="AB656" s="84"/>
      <c r="AC656" s="84"/>
      <c r="AD656" s="84"/>
      <c r="AE656" s="84"/>
      <c r="AF656" s="84"/>
      <c r="AG656" s="84"/>
      <c r="AH656" s="84"/>
      <c r="AI656" s="84"/>
    </row>
    <row r="657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  <c r="AA657" s="84"/>
      <c r="AB657" s="84"/>
      <c r="AC657" s="84"/>
      <c r="AD657" s="84"/>
      <c r="AE657" s="84"/>
      <c r="AF657" s="84"/>
      <c r="AG657" s="84"/>
      <c r="AH657" s="84"/>
      <c r="AI657" s="84"/>
    </row>
    <row r="658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  <c r="AA658" s="84"/>
      <c r="AB658" s="84"/>
      <c r="AC658" s="84"/>
      <c r="AD658" s="84"/>
      <c r="AE658" s="84"/>
      <c r="AF658" s="84"/>
      <c r="AG658" s="84"/>
      <c r="AH658" s="84"/>
      <c r="AI658" s="84"/>
    </row>
    <row r="659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  <c r="AA659" s="84"/>
      <c r="AB659" s="84"/>
      <c r="AC659" s="84"/>
      <c r="AD659" s="84"/>
      <c r="AE659" s="84"/>
      <c r="AF659" s="84"/>
      <c r="AG659" s="84"/>
      <c r="AH659" s="84"/>
      <c r="AI659" s="84"/>
    </row>
    <row r="660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  <c r="AA660" s="84"/>
      <c r="AB660" s="84"/>
      <c r="AC660" s="84"/>
      <c r="AD660" s="84"/>
      <c r="AE660" s="84"/>
      <c r="AF660" s="84"/>
      <c r="AG660" s="84"/>
      <c r="AH660" s="84"/>
      <c r="AI660" s="84"/>
    </row>
    <row r="661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  <c r="AA661" s="84"/>
      <c r="AB661" s="84"/>
      <c r="AC661" s="84"/>
      <c r="AD661" s="84"/>
      <c r="AE661" s="84"/>
      <c r="AF661" s="84"/>
      <c r="AG661" s="84"/>
      <c r="AH661" s="84"/>
      <c r="AI661" s="84"/>
    </row>
    <row r="662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  <c r="AA662" s="84"/>
      <c r="AB662" s="84"/>
      <c r="AC662" s="84"/>
      <c r="AD662" s="84"/>
      <c r="AE662" s="84"/>
      <c r="AF662" s="84"/>
      <c r="AG662" s="84"/>
      <c r="AH662" s="84"/>
      <c r="AI662" s="84"/>
    </row>
    <row r="663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  <c r="AA663" s="84"/>
      <c r="AB663" s="84"/>
      <c r="AC663" s="84"/>
      <c r="AD663" s="84"/>
      <c r="AE663" s="84"/>
      <c r="AF663" s="84"/>
      <c r="AG663" s="84"/>
      <c r="AH663" s="84"/>
      <c r="AI663" s="84"/>
    </row>
    <row r="664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  <c r="AA664" s="84"/>
      <c r="AB664" s="84"/>
      <c r="AC664" s="84"/>
      <c r="AD664" s="84"/>
      <c r="AE664" s="84"/>
      <c r="AF664" s="84"/>
      <c r="AG664" s="84"/>
      <c r="AH664" s="84"/>
      <c r="AI664" s="84"/>
    </row>
    <row r="665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  <c r="AA665" s="84"/>
      <c r="AB665" s="84"/>
      <c r="AC665" s="84"/>
      <c r="AD665" s="84"/>
      <c r="AE665" s="84"/>
      <c r="AF665" s="84"/>
      <c r="AG665" s="84"/>
      <c r="AH665" s="84"/>
      <c r="AI665" s="84"/>
    </row>
    <row r="666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  <c r="AA666" s="84"/>
      <c r="AB666" s="84"/>
      <c r="AC666" s="84"/>
      <c r="AD666" s="84"/>
      <c r="AE666" s="84"/>
      <c r="AF666" s="84"/>
      <c r="AG666" s="84"/>
      <c r="AH666" s="84"/>
      <c r="AI666" s="84"/>
    </row>
    <row r="667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  <c r="AA667" s="84"/>
      <c r="AB667" s="84"/>
      <c r="AC667" s="84"/>
      <c r="AD667" s="84"/>
      <c r="AE667" s="84"/>
      <c r="AF667" s="84"/>
      <c r="AG667" s="84"/>
      <c r="AH667" s="84"/>
      <c r="AI667" s="84"/>
    </row>
    <row r="668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  <c r="AA668" s="84"/>
      <c r="AB668" s="84"/>
      <c r="AC668" s="84"/>
      <c r="AD668" s="84"/>
      <c r="AE668" s="84"/>
      <c r="AF668" s="84"/>
      <c r="AG668" s="84"/>
      <c r="AH668" s="84"/>
      <c r="AI668" s="84"/>
    </row>
    <row r="669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  <c r="AA669" s="84"/>
      <c r="AB669" s="84"/>
      <c r="AC669" s="84"/>
      <c r="AD669" s="84"/>
      <c r="AE669" s="84"/>
      <c r="AF669" s="84"/>
      <c r="AG669" s="84"/>
      <c r="AH669" s="84"/>
      <c r="AI669" s="84"/>
    </row>
    <row r="670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  <c r="AA670" s="84"/>
      <c r="AB670" s="84"/>
      <c r="AC670" s="84"/>
      <c r="AD670" s="84"/>
      <c r="AE670" s="84"/>
      <c r="AF670" s="84"/>
      <c r="AG670" s="84"/>
      <c r="AH670" s="84"/>
      <c r="AI670" s="84"/>
    </row>
    <row r="671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  <c r="AA671" s="84"/>
      <c r="AB671" s="84"/>
      <c r="AC671" s="84"/>
      <c r="AD671" s="84"/>
      <c r="AE671" s="84"/>
      <c r="AF671" s="84"/>
      <c r="AG671" s="84"/>
      <c r="AH671" s="84"/>
      <c r="AI671" s="84"/>
    </row>
    <row r="672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  <c r="AA672" s="84"/>
      <c r="AB672" s="84"/>
      <c r="AC672" s="84"/>
      <c r="AD672" s="84"/>
      <c r="AE672" s="84"/>
      <c r="AF672" s="84"/>
      <c r="AG672" s="84"/>
      <c r="AH672" s="84"/>
      <c r="AI672" s="84"/>
    </row>
    <row r="673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  <c r="AA673" s="84"/>
      <c r="AB673" s="84"/>
      <c r="AC673" s="84"/>
      <c r="AD673" s="84"/>
      <c r="AE673" s="84"/>
      <c r="AF673" s="84"/>
      <c r="AG673" s="84"/>
      <c r="AH673" s="84"/>
      <c r="AI673" s="84"/>
    </row>
    <row r="674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  <c r="AA674" s="84"/>
      <c r="AB674" s="84"/>
      <c r="AC674" s="84"/>
      <c r="AD674" s="84"/>
      <c r="AE674" s="84"/>
      <c r="AF674" s="84"/>
      <c r="AG674" s="84"/>
      <c r="AH674" s="84"/>
      <c r="AI674" s="84"/>
    </row>
    <row r="675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  <c r="AA675" s="84"/>
      <c r="AB675" s="84"/>
      <c r="AC675" s="84"/>
      <c r="AD675" s="84"/>
      <c r="AE675" s="84"/>
      <c r="AF675" s="84"/>
      <c r="AG675" s="84"/>
      <c r="AH675" s="84"/>
      <c r="AI675" s="84"/>
    </row>
    <row r="676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  <c r="AA676" s="84"/>
      <c r="AB676" s="84"/>
      <c r="AC676" s="84"/>
      <c r="AD676" s="84"/>
      <c r="AE676" s="84"/>
      <c r="AF676" s="84"/>
      <c r="AG676" s="84"/>
      <c r="AH676" s="84"/>
      <c r="AI676" s="84"/>
    </row>
    <row r="677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  <c r="AA677" s="84"/>
      <c r="AB677" s="84"/>
      <c r="AC677" s="84"/>
      <c r="AD677" s="84"/>
      <c r="AE677" s="84"/>
      <c r="AF677" s="84"/>
      <c r="AG677" s="84"/>
      <c r="AH677" s="84"/>
      <c r="AI677" s="84"/>
    </row>
    <row r="678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  <c r="AA678" s="84"/>
      <c r="AB678" s="84"/>
      <c r="AC678" s="84"/>
      <c r="AD678" s="84"/>
      <c r="AE678" s="84"/>
      <c r="AF678" s="84"/>
      <c r="AG678" s="84"/>
      <c r="AH678" s="84"/>
      <c r="AI678" s="84"/>
    </row>
    <row r="679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  <c r="AA679" s="84"/>
      <c r="AB679" s="84"/>
      <c r="AC679" s="84"/>
      <c r="AD679" s="84"/>
      <c r="AE679" s="84"/>
      <c r="AF679" s="84"/>
      <c r="AG679" s="84"/>
      <c r="AH679" s="84"/>
      <c r="AI679" s="84"/>
    </row>
    <row r="680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  <c r="AA680" s="84"/>
      <c r="AB680" s="84"/>
      <c r="AC680" s="84"/>
      <c r="AD680" s="84"/>
      <c r="AE680" s="84"/>
      <c r="AF680" s="84"/>
      <c r="AG680" s="84"/>
      <c r="AH680" s="84"/>
      <c r="AI680" s="84"/>
    </row>
    <row r="681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  <c r="AA681" s="84"/>
      <c r="AB681" s="84"/>
      <c r="AC681" s="84"/>
      <c r="AD681" s="84"/>
      <c r="AE681" s="84"/>
      <c r="AF681" s="84"/>
      <c r="AG681" s="84"/>
      <c r="AH681" s="84"/>
      <c r="AI681" s="84"/>
    </row>
    <row r="682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  <c r="AA682" s="84"/>
      <c r="AB682" s="84"/>
      <c r="AC682" s="84"/>
      <c r="AD682" s="84"/>
      <c r="AE682" s="84"/>
      <c r="AF682" s="84"/>
      <c r="AG682" s="84"/>
      <c r="AH682" s="84"/>
      <c r="AI682" s="84"/>
    </row>
    <row r="683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  <c r="AA683" s="84"/>
      <c r="AB683" s="84"/>
      <c r="AC683" s="84"/>
      <c r="AD683" s="84"/>
      <c r="AE683" s="84"/>
      <c r="AF683" s="84"/>
      <c r="AG683" s="84"/>
      <c r="AH683" s="84"/>
      <c r="AI683" s="84"/>
    </row>
    <row r="684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  <c r="AA684" s="84"/>
      <c r="AB684" s="84"/>
      <c r="AC684" s="84"/>
      <c r="AD684" s="84"/>
      <c r="AE684" s="84"/>
      <c r="AF684" s="84"/>
      <c r="AG684" s="84"/>
      <c r="AH684" s="84"/>
      <c r="AI684" s="84"/>
    </row>
    <row r="685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  <c r="AA685" s="84"/>
      <c r="AB685" s="84"/>
      <c r="AC685" s="84"/>
      <c r="AD685" s="84"/>
      <c r="AE685" s="84"/>
      <c r="AF685" s="84"/>
      <c r="AG685" s="84"/>
      <c r="AH685" s="84"/>
      <c r="AI685" s="84"/>
    </row>
    <row r="686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  <c r="AA686" s="84"/>
      <c r="AB686" s="84"/>
      <c r="AC686" s="84"/>
      <c r="AD686" s="84"/>
      <c r="AE686" s="84"/>
      <c r="AF686" s="84"/>
      <c r="AG686" s="84"/>
      <c r="AH686" s="84"/>
      <c r="AI686" s="84"/>
    </row>
    <row r="687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  <c r="AA687" s="84"/>
      <c r="AB687" s="84"/>
      <c r="AC687" s="84"/>
      <c r="AD687" s="84"/>
      <c r="AE687" s="84"/>
      <c r="AF687" s="84"/>
      <c r="AG687" s="84"/>
      <c r="AH687" s="84"/>
      <c r="AI687" s="84"/>
    </row>
    <row r="688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  <c r="AA688" s="84"/>
      <c r="AB688" s="84"/>
      <c r="AC688" s="84"/>
      <c r="AD688" s="84"/>
      <c r="AE688" s="84"/>
      <c r="AF688" s="84"/>
      <c r="AG688" s="84"/>
      <c r="AH688" s="84"/>
      <c r="AI688" s="84"/>
    </row>
    <row r="689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  <c r="AA689" s="84"/>
      <c r="AB689" s="84"/>
      <c r="AC689" s="84"/>
      <c r="AD689" s="84"/>
      <c r="AE689" s="84"/>
      <c r="AF689" s="84"/>
      <c r="AG689" s="84"/>
      <c r="AH689" s="84"/>
      <c r="AI689" s="84"/>
    </row>
    <row r="690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  <c r="AA690" s="84"/>
      <c r="AB690" s="84"/>
      <c r="AC690" s="84"/>
      <c r="AD690" s="84"/>
      <c r="AE690" s="84"/>
      <c r="AF690" s="84"/>
      <c r="AG690" s="84"/>
      <c r="AH690" s="84"/>
      <c r="AI690" s="84"/>
    </row>
    <row r="691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  <c r="AA691" s="84"/>
      <c r="AB691" s="84"/>
      <c r="AC691" s="84"/>
      <c r="AD691" s="84"/>
      <c r="AE691" s="84"/>
      <c r="AF691" s="84"/>
      <c r="AG691" s="84"/>
      <c r="AH691" s="84"/>
      <c r="AI691" s="84"/>
    </row>
    <row r="692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  <c r="AA692" s="84"/>
      <c r="AB692" s="84"/>
      <c r="AC692" s="84"/>
      <c r="AD692" s="84"/>
      <c r="AE692" s="84"/>
      <c r="AF692" s="84"/>
      <c r="AG692" s="84"/>
      <c r="AH692" s="84"/>
      <c r="AI692" s="84"/>
    </row>
    <row r="693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  <c r="AA693" s="84"/>
      <c r="AB693" s="84"/>
      <c r="AC693" s="84"/>
      <c r="AD693" s="84"/>
      <c r="AE693" s="84"/>
      <c r="AF693" s="84"/>
      <c r="AG693" s="84"/>
      <c r="AH693" s="84"/>
      <c r="AI693" s="84"/>
    </row>
    <row r="694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  <c r="AA694" s="84"/>
      <c r="AB694" s="84"/>
      <c r="AC694" s="84"/>
      <c r="AD694" s="84"/>
      <c r="AE694" s="84"/>
      <c r="AF694" s="84"/>
      <c r="AG694" s="84"/>
      <c r="AH694" s="84"/>
      <c r="AI694" s="84"/>
    </row>
    <row r="695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  <c r="AA695" s="84"/>
      <c r="AB695" s="84"/>
      <c r="AC695" s="84"/>
      <c r="AD695" s="84"/>
      <c r="AE695" s="84"/>
      <c r="AF695" s="84"/>
      <c r="AG695" s="84"/>
      <c r="AH695" s="84"/>
      <c r="AI695" s="84"/>
    </row>
    <row r="696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  <c r="AA696" s="84"/>
      <c r="AB696" s="84"/>
      <c r="AC696" s="84"/>
      <c r="AD696" s="84"/>
      <c r="AE696" s="84"/>
      <c r="AF696" s="84"/>
      <c r="AG696" s="84"/>
      <c r="AH696" s="84"/>
      <c r="AI696" s="84"/>
    </row>
    <row r="697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  <c r="AA697" s="84"/>
      <c r="AB697" s="84"/>
      <c r="AC697" s="84"/>
      <c r="AD697" s="84"/>
      <c r="AE697" s="84"/>
      <c r="AF697" s="84"/>
      <c r="AG697" s="84"/>
      <c r="AH697" s="84"/>
      <c r="AI697" s="84"/>
    </row>
    <row r="698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  <c r="AA698" s="84"/>
      <c r="AB698" s="84"/>
      <c r="AC698" s="84"/>
      <c r="AD698" s="84"/>
      <c r="AE698" s="84"/>
      <c r="AF698" s="84"/>
      <c r="AG698" s="84"/>
      <c r="AH698" s="84"/>
      <c r="AI698" s="84"/>
    </row>
    <row r="699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  <c r="AA699" s="84"/>
      <c r="AB699" s="84"/>
      <c r="AC699" s="84"/>
      <c r="AD699" s="84"/>
      <c r="AE699" s="84"/>
      <c r="AF699" s="84"/>
      <c r="AG699" s="84"/>
      <c r="AH699" s="84"/>
      <c r="AI699" s="84"/>
    </row>
    <row r="700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  <c r="AA700" s="84"/>
      <c r="AB700" s="84"/>
      <c r="AC700" s="84"/>
      <c r="AD700" s="84"/>
      <c r="AE700" s="84"/>
      <c r="AF700" s="84"/>
      <c r="AG700" s="84"/>
      <c r="AH700" s="84"/>
      <c r="AI700" s="84"/>
    </row>
    <row r="701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  <c r="AA701" s="84"/>
      <c r="AB701" s="84"/>
      <c r="AC701" s="84"/>
      <c r="AD701" s="84"/>
      <c r="AE701" s="84"/>
      <c r="AF701" s="84"/>
      <c r="AG701" s="84"/>
      <c r="AH701" s="84"/>
      <c r="AI701" s="84"/>
    </row>
    <row r="702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  <c r="AA702" s="84"/>
      <c r="AB702" s="84"/>
      <c r="AC702" s="84"/>
      <c r="AD702" s="84"/>
      <c r="AE702" s="84"/>
      <c r="AF702" s="84"/>
      <c r="AG702" s="84"/>
      <c r="AH702" s="84"/>
      <c r="AI702" s="84"/>
    </row>
    <row r="703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  <c r="AA703" s="84"/>
      <c r="AB703" s="84"/>
      <c r="AC703" s="84"/>
      <c r="AD703" s="84"/>
      <c r="AE703" s="84"/>
      <c r="AF703" s="84"/>
      <c r="AG703" s="84"/>
      <c r="AH703" s="84"/>
      <c r="AI703" s="84"/>
    </row>
    <row r="704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  <c r="AA704" s="84"/>
      <c r="AB704" s="84"/>
      <c r="AC704" s="84"/>
      <c r="AD704" s="84"/>
      <c r="AE704" s="84"/>
      <c r="AF704" s="84"/>
      <c r="AG704" s="84"/>
      <c r="AH704" s="84"/>
      <c r="AI704" s="84"/>
    </row>
    <row r="705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  <c r="AA705" s="84"/>
      <c r="AB705" s="84"/>
      <c r="AC705" s="84"/>
      <c r="AD705" s="84"/>
      <c r="AE705" s="84"/>
      <c r="AF705" s="84"/>
      <c r="AG705" s="84"/>
      <c r="AH705" s="84"/>
      <c r="AI705" s="84"/>
    </row>
    <row r="706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  <c r="AA706" s="84"/>
      <c r="AB706" s="84"/>
      <c r="AC706" s="84"/>
      <c r="AD706" s="84"/>
      <c r="AE706" s="84"/>
      <c r="AF706" s="84"/>
      <c r="AG706" s="84"/>
      <c r="AH706" s="84"/>
      <c r="AI706" s="84"/>
    </row>
    <row r="707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  <c r="AA707" s="84"/>
      <c r="AB707" s="84"/>
      <c r="AC707" s="84"/>
      <c r="AD707" s="84"/>
      <c r="AE707" s="84"/>
      <c r="AF707" s="84"/>
      <c r="AG707" s="84"/>
      <c r="AH707" s="84"/>
      <c r="AI707" s="84"/>
    </row>
    <row r="708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  <c r="AA708" s="84"/>
      <c r="AB708" s="84"/>
      <c r="AC708" s="84"/>
      <c r="AD708" s="84"/>
      <c r="AE708" s="84"/>
      <c r="AF708" s="84"/>
      <c r="AG708" s="84"/>
      <c r="AH708" s="84"/>
      <c r="AI708" s="84"/>
    </row>
    <row r="709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  <c r="AA709" s="84"/>
      <c r="AB709" s="84"/>
      <c r="AC709" s="84"/>
      <c r="AD709" s="84"/>
      <c r="AE709" s="84"/>
      <c r="AF709" s="84"/>
      <c r="AG709" s="84"/>
      <c r="AH709" s="84"/>
      <c r="AI709" s="84"/>
    </row>
    <row r="710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  <c r="AA710" s="84"/>
      <c r="AB710" s="84"/>
      <c r="AC710" s="84"/>
      <c r="AD710" s="84"/>
      <c r="AE710" s="84"/>
      <c r="AF710" s="84"/>
      <c r="AG710" s="84"/>
      <c r="AH710" s="84"/>
      <c r="AI710" s="84"/>
    </row>
    <row r="711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  <c r="AA711" s="84"/>
      <c r="AB711" s="84"/>
      <c r="AC711" s="84"/>
      <c r="AD711" s="84"/>
      <c r="AE711" s="84"/>
      <c r="AF711" s="84"/>
      <c r="AG711" s="84"/>
      <c r="AH711" s="84"/>
      <c r="AI711" s="84"/>
    </row>
    <row r="712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  <c r="AA712" s="84"/>
      <c r="AB712" s="84"/>
      <c r="AC712" s="84"/>
      <c r="AD712" s="84"/>
      <c r="AE712" s="84"/>
      <c r="AF712" s="84"/>
      <c r="AG712" s="84"/>
      <c r="AH712" s="84"/>
      <c r="AI712" s="84"/>
    </row>
    <row r="713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  <c r="AA713" s="84"/>
      <c r="AB713" s="84"/>
      <c r="AC713" s="84"/>
      <c r="AD713" s="84"/>
      <c r="AE713" s="84"/>
      <c r="AF713" s="84"/>
      <c r="AG713" s="84"/>
      <c r="AH713" s="84"/>
      <c r="AI713" s="84"/>
    </row>
    <row r="714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  <c r="AA714" s="84"/>
      <c r="AB714" s="84"/>
      <c r="AC714" s="84"/>
      <c r="AD714" s="84"/>
      <c r="AE714" s="84"/>
      <c r="AF714" s="84"/>
      <c r="AG714" s="84"/>
      <c r="AH714" s="84"/>
      <c r="AI714" s="84"/>
    </row>
    <row r="715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  <c r="AA715" s="84"/>
      <c r="AB715" s="84"/>
      <c r="AC715" s="84"/>
      <c r="AD715" s="84"/>
      <c r="AE715" s="84"/>
      <c r="AF715" s="84"/>
      <c r="AG715" s="84"/>
      <c r="AH715" s="84"/>
      <c r="AI715" s="84"/>
    </row>
    <row r="716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  <c r="AA716" s="84"/>
      <c r="AB716" s="84"/>
      <c r="AC716" s="84"/>
      <c r="AD716" s="84"/>
      <c r="AE716" s="84"/>
      <c r="AF716" s="84"/>
      <c r="AG716" s="84"/>
      <c r="AH716" s="84"/>
      <c r="AI716" s="84"/>
    </row>
    <row r="717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  <c r="AA717" s="84"/>
      <c r="AB717" s="84"/>
      <c r="AC717" s="84"/>
      <c r="AD717" s="84"/>
      <c r="AE717" s="84"/>
      <c r="AF717" s="84"/>
      <c r="AG717" s="84"/>
      <c r="AH717" s="84"/>
      <c r="AI717" s="84"/>
    </row>
    <row r="718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  <c r="AA718" s="84"/>
      <c r="AB718" s="84"/>
      <c r="AC718" s="84"/>
      <c r="AD718" s="84"/>
      <c r="AE718" s="84"/>
      <c r="AF718" s="84"/>
      <c r="AG718" s="84"/>
      <c r="AH718" s="84"/>
      <c r="AI718" s="84"/>
    </row>
    <row r="719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  <c r="AA719" s="84"/>
      <c r="AB719" s="84"/>
      <c r="AC719" s="84"/>
      <c r="AD719" s="84"/>
      <c r="AE719" s="84"/>
      <c r="AF719" s="84"/>
      <c r="AG719" s="84"/>
      <c r="AH719" s="84"/>
      <c r="AI719" s="84"/>
    </row>
    <row r="720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  <c r="AA720" s="84"/>
      <c r="AB720" s="84"/>
      <c r="AC720" s="84"/>
      <c r="AD720" s="84"/>
      <c r="AE720" s="84"/>
      <c r="AF720" s="84"/>
      <c r="AG720" s="84"/>
      <c r="AH720" s="84"/>
      <c r="AI720" s="84"/>
    </row>
    <row r="721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  <c r="AA721" s="84"/>
      <c r="AB721" s="84"/>
      <c r="AC721" s="84"/>
      <c r="AD721" s="84"/>
      <c r="AE721" s="84"/>
      <c r="AF721" s="84"/>
      <c r="AG721" s="84"/>
      <c r="AH721" s="84"/>
      <c r="AI721" s="84"/>
    </row>
    <row r="722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  <c r="AA722" s="84"/>
      <c r="AB722" s="84"/>
      <c r="AC722" s="84"/>
      <c r="AD722" s="84"/>
      <c r="AE722" s="84"/>
      <c r="AF722" s="84"/>
      <c r="AG722" s="84"/>
      <c r="AH722" s="84"/>
      <c r="AI722" s="84"/>
    </row>
    <row r="723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  <c r="AA723" s="84"/>
      <c r="AB723" s="84"/>
      <c r="AC723" s="84"/>
      <c r="AD723" s="84"/>
      <c r="AE723" s="84"/>
      <c r="AF723" s="84"/>
      <c r="AG723" s="84"/>
      <c r="AH723" s="84"/>
      <c r="AI723" s="84"/>
    </row>
    <row r="724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  <c r="AA724" s="84"/>
      <c r="AB724" s="84"/>
      <c r="AC724" s="84"/>
      <c r="AD724" s="84"/>
      <c r="AE724" s="84"/>
      <c r="AF724" s="84"/>
      <c r="AG724" s="84"/>
      <c r="AH724" s="84"/>
      <c r="AI724" s="84"/>
    </row>
    <row r="725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  <c r="AA725" s="84"/>
      <c r="AB725" s="84"/>
      <c r="AC725" s="84"/>
      <c r="AD725" s="84"/>
      <c r="AE725" s="84"/>
      <c r="AF725" s="84"/>
      <c r="AG725" s="84"/>
      <c r="AH725" s="84"/>
      <c r="AI725" s="84"/>
    </row>
    <row r="726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  <c r="AA726" s="84"/>
      <c r="AB726" s="84"/>
      <c r="AC726" s="84"/>
      <c r="AD726" s="84"/>
      <c r="AE726" s="84"/>
      <c r="AF726" s="84"/>
      <c r="AG726" s="84"/>
      <c r="AH726" s="84"/>
      <c r="AI726" s="84"/>
    </row>
    <row r="727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  <c r="AA727" s="84"/>
      <c r="AB727" s="84"/>
      <c r="AC727" s="84"/>
      <c r="AD727" s="84"/>
      <c r="AE727" s="84"/>
      <c r="AF727" s="84"/>
      <c r="AG727" s="84"/>
      <c r="AH727" s="84"/>
      <c r="AI727" s="84"/>
    </row>
    <row r="728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  <c r="AA728" s="84"/>
      <c r="AB728" s="84"/>
      <c r="AC728" s="84"/>
      <c r="AD728" s="84"/>
      <c r="AE728" s="84"/>
      <c r="AF728" s="84"/>
      <c r="AG728" s="84"/>
      <c r="AH728" s="84"/>
      <c r="AI728" s="84"/>
    </row>
    <row r="729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  <c r="AA729" s="84"/>
      <c r="AB729" s="84"/>
      <c r="AC729" s="84"/>
      <c r="AD729" s="84"/>
      <c r="AE729" s="84"/>
      <c r="AF729" s="84"/>
      <c r="AG729" s="84"/>
      <c r="AH729" s="84"/>
      <c r="AI729" s="84"/>
    </row>
    <row r="730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  <c r="AA730" s="84"/>
      <c r="AB730" s="84"/>
      <c r="AC730" s="84"/>
      <c r="AD730" s="84"/>
      <c r="AE730" s="84"/>
      <c r="AF730" s="84"/>
      <c r="AG730" s="84"/>
      <c r="AH730" s="84"/>
      <c r="AI730" s="84"/>
    </row>
    <row r="731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  <c r="AA731" s="84"/>
      <c r="AB731" s="84"/>
      <c r="AC731" s="84"/>
      <c r="AD731" s="84"/>
      <c r="AE731" s="84"/>
      <c r="AF731" s="84"/>
      <c r="AG731" s="84"/>
      <c r="AH731" s="84"/>
      <c r="AI731" s="84"/>
    </row>
    <row r="732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  <c r="AA732" s="84"/>
      <c r="AB732" s="84"/>
      <c r="AC732" s="84"/>
      <c r="AD732" s="84"/>
      <c r="AE732" s="84"/>
      <c r="AF732" s="84"/>
      <c r="AG732" s="84"/>
      <c r="AH732" s="84"/>
      <c r="AI732" s="84"/>
    </row>
    <row r="733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  <c r="AA733" s="84"/>
      <c r="AB733" s="84"/>
      <c r="AC733" s="84"/>
      <c r="AD733" s="84"/>
      <c r="AE733" s="84"/>
      <c r="AF733" s="84"/>
      <c r="AG733" s="84"/>
      <c r="AH733" s="84"/>
      <c r="AI733" s="84"/>
    </row>
    <row r="734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  <c r="AA734" s="84"/>
      <c r="AB734" s="84"/>
      <c r="AC734" s="84"/>
      <c r="AD734" s="84"/>
      <c r="AE734" s="84"/>
      <c r="AF734" s="84"/>
      <c r="AG734" s="84"/>
      <c r="AH734" s="84"/>
      <c r="AI734" s="84"/>
    </row>
    <row r="735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  <c r="AA735" s="84"/>
      <c r="AB735" s="84"/>
      <c r="AC735" s="84"/>
      <c r="AD735" s="84"/>
      <c r="AE735" s="84"/>
      <c r="AF735" s="84"/>
      <c r="AG735" s="84"/>
      <c r="AH735" s="84"/>
      <c r="AI735" s="84"/>
    </row>
    <row r="736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  <c r="AA736" s="84"/>
      <c r="AB736" s="84"/>
      <c r="AC736" s="84"/>
      <c r="AD736" s="84"/>
      <c r="AE736" s="84"/>
      <c r="AF736" s="84"/>
      <c r="AG736" s="84"/>
      <c r="AH736" s="84"/>
      <c r="AI736" s="84"/>
    </row>
    <row r="737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  <c r="AA737" s="84"/>
      <c r="AB737" s="84"/>
      <c r="AC737" s="84"/>
      <c r="AD737" s="84"/>
      <c r="AE737" s="84"/>
      <c r="AF737" s="84"/>
      <c r="AG737" s="84"/>
      <c r="AH737" s="84"/>
      <c r="AI737" s="84"/>
    </row>
    <row r="738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  <c r="AA738" s="84"/>
      <c r="AB738" s="84"/>
      <c r="AC738" s="84"/>
      <c r="AD738" s="84"/>
      <c r="AE738" s="84"/>
      <c r="AF738" s="84"/>
      <c r="AG738" s="84"/>
      <c r="AH738" s="84"/>
      <c r="AI738" s="84"/>
    </row>
    <row r="739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  <c r="AA739" s="84"/>
      <c r="AB739" s="84"/>
      <c r="AC739" s="84"/>
      <c r="AD739" s="84"/>
      <c r="AE739" s="84"/>
      <c r="AF739" s="84"/>
      <c r="AG739" s="84"/>
      <c r="AH739" s="84"/>
      <c r="AI739" s="84"/>
    </row>
    <row r="740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  <c r="AA740" s="84"/>
      <c r="AB740" s="84"/>
      <c r="AC740" s="84"/>
      <c r="AD740" s="84"/>
      <c r="AE740" s="84"/>
      <c r="AF740" s="84"/>
      <c r="AG740" s="84"/>
      <c r="AH740" s="84"/>
      <c r="AI740" s="84"/>
    </row>
    <row r="741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  <c r="AA741" s="84"/>
      <c r="AB741" s="84"/>
      <c r="AC741" s="84"/>
      <c r="AD741" s="84"/>
      <c r="AE741" s="84"/>
      <c r="AF741" s="84"/>
      <c r="AG741" s="84"/>
      <c r="AH741" s="84"/>
      <c r="AI741" s="84"/>
    </row>
    <row r="742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  <c r="AA742" s="84"/>
      <c r="AB742" s="84"/>
      <c r="AC742" s="84"/>
      <c r="AD742" s="84"/>
      <c r="AE742" s="84"/>
      <c r="AF742" s="84"/>
      <c r="AG742" s="84"/>
      <c r="AH742" s="84"/>
      <c r="AI742" s="84"/>
    </row>
    <row r="743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  <c r="AA743" s="84"/>
      <c r="AB743" s="84"/>
      <c r="AC743" s="84"/>
      <c r="AD743" s="84"/>
      <c r="AE743" s="84"/>
      <c r="AF743" s="84"/>
      <c r="AG743" s="84"/>
      <c r="AH743" s="84"/>
      <c r="AI743" s="84"/>
    </row>
    <row r="744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  <c r="AA744" s="84"/>
      <c r="AB744" s="84"/>
      <c r="AC744" s="84"/>
      <c r="AD744" s="84"/>
      <c r="AE744" s="84"/>
      <c r="AF744" s="84"/>
      <c r="AG744" s="84"/>
      <c r="AH744" s="84"/>
      <c r="AI744" s="84"/>
    </row>
    <row r="745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  <c r="AA745" s="84"/>
      <c r="AB745" s="84"/>
      <c r="AC745" s="84"/>
      <c r="AD745" s="84"/>
      <c r="AE745" s="84"/>
      <c r="AF745" s="84"/>
      <c r="AG745" s="84"/>
      <c r="AH745" s="84"/>
      <c r="AI745" s="84"/>
    </row>
    <row r="746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  <c r="AA746" s="84"/>
      <c r="AB746" s="84"/>
      <c r="AC746" s="84"/>
      <c r="AD746" s="84"/>
      <c r="AE746" s="84"/>
      <c r="AF746" s="84"/>
      <c r="AG746" s="84"/>
      <c r="AH746" s="84"/>
      <c r="AI746" s="84"/>
    </row>
    <row r="747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  <c r="AA747" s="84"/>
      <c r="AB747" s="84"/>
      <c r="AC747" s="84"/>
      <c r="AD747" s="84"/>
      <c r="AE747" s="84"/>
      <c r="AF747" s="84"/>
      <c r="AG747" s="84"/>
      <c r="AH747" s="84"/>
      <c r="AI747" s="84"/>
    </row>
    <row r="748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  <c r="AA748" s="84"/>
      <c r="AB748" s="84"/>
      <c r="AC748" s="84"/>
      <c r="AD748" s="84"/>
      <c r="AE748" s="84"/>
      <c r="AF748" s="84"/>
      <c r="AG748" s="84"/>
      <c r="AH748" s="84"/>
      <c r="AI748" s="84"/>
    </row>
    <row r="749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  <c r="AA749" s="84"/>
      <c r="AB749" s="84"/>
      <c r="AC749" s="84"/>
      <c r="AD749" s="84"/>
      <c r="AE749" s="84"/>
      <c r="AF749" s="84"/>
      <c r="AG749" s="84"/>
      <c r="AH749" s="84"/>
      <c r="AI749" s="84"/>
    </row>
    <row r="750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  <c r="AA750" s="84"/>
      <c r="AB750" s="84"/>
      <c r="AC750" s="84"/>
      <c r="AD750" s="84"/>
      <c r="AE750" s="84"/>
      <c r="AF750" s="84"/>
      <c r="AG750" s="84"/>
      <c r="AH750" s="84"/>
      <c r="AI750" s="84"/>
    </row>
    <row r="751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  <c r="AA751" s="84"/>
      <c r="AB751" s="84"/>
      <c r="AC751" s="84"/>
      <c r="AD751" s="84"/>
      <c r="AE751" s="84"/>
      <c r="AF751" s="84"/>
      <c r="AG751" s="84"/>
      <c r="AH751" s="84"/>
      <c r="AI751" s="84"/>
    </row>
    <row r="752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  <c r="AA752" s="84"/>
      <c r="AB752" s="84"/>
      <c r="AC752" s="84"/>
      <c r="AD752" s="84"/>
      <c r="AE752" s="84"/>
      <c r="AF752" s="84"/>
      <c r="AG752" s="84"/>
      <c r="AH752" s="84"/>
      <c r="AI752" s="84"/>
    </row>
    <row r="753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  <c r="AA753" s="84"/>
      <c r="AB753" s="84"/>
      <c r="AC753" s="84"/>
      <c r="AD753" s="84"/>
      <c r="AE753" s="84"/>
      <c r="AF753" s="84"/>
      <c r="AG753" s="84"/>
      <c r="AH753" s="84"/>
      <c r="AI753" s="84"/>
    </row>
    <row r="754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  <c r="AA754" s="84"/>
      <c r="AB754" s="84"/>
      <c r="AC754" s="84"/>
      <c r="AD754" s="84"/>
      <c r="AE754" s="84"/>
      <c r="AF754" s="84"/>
      <c r="AG754" s="84"/>
      <c r="AH754" s="84"/>
      <c r="AI754" s="84"/>
    </row>
    <row r="755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  <c r="AA755" s="84"/>
      <c r="AB755" s="84"/>
      <c r="AC755" s="84"/>
      <c r="AD755" s="84"/>
      <c r="AE755" s="84"/>
      <c r="AF755" s="84"/>
      <c r="AG755" s="84"/>
      <c r="AH755" s="84"/>
      <c r="AI755" s="84"/>
    </row>
    <row r="756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  <c r="AA756" s="84"/>
      <c r="AB756" s="84"/>
      <c r="AC756" s="84"/>
      <c r="AD756" s="84"/>
      <c r="AE756" s="84"/>
      <c r="AF756" s="84"/>
      <c r="AG756" s="84"/>
      <c r="AH756" s="84"/>
      <c r="AI756" s="84"/>
    </row>
    <row r="757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  <c r="AA757" s="84"/>
      <c r="AB757" s="84"/>
      <c r="AC757" s="84"/>
      <c r="AD757" s="84"/>
      <c r="AE757" s="84"/>
      <c r="AF757" s="84"/>
      <c r="AG757" s="84"/>
      <c r="AH757" s="84"/>
      <c r="AI757" s="84"/>
    </row>
    <row r="758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  <c r="AA758" s="84"/>
      <c r="AB758" s="84"/>
      <c r="AC758" s="84"/>
      <c r="AD758" s="84"/>
      <c r="AE758" s="84"/>
      <c r="AF758" s="84"/>
      <c r="AG758" s="84"/>
      <c r="AH758" s="84"/>
      <c r="AI758" s="84"/>
    </row>
    <row r="759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  <c r="AA759" s="84"/>
      <c r="AB759" s="84"/>
      <c r="AC759" s="84"/>
      <c r="AD759" s="84"/>
      <c r="AE759" s="84"/>
      <c r="AF759" s="84"/>
      <c r="AG759" s="84"/>
      <c r="AH759" s="84"/>
      <c r="AI759" s="84"/>
    </row>
    <row r="760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  <c r="AA760" s="84"/>
      <c r="AB760" s="84"/>
      <c r="AC760" s="84"/>
      <c r="AD760" s="84"/>
      <c r="AE760" s="84"/>
      <c r="AF760" s="84"/>
      <c r="AG760" s="84"/>
      <c r="AH760" s="84"/>
      <c r="AI760" s="84"/>
    </row>
    <row r="761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  <c r="AA761" s="84"/>
      <c r="AB761" s="84"/>
      <c r="AC761" s="84"/>
      <c r="AD761" s="84"/>
      <c r="AE761" s="84"/>
      <c r="AF761" s="84"/>
      <c r="AG761" s="84"/>
      <c r="AH761" s="84"/>
      <c r="AI761" s="84"/>
    </row>
    <row r="762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  <c r="AA762" s="84"/>
      <c r="AB762" s="84"/>
      <c r="AC762" s="84"/>
      <c r="AD762" s="84"/>
      <c r="AE762" s="84"/>
      <c r="AF762" s="84"/>
      <c r="AG762" s="84"/>
      <c r="AH762" s="84"/>
      <c r="AI762" s="84"/>
    </row>
    <row r="763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  <c r="AA763" s="84"/>
      <c r="AB763" s="84"/>
      <c r="AC763" s="84"/>
      <c r="AD763" s="84"/>
      <c r="AE763" s="84"/>
      <c r="AF763" s="84"/>
      <c r="AG763" s="84"/>
      <c r="AH763" s="84"/>
      <c r="AI763" s="84"/>
    </row>
    <row r="764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  <c r="AA764" s="84"/>
      <c r="AB764" s="84"/>
      <c r="AC764" s="84"/>
      <c r="AD764" s="84"/>
      <c r="AE764" s="84"/>
      <c r="AF764" s="84"/>
      <c r="AG764" s="84"/>
      <c r="AH764" s="84"/>
      <c r="AI764" s="84"/>
    </row>
    <row r="765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  <c r="AA765" s="84"/>
      <c r="AB765" s="84"/>
      <c r="AC765" s="84"/>
      <c r="AD765" s="84"/>
      <c r="AE765" s="84"/>
      <c r="AF765" s="84"/>
      <c r="AG765" s="84"/>
      <c r="AH765" s="84"/>
      <c r="AI765" s="84"/>
    </row>
    <row r="766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  <c r="AA766" s="84"/>
      <c r="AB766" s="84"/>
      <c r="AC766" s="84"/>
      <c r="AD766" s="84"/>
      <c r="AE766" s="84"/>
      <c r="AF766" s="84"/>
      <c r="AG766" s="84"/>
      <c r="AH766" s="84"/>
      <c r="AI766" s="84"/>
    </row>
    <row r="767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  <c r="AA767" s="84"/>
      <c r="AB767" s="84"/>
      <c r="AC767" s="84"/>
      <c r="AD767" s="84"/>
      <c r="AE767" s="84"/>
      <c r="AF767" s="84"/>
      <c r="AG767" s="84"/>
      <c r="AH767" s="84"/>
      <c r="AI767" s="84"/>
    </row>
    <row r="768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  <c r="AA768" s="84"/>
      <c r="AB768" s="84"/>
      <c r="AC768" s="84"/>
      <c r="AD768" s="84"/>
      <c r="AE768" s="84"/>
      <c r="AF768" s="84"/>
      <c r="AG768" s="84"/>
      <c r="AH768" s="84"/>
      <c r="AI768" s="84"/>
    </row>
    <row r="769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  <c r="AA769" s="84"/>
      <c r="AB769" s="84"/>
      <c r="AC769" s="84"/>
      <c r="AD769" s="84"/>
      <c r="AE769" s="84"/>
      <c r="AF769" s="84"/>
      <c r="AG769" s="84"/>
      <c r="AH769" s="84"/>
      <c r="AI769" s="84"/>
    </row>
    <row r="770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  <c r="AA770" s="84"/>
      <c r="AB770" s="84"/>
      <c r="AC770" s="84"/>
      <c r="AD770" s="84"/>
      <c r="AE770" s="84"/>
      <c r="AF770" s="84"/>
      <c r="AG770" s="84"/>
      <c r="AH770" s="84"/>
      <c r="AI770" s="84"/>
    </row>
    <row r="771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  <c r="AA771" s="84"/>
      <c r="AB771" s="84"/>
      <c r="AC771" s="84"/>
      <c r="AD771" s="84"/>
      <c r="AE771" s="84"/>
      <c r="AF771" s="84"/>
      <c r="AG771" s="84"/>
      <c r="AH771" s="84"/>
      <c r="AI771" s="84"/>
    </row>
    <row r="772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  <c r="AA772" s="84"/>
      <c r="AB772" s="84"/>
      <c r="AC772" s="84"/>
      <c r="AD772" s="84"/>
      <c r="AE772" s="84"/>
      <c r="AF772" s="84"/>
      <c r="AG772" s="84"/>
      <c r="AH772" s="84"/>
      <c r="AI772" s="84"/>
    </row>
    <row r="773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  <c r="AA773" s="84"/>
      <c r="AB773" s="84"/>
      <c r="AC773" s="84"/>
      <c r="AD773" s="84"/>
      <c r="AE773" s="84"/>
      <c r="AF773" s="84"/>
      <c r="AG773" s="84"/>
      <c r="AH773" s="84"/>
      <c r="AI773" s="84"/>
    </row>
    <row r="774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  <c r="AA774" s="84"/>
      <c r="AB774" s="84"/>
      <c r="AC774" s="84"/>
      <c r="AD774" s="84"/>
      <c r="AE774" s="84"/>
      <c r="AF774" s="84"/>
      <c r="AG774" s="84"/>
      <c r="AH774" s="84"/>
      <c r="AI774" s="84"/>
    </row>
    <row r="775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  <c r="AA775" s="84"/>
      <c r="AB775" s="84"/>
      <c r="AC775" s="84"/>
      <c r="AD775" s="84"/>
      <c r="AE775" s="84"/>
      <c r="AF775" s="84"/>
      <c r="AG775" s="84"/>
      <c r="AH775" s="84"/>
      <c r="AI775" s="84"/>
    </row>
    <row r="776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  <c r="AA776" s="84"/>
      <c r="AB776" s="84"/>
      <c r="AC776" s="84"/>
      <c r="AD776" s="84"/>
      <c r="AE776" s="84"/>
      <c r="AF776" s="84"/>
      <c r="AG776" s="84"/>
      <c r="AH776" s="84"/>
      <c r="AI776" s="84"/>
    </row>
    <row r="777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  <c r="AA777" s="84"/>
      <c r="AB777" s="84"/>
      <c r="AC777" s="84"/>
      <c r="AD777" s="84"/>
      <c r="AE777" s="84"/>
      <c r="AF777" s="84"/>
      <c r="AG777" s="84"/>
      <c r="AH777" s="84"/>
      <c r="AI777" s="84"/>
    </row>
    <row r="778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  <c r="AA778" s="84"/>
      <c r="AB778" s="84"/>
      <c r="AC778" s="84"/>
      <c r="AD778" s="84"/>
      <c r="AE778" s="84"/>
      <c r="AF778" s="84"/>
      <c r="AG778" s="84"/>
      <c r="AH778" s="84"/>
      <c r="AI778" s="84"/>
    </row>
    <row r="779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  <c r="AA779" s="84"/>
      <c r="AB779" s="84"/>
      <c r="AC779" s="84"/>
      <c r="AD779" s="84"/>
      <c r="AE779" s="84"/>
      <c r="AF779" s="84"/>
      <c r="AG779" s="84"/>
      <c r="AH779" s="84"/>
      <c r="AI779" s="84"/>
    </row>
    <row r="780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  <c r="AA780" s="84"/>
      <c r="AB780" s="84"/>
      <c r="AC780" s="84"/>
      <c r="AD780" s="84"/>
      <c r="AE780" s="84"/>
      <c r="AF780" s="84"/>
      <c r="AG780" s="84"/>
      <c r="AH780" s="84"/>
      <c r="AI780" s="84"/>
    </row>
    <row r="781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  <c r="AA781" s="84"/>
      <c r="AB781" s="84"/>
      <c r="AC781" s="84"/>
      <c r="AD781" s="84"/>
      <c r="AE781" s="84"/>
      <c r="AF781" s="84"/>
      <c r="AG781" s="84"/>
      <c r="AH781" s="84"/>
      <c r="AI781" s="84"/>
    </row>
    <row r="782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  <c r="AA782" s="84"/>
      <c r="AB782" s="84"/>
      <c r="AC782" s="84"/>
      <c r="AD782" s="84"/>
      <c r="AE782" s="84"/>
      <c r="AF782" s="84"/>
      <c r="AG782" s="84"/>
      <c r="AH782" s="84"/>
      <c r="AI782" s="84"/>
    </row>
    <row r="783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  <c r="AA783" s="84"/>
      <c r="AB783" s="84"/>
      <c r="AC783" s="84"/>
      <c r="AD783" s="84"/>
      <c r="AE783" s="84"/>
      <c r="AF783" s="84"/>
      <c r="AG783" s="84"/>
      <c r="AH783" s="84"/>
      <c r="AI783" s="84"/>
    </row>
    <row r="784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  <c r="AA784" s="84"/>
      <c r="AB784" s="84"/>
      <c r="AC784" s="84"/>
      <c r="AD784" s="84"/>
      <c r="AE784" s="84"/>
      <c r="AF784" s="84"/>
      <c r="AG784" s="84"/>
      <c r="AH784" s="84"/>
      <c r="AI784" s="84"/>
    </row>
    <row r="785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  <c r="AA785" s="84"/>
      <c r="AB785" s="84"/>
      <c r="AC785" s="84"/>
      <c r="AD785" s="84"/>
      <c r="AE785" s="84"/>
      <c r="AF785" s="84"/>
      <c r="AG785" s="84"/>
      <c r="AH785" s="84"/>
      <c r="AI785" s="84"/>
    </row>
    <row r="786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  <c r="AA786" s="84"/>
      <c r="AB786" s="84"/>
      <c r="AC786" s="84"/>
      <c r="AD786" s="84"/>
      <c r="AE786" s="84"/>
      <c r="AF786" s="84"/>
      <c r="AG786" s="84"/>
      <c r="AH786" s="84"/>
      <c r="AI786" s="84"/>
    </row>
    <row r="787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  <c r="AA787" s="84"/>
      <c r="AB787" s="84"/>
      <c r="AC787" s="84"/>
      <c r="AD787" s="84"/>
      <c r="AE787" s="84"/>
      <c r="AF787" s="84"/>
      <c r="AG787" s="84"/>
      <c r="AH787" s="84"/>
      <c r="AI787" s="84"/>
    </row>
    <row r="788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  <c r="AA788" s="84"/>
      <c r="AB788" s="84"/>
      <c r="AC788" s="84"/>
      <c r="AD788" s="84"/>
      <c r="AE788" s="84"/>
      <c r="AF788" s="84"/>
      <c r="AG788" s="84"/>
      <c r="AH788" s="84"/>
      <c r="AI788" s="84"/>
    </row>
    <row r="789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  <c r="AA789" s="84"/>
      <c r="AB789" s="84"/>
      <c r="AC789" s="84"/>
      <c r="AD789" s="84"/>
      <c r="AE789" s="84"/>
      <c r="AF789" s="84"/>
      <c r="AG789" s="84"/>
      <c r="AH789" s="84"/>
      <c r="AI789" s="84"/>
    </row>
    <row r="790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  <c r="AA790" s="84"/>
      <c r="AB790" s="84"/>
      <c r="AC790" s="84"/>
      <c r="AD790" s="84"/>
      <c r="AE790" s="84"/>
      <c r="AF790" s="84"/>
      <c r="AG790" s="84"/>
      <c r="AH790" s="84"/>
      <c r="AI790" s="84"/>
    </row>
    <row r="791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  <c r="AA791" s="84"/>
      <c r="AB791" s="84"/>
      <c r="AC791" s="84"/>
      <c r="AD791" s="84"/>
      <c r="AE791" s="84"/>
      <c r="AF791" s="84"/>
      <c r="AG791" s="84"/>
      <c r="AH791" s="84"/>
      <c r="AI791" s="84"/>
    </row>
    <row r="792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  <c r="AA792" s="84"/>
      <c r="AB792" s="84"/>
      <c r="AC792" s="84"/>
      <c r="AD792" s="84"/>
      <c r="AE792" s="84"/>
      <c r="AF792" s="84"/>
      <c r="AG792" s="84"/>
      <c r="AH792" s="84"/>
      <c r="AI792" s="84"/>
    </row>
    <row r="793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  <c r="AA793" s="84"/>
      <c r="AB793" s="84"/>
      <c r="AC793" s="84"/>
      <c r="AD793" s="84"/>
      <c r="AE793" s="84"/>
      <c r="AF793" s="84"/>
      <c r="AG793" s="84"/>
      <c r="AH793" s="84"/>
      <c r="AI793" s="84"/>
    </row>
    <row r="794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  <c r="AA794" s="84"/>
      <c r="AB794" s="84"/>
      <c r="AC794" s="84"/>
      <c r="AD794" s="84"/>
      <c r="AE794" s="84"/>
      <c r="AF794" s="84"/>
      <c r="AG794" s="84"/>
      <c r="AH794" s="84"/>
      <c r="AI794" s="84"/>
    </row>
    <row r="795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  <c r="AA795" s="84"/>
      <c r="AB795" s="84"/>
      <c r="AC795" s="84"/>
      <c r="AD795" s="84"/>
      <c r="AE795" s="84"/>
      <c r="AF795" s="84"/>
      <c r="AG795" s="84"/>
      <c r="AH795" s="84"/>
      <c r="AI795" s="84"/>
    </row>
    <row r="796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  <c r="AA796" s="84"/>
      <c r="AB796" s="84"/>
      <c r="AC796" s="84"/>
      <c r="AD796" s="84"/>
      <c r="AE796" s="84"/>
      <c r="AF796" s="84"/>
      <c r="AG796" s="84"/>
      <c r="AH796" s="84"/>
      <c r="AI796" s="84"/>
    </row>
    <row r="797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  <c r="AA797" s="84"/>
      <c r="AB797" s="84"/>
      <c r="AC797" s="84"/>
      <c r="AD797" s="84"/>
      <c r="AE797" s="84"/>
      <c r="AF797" s="84"/>
      <c r="AG797" s="84"/>
      <c r="AH797" s="84"/>
      <c r="AI797" s="84"/>
    </row>
    <row r="798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  <c r="AA798" s="84"/>
      <c r="AB798" s="84"/>
      <c r="AC798" s="84"/>
      <c r="AD798" s="84"/>
      <c r="AE798" s="84"/>
      <c r="AF798" s="84"/>
      <c r="AG798" s="84"/>
      <c r="AH798" s="84"/>
      <c r="AI798" s="84"/>
    </row>
    <row r="799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  <c r="AA799" s="84"/>
      <c r="AB799" s="84"/>
      <c r="AC799" s="84"/>
      <c r="AD799" s="84"/>
      <c r="AE799" s="84"/>
      <c r="AF799" s="84"/>
      <c r="AG799" s="84"/>
      <c r="AH799" s="84"/>
      <c r="AI799" s="84"/>
    </row>
    <row r="800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  <c r="AA800" s="84"/>
      <c r="AB800" s="84"/>
      <c r="AC800" s="84"/>
      <c r="AD800" s="84"/>
      <c r="AE800" s="84"/>
      <c r="AF800" s="84"/>
      <c r="AG800" s="84"/>
      <c r="AH800" s="84"/>
      <c r="AI800" s="84"/>
    </row>
    <row r="801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  <c r="AA801" s="84"/>
      <c r="AB801" s="84"/>
      <c r="AC801" s="84"/>
      <c r="AD801" s="84"/>
      <c r="AE801" s="84"/>
      <c r="AF801" s="84"/>
      <c r="AG801" s="84"/>
      <c r="AH801" s="84"/>
      <c r="AI801" s="84"/>
    </row>
    <row r="802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  <c r="AA802" s="84"/>
      <c r="AB802" s="84"/>
      <c r="AC802" s="84"/>
      <c r="AD802" s="84"/>
      <c r="AE802" s="84"/>
      <c r="AF802" s="84"/>
      <c r="AG802" s="84"/>
      <c r="AH802" s="84"/>
      <c r="AI802" s="84"/>
    </row>
    <row r="803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  <c r="AA803" s="84"/>
      <c r="AB803" s="84"/>
      <c r="AC803" s="84"/>
      <c r="AD803" s="84"/>
      <c r="AE803" s="84"/>
      <c r="AF803" s="84"/>
      <c r="AG803" s="84"/>
      <c r="AH803" s="84"/>
      <c r="AI803" s="84"/>
    </row>
    <row r="804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  <c r="AA804" s="84"/>
      <c r="AB804" s="84"/>
      <c r="AC804" s="84"/>
      <c r="AD804" s="84"/>
      <c r="AE804" s="84"/>
      <c r="AF804" s="84"/>
      <c r="AG804" s="84"/>
      <c r="AH804" s="84"/>
      <c r="AI804" s="84"/>
    </row>
    <row r="805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  <c r="AA805" s="84"/>
      <c r="AB805" s="84"/>
      <c r="AC805" s="84"/>
      <c r="AD805" s="84"/>
      <c r="AE805" s="84"/>
      <c r="AF805" s="84"/>
      <c r="AG805" s="84"/>
      <c r="AH805" s="84"/>
      <c r="AI805" s="84"/>
    </row>
    <row r="806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  <c r="AA806" s="84"/>
      <c r="AB806" s="84"/>
      <c r="AC806" s="84"/>
      <c r="AD806" s="84"/>
      <c r="AE806" s="84"/>
      <c r="AF806" s="84"/>
      <c r="AG806" s="84"/>
      <c r="AH806" s="84"/>
      <c r="AI806" s="84"/>
    </row>
    <row r="807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  <c r="AA807" s="84"/>
      <c r="AB807" s="84"/>
      <c r="AC807" s="84"/>
      <c r="AD807" s="84"/>
      <c r="AE807" s="84"/>
      <c r="AF807" s="84"/>
      <c r="AG807" s="84"/>
      <c r="AH807" s="84"/>
      <c r="AI807" s="84"/>
    </row>
    <row r="808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  <c r="AA808" s="84"/>
      <c r="AB808" s="84"/>
      <c r="AC808" s="84"/>
      <c r="AD808" s="84"/>
      <c r="AE808" s="84"/>
      <c r="AF808" s="84"/>
      <c r="AG808" s="84"/>
      <c r="AH808" s="84"/>
      <c r="AI808" s="84"/>
    </row>
    <row r="809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  <c r="AA809" s="84"/>
      <c r="AB809" s="84"/>
      <c r="AC809" s="84"/>
      <c r="AD809" s="84"/>
      <c r="AE809" s="84"/>
      <c r="AF809" s="84"/>
      <c r="AG809" s="84"/>
      <c r="AH809" s="84"/>
      <c r="AI809" s="84"/>
    </row>
    <row r="810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  <c r="AA810" s="84"/>
      <c r="AB810" s="84"/>
      <c r="AC810" s="84"/>
      <c r="AD810" s="84"/>
      <c r="AE810" s="84"/>
      <c r="AF810" s="84"/>
      <c r="AG810" s="84"/>
      <c r="AH810" s="84"/>
      <c r="AI810" s="84"/>
    </row>
    <row r="811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  <c r="AA811" s="84"/>
      <c r="AB811" s="84"/>
      <c r="AC811" s="84"/>
      <c r="AD811" s="84"/>
      <c r="AE811" s="84"/>
      <c r="AF811" s="84"/>
      <c r="AG811" s="84"/>
      <c r="AH811" s="84"/>
      <c r="AI811" s="84"/>
    </row>
    <row r="812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  <c r="AA812" s="84"/>
      <c r="AB812" s="84"/>
      <c r="AC812" s="84"/>
      <c r="AD812" s="84"/>
      <c r="AE812" s="84"/>
      <c r="AF812" s="84"/>
      <c r="AG812" s="84"/>
      <c r="AH812" s="84"/>
      <c r="AI812" s="84"/>
    </row>
    <row r="813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  <c r="AA813" s="84"/>
      <c r="AB813" s="84"/>
      <c r="AC813" s="84"/>
      <c r="AD813" s="84"/>
      <c r="AE813" s="84"/>
      <c r="AF813" s="84"/>
      <c r="AG813" s="84"/>
      <c r="AH813" s="84"/>
      <c r="AI813" s="84"/>
    </row>
    <row r="814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  <c r="AA814" s="84"/>
      <c r="AB814" s="84"/>
      <c r="AC814" s="84"/>
      <c r="AD814" s="84"/>
      <c r="AE814" s="84"/>
      <c r="AF814" s="84"/>
      <c r="AG814" s="84"/>
      <c r="AH814" s="84"/>
      <c r="AI814" s="84"/>
    </row>
    <row r="815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  <c r="AA815" s="84"/>
      <c r="AB815" s="84"/>
      <c r="AC815" s="84"/>
      <c r="AD815" s="84"/>
      <c r="AE815" s="84"/>
      <c r="AF815" s="84"/>
      <c r="AG815" s="84"/>
      <c r="AH815" s="84"/>
      <c r="AI815" s="84"/>
    </row>
    <row r="816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  <c r="AA816" s="84"/>
      <c r="AB816" s="84"/>
      <c r="AC816" s="84"/>
      <c r="AD816" s="84"/>
      <c r="AE816" s="84"/>
      <c r="AF816" s="84"/>
      <c r="AG816" s="84"/>
      <c r="AH816" s="84"/>
      <c r="AI816" s="84"/>
    </row>
    <row r="817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  <c r="AA817" s="84"/>
      <c r="AB817" s="84"/>
      <c r="AC817" s="84"/>
      <c r="AD817" s="84"/>
      <c r="AE817" s="84"/>
      <c r="AF817" s="84"/>
      <c r="AG817" s="84"/>
      <c r="AH817" s="84"/>
      <c r="AI817" s="84"/>
    </row>
    <row r="818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  <c r="AA818" s="84"/>
      <c r="AB818" s="84"/>
      <c r="AC818" s="84"/>
      <c r="AD818" s="84"/>
      <c r="AE818" s="84"/>
      <c r="AF818" s="84"/>
      <c r="AG818" s="84"/>
      <c r="AH818" s="84"/>
      <c r="AI818" s="84"/>
    </row>
    <row r="819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  <c r="AA819" s="84"/>
      <c r="AB819" s="84"/>
      <c r="AC819" s="84"/>
      <c r="AD819" s="84"/>
      <c r="AE819" s="84"/>
      <c r="AF819" s="84"/>
      <c r="AG819" s="84"/>
      <c r="AH819" s="84"/>
      <c r="AI819" s="84"/>
    </row>
    <row r="820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  <c r="AA820" s="84"/>
      <c r="AB820" s="84"/>
      <c r="AC820" s="84"/>
      <c r="AD820" s="84"/>
      <c r="AE820" s="84"/>
      <c r="AF820" s="84"/>
      <c r="AG820" s="84"/>
      <c r="AH820" s="84"/>
      <c r="AI820" s="84"/>
    </row>
    <row r="821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  <c r="AA821" s="84"/>
      <c r="AB821" s="84"/>
      <c r="AC821" s="84"/>
      <c r="AD821" s="84"/>
      <c r="AE821" s="84"/>
      <c r="AF821" s="84"/>
      <c r="AG821" s="84"/>
      <c r="AH821" s="84"/>
      <c r="AI821" s="84"/>
    </row>
    <row r="822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  <c r="AA822" s="84"/>
      <c r="AB822" s="84"/>
      <c r="AC822" s="84"/>
      <c r="AD822" s="84"/>
      <c r="AE822" s="84"/>
      <c r="AF822" s="84"/>
      <c r="AG822" s="84"/>
      <c r="AH822" s="84"/>
      <c r="AI822" s="84"/>
    </row>
    <row r="823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  <c r="AA823" s="84"/>
      <c r="AB823" s="84"/>
      <c r="AC823" s="84"/>
      <c r="AD823" s="84"/>
      <c r="AE823" s="84"/>
      <c r="AF823" s="84"/>
      <c r="AG823" s="84"/>
      <c r="AH823" s="84"/>
      <c r="AI823" s="84"/>
    </row>
    <row r="824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  <c r="AA824" s="84"/>
      <c r="AB824" s="84"/>
      <c r="AC824" s="84"/>
      <c r="AD824" s="84"/>
      <c r="AE824" s="84"/>
      <c r="AF824" s="84"/>
      <c r="AG824" s="84"/>
      <c r="AH824" s="84"/>
      <c r="AI824" s="84"/>
    </row>
    <row r="825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  <c r="AA825" s="84"/>
      <c r="AB825" s="84"/>
      <c r="AC825" s="84"/>
      <c r="AD825" s="84"/>
      <c r="AE825" s="84"/>
      <c r="AF825" s="84"/>
      <c r="AG825" s="84"/>
      <c r="AH825" s="84"/>
      <c r="AI825" s="84"/>
    </row>
    <row r="826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  <c r="AA826" s="84"/>
      <c r="AB826" s="84"/>
      <c r="AC826" s="84"/>
      <c r="AD826" s="84"/>
      <c r="AE826" s="84"/>
      <c r="AF826" s="84"/>
      <c r="AG826" s="84"/>
      <c r="AH826" s="84"/>
      <c r="AI826" s="84"/>
    </row>
    <row r="827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  <c r="AA827" s="84"/>
      <c r="AB827" s="84"/>
      <c r="AC827" s="84"/>
      <c r="AD827" s="84"/>
      <c r="AE827" s="84"/>
      <c r="AF827" s="84"/>
      <c r="AG827" s="84"/>
      <c r="AH827" s="84"/>
      <c r="AI827" s="84"/>
    </row>
    <row r="828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  <c r="AA828" s="84"/>
      <c r="AB828" s="84"/>
      <c r="AC828" s="84"/>
      <c r="AD828" s="84"/>
      <c r="AE828" s="84"/>
      <c r="AF828" s="84"/>
      <c r="AG828" s="84"/>
      <c r="AH828" s="84"/>
      <c r="AI828" s="84"/>
    </row>
    <row r="829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  <c r="AA829" s="84"/>
      <c r="AB829" s="84"/>
      <c r="AC829" s="84"/>
      <c r="AD829" s="84"/>
      <c r="AE829" s="84"/>
      <c r="AF829" s="84"/>
      <c r="AG829" s="84"/>
      <c r="AH829" s="84"/>
      <c r="AI829" s="84"/>
    </row>
    <row r="830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  <c r="AA830" s="84"/>
      <c r="AB830" s="84"/>
      <c r="AC830" s="84"/>
      <c r="AD830" s="84"/>
      <c r="AE830" s="84"/>
      <c r="AF830" s="84"/>
      <c r="AG830" s="84"/>
      <c r="AH830" s="84"/>
      <c r="AI830" s="84"/>
    </row>
    <row r="831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  <c r="AA831" s="84"/>
      <c r="AB831" s="84"/>
      <c r="AC831" s="84"/>
      <c r="AD831" s="84"/>
      <c r="AE831" s="84"/>
      <c r="AF831" s="84"/>
      <c r="AG831" s="84"/>
      <c r="AH831" s="84"/>
      <c r="AI831" s="84"/>
    </row>
    <row r="832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  <c r="AA832" s="84"/>
      <c r="AB832" s="84"/>
      <c r="AC832" s="84"/>
      <c r="AD832" s="84"/>
      <c r="AE832" s="84"/>
      <c r="AF832" s="84"/>
      <c r="AG832" s="84"/>
      <c r="AH832" s="84"/>
      <c r="AI832" s="84"/>
    </row>
    <row r="833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  <c r="AA833" s="84"/>
      <c r="AB833" s="84"/>
      <c r="AC833" s="84"/>
      <c r="AD833" s="84"/>
      <c r="AE833" s="84"/>
      <c r="AF833" s="84"/>
      <c r="AG833" s="84"/>
      <c r="AH833" s="84"/>
      <c r="AI833" s="84"/>
    </row>
    <row r="834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  <c r="AA834" s="84"/>
      <c r="AB834" s="84"/>
      <c r="AC834" s="84"/>
      <c r="AD834" s="84"/>
      <c r="AE834" s="84"/>
      <c r="AF834" s="84"/>
      <c r="AG834" s="84"/>
      <c r="AH834" s="84"/>
      <c r="AI834" s="84"/>
    </row>
    <row r="835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  <c r="AA835" s="84"/>
      <c r="AB835" s="84"/>
      <c r="AC835" s="84"/>
      <c r="AD835" s="84"/>
      <c r="AE835" s="84"/>
      <c r="AF835" s="84"/>
      <c r="AG835" s="84"/>
      <c r="AH835" s="84"/>
      <c r="AI835" s="84"/>
    </row>
    <row r="836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  <c r="AA836" s="84"/>
      <c r="AB836" s="84"/>
      <c r="AC836" s="84"/>
      <c r="AD836" s="84"/>
      <c r="AE836" s="84"/>
      <c r="AF836" s="84"/>
      <c r="AG836" s="84"/>
      <c r="AH836" s="84"/>
      <c r="AI836" s="84"/>
    </row>
    <row r="837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  <c r="AA837" s="84"/>
      <c r="AB837" s="84"/>
      <c r="AC837" s="84"/>
      <c r="AD837" s="84"/>
      <c r="AE837" s="84"/>
      <c r="AF837" s="84"/>
      <c r="AG837" s="84"/>
      <c r="AH837" s="84"/>
      <c r="AI837" s="84"/>
    </row>
    <row r="838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  <c r="AA838" s="84"/>
      <c r="AB838" s="84"/>
      <c r="AC838" s="84"/>
      <c r="AD838" s="84"/>
      <c r="AE838" s="84"/>
      <c r="AF838" s="84"/>
      <c r="AG838" s="84"/>
      <c r="AH838" s="84"/>
      <c r="AI838" s="84"/>
    </row>
    <row r="839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  <c r="AA839" s="84"/>
      <c r="AB839" s="84"/>
      <c r="AC839" s="84"/>
      <c r="AD839" s="84"/>
      <c r="AE839" s="84"/>
      <c r="AF839" s="84"/>
      <c r="AG839" s="84"/>
      <c r="AH839" s="84"/>
      <c r="AI839" s="84"/>
    </row>
    <row r="840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  <c r="AA840" s="84"/>
      <c r="AB840" s="84"/>
      <c r="AC840" s="84"/>
      <c r="AD840" s="84"/>
      <c r="AE840" s="84"/>
      <c r="AF840" s="84"/>
      <c r="AG840" s="84"/>
      <c r="AH840" s="84"/>
      <c r="AI840" s="84"/>
    </row>
    <row r="841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  <c r="AA841" s="84"/>
      <c r="AB841" s="84"/>
      <c r="AC841" s="84"/>
      <c r="AD841" s="84"/>
      <c r="AE841" s="84"/>
      <c r="AF841" s="84"/>
      <c r="AG841" s="84"/>
      <c r="AH841" s="84"/>
      <c r="AI841" s="84"/>
    </row>
    <row r="842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  <c r="AA842" s="84"/>
      <c r="AB842" s="84"/>
      <c r="AC842" s="84"/>
      <c r="AD842" s="84"/>
      <c r="AE842" s="84"/>
      <c r="AF842" s="84"/>
      <c r="AG842" s="84"/>
      <c r="AH842" s="84"/>
      <c r="AI842" s="84"/>
    </row>
    <row r="843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  <c r="AA843" s="84"/>
      <c r="AB843" s="84"/>
      <c r="AC843" s="84"/>
      <c r="AD843" s="84"/>
      <c r="AE843" s="84"/>
      <c r="AF843" s="84"/>
      <c r="AG843" s="84"/>
      <c r="AH843" s="84"/>
      <c r="AI843" s="84"/>
    </row>
    <row r="844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  <c r="AA844" s="84"/>
      <c r="AB844" s="84"/>
      <c r="AC844" s="84"/>
      <c r="AD844" s="84"/>
      <c r="AE844" s="84"/>
      <c r="AF844" s="84"/>
      <c r="AG844" s="84"/>
      <c r="AH844" s="84"/>
      <c r="AI844" s="84"/>
    </row>
    <row r="845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  <c r="AA845" s="84"/>
      <c r="AB845" s="84"/>
      <c r="AC845" s="84"/>
      <c r="AD845" s="84"/>
      <c r="AE845" s="84"/>
      <c r="AF845" s="84"/>
      <c r="AG845" s="84"/>
      <c r="AH845" s="84"/>
      <c r="AI845" s="84"/>
    </row>
    <row r="846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  <c r="AA846" s="84"/>
      <c r="AB846" s="84"/>
      <c r="AC846" s="84"/>
      <c r="AD846" s="84"/>
      <c r="AE846" s="84"/>
      <c r="AF846" s="84"/>
      <c r="AG846" s="84"/>
      <c r="AH846" s="84"/>
      <c r="AI846" s="84"/>
    </row>
    <row r="847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  <c r="AA847" s="84"/>
      <c r="AB847" s="84"/>
      <c r="AC847" s="84"/>
      <c r="AD847" s="84"/>
      <c r="AE847" s="84"/>
      <c r="AF847" s="84"/>
      <c r="AG847" s="84"/>
      <c r="AH847" s="84"/>
      <c r="AI847" s="84"/>
    </row>
    <row r="848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  <c r="AA848" s="84"/>
      <c r="AB848" s="84"/>
      <c r="AC848" s="84"/>
      <c r="AD848" s="84"/>
      <c r="AE848" s="84"/>
      <c r="AF848" s="84"/>
      <c r="AG848" s="84"/>
      <c r="AH848" s="84"/>
      <c r="AI848" s="84"/>
    </row>
    <row r="849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  <c r="AA849" s="84"/>
      <c r="AB849" s="84"/>
      <c r="AC849" s="84"/>
      <c r="AD849" s="84"/>
      <c r="AE849" s="84"/>
      <c r="AF849" s="84"/>
      <c r="AG849" s="84"/>
      <c r="AH849" s="84"/>
      <c r="AI849" s="84"/>
    </row>
    <row r="850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  <c r="AA850" s="84"/>
      <c r="AB850" s="84"/>
      <c r="AC850" s="84"/>
      <c r="AD850" s="84"/>
      <c r="AE850" s="84"/>
      <c r="AF850" s="84"/>
      <c r="AG850" s="84"/>
      <c r="AH850" s="84"/>
      <c r="AI850" s="84"/>
    </row>
    <row r="851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  <c r="AA851" s="84"/>
      <c r="AB851" s="84"/>
      <c r="AC851" s="84"/>
      <c r="AD851" s="84"/>
      <c r="AE851" s="84"/>
      <c r="AF851" s="84"/>
      <c r="AG851" s="84"/>
      <c r="AH851" s="84"/>
      <c r="AI851" s="84"/>
    </row>
    <row r="852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  <c r="AA852" s="84"/>
      <c r="AB852" s="84"/>
      <c r="AC852" s="84"/>
      <c r="AD852" s="84"/>
      <c r="AE852" s="84"/>
      <c r="AF852" s="84"/>
      <c r="AG852" s="84"/>
      <c r="AH852" s="84"/>
      <c r="AI852" s="84"/>
    </row>
    <row r="853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  <c r="AA853" s="84"/>
      <c r="AB853" s="84"/>
      <c r="AC853" s="84"/>
      <c r="AD853" s="84"/>
      <c r="AE853" s="84"/>
      <c r="AF853" s="84"/>
      <c r="AG853" s="84"/>
      <c r="AH853" s="84"/>
      <c r="AI853" s="84"/>
    </row>
    <row r="854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  <c r="AA854" s="84"/>
      <c r="AB854" s="84"/>
      <c r="AC854" s="84"/>
      <c r="AD854" s="84"/>
      <c r="AE854" s="84"/>
      <c r="AF854" s="84"/>
      <c r="AG854" s="84"/>
      <c r="AH854" s="84"/>
      <c r="AI854" s="84"/>
    </row>
    <row r="855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  <c r="AA855" s="84"/>
      <c r="AB855" s="84"/>
      <c r="AC855" s="84"/>
      <c r="AD855" s="84"/>
      <c r="AE855" s="84"/>
      <c r="AF855" s="84"/>
      <c r="AG855" s="84"/>
      <c r="AH855" s="84"/>
      <c r="AI855" s="84"/>
    </row>
    <row r="856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  <c r="AA856" s="84"/>
      <c r="AB856" s="84"/>
      <c r="AC856" s="84"/>
      <c r="AD856" s="84"/>
      <c r="AE856" s="84"/>
      <c r="AF856" s="84"/>
      <c r="AG856" s="84"/>
      <c r="AH856" s="84"/>
      <c r="AI856" s="84"/>
    </row>
    <row r="857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  <c r="AA857" s="84"/>
      <c r="AB857" s="84"/>
      <c r="AC857" s="84"/>
      <c r="AD857" s="84"/>
      <c r="AE857" s="84"/>
      <c r="AF857" s="84"/>
      <c r="AG857" s="84"/>
      <c r="AH857" s="84"/>
      <c r="AI857" s="84"/>
    </row>
    <row r="858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  <c r="AA858" s="84"/>
      <c r="AB858" s="84"/>
      <c r="AC858" s="84"/>
      <c r="AD858" s="84"/>
      <c r="AE858" s="84"/>
      <c r="AF858" s="84"/>
      <c r="AG858" s="84"/>
      <c r="AH858" s="84"/>
      <c r="AI858" s="84"/>
    </row>
    <row r="859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  <c r="AA859" s="84"/>
      <c r="AB859" s="84"/>
      <c r="AC859" s="84"/>
      <c r="AD859" s="84"/>
      <c r="AE859" s="84"/>
      <c r="AF859" s="84"/>
      <c r="AG859" s="84"/>
      <c r="AH859" s="84"/>
      <c r="AI859" s="84"/>
    </row>
    <row r="860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  <c r="AA860" s="84"/>
      <c r="AB860" s="84"/>
      <c r="AC860" s="84"/>
      <c r="AD860" s="84"/>
      <c r="AE860" s="84"/>
      <c r="AF860" s="84"/>
      <c r="AG860" s="84"/>
      <c r="AH860" s="84"/>
      <c r="AI860" s="84"/>
    </row>
    <row r="861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  <c r="AA861" s="84"/>
      <c r="AB861" s="84"/>
      <c r="AC861" s="84"/>
      <c r="AD861" s="84"/>
      <c r="AE861" s="84"/>
      <c r="AF861" s="84"/>
      <c r="AG861" s="84"/>
      <c r="AH861" s="84"/>
      <c r="AI861" s="84"/>
    </row>
    <row r="862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  <c r="AA862" s="84"/>
      <c r="AB862" s="84"/>
      <c r="AC862" s="84"/>
      <c r="AD862" s="84"/>
      <c r="AE862" s="84"/>
      <c r="AF862" s="84"/>
      <c r="AG862" s="84"/>
      <c r="AH862" s="84"/>
      <c r="AI862" s="84"/>
    </row>
    <row r="863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  <c r="AA863" s="84"/>
      <c r="AB863" s="84"/>
      <c r="AC863" s="84"/>
      <c r="AD863" s="84"/>
      <c r="AE863" s="84"/>
      <c r="AF863" s="84"/>
      <c r="AG863" s="84"/>
      <c r="AH863" s="84"/>
      <c r="AI863" s="84"/>
    </row>
    <row r="864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  <c r="AA864" s="84"/>
      <c r="AB864" s="84"/>
      <c r="AC864" s="84"/>
      <c r="AD864" s="84"/>
      <c r="AE864" s="84"/>
      <c r="AF864" s="84"/>
      <c r="AG864" s="84"/>
      <c r="AH864" s="84"/>
      <c r="AI864" s="84"/>
    </row>
    <row r="865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  <c r="AA865" s="84"/>
      <c r="AB865" s="84"/>
      <c r="AC865" s="84"/>
      <c r="AD865" s="84"/>
      <c r="AE865" s="84"/>
      <c r="AF865" s="84"/>
      <c r="AG865" s="84"/>
      <c r="AH865" s="84"/>
      <c r="AI865" s="84"/>
    </row>
    <row r="866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  <c r="AA866" s="84"/>
      <c r="AB866" s="84"/>
      <c r="AC866" s="84"/>
      <c r="AD866" s="84"/>
      <c r="AE866" s="84"/>
      <c r="AF866" s="84"/>
      <c r="AG866" s="84"/>
      <c r="AH866" s="84"/>
      <c r="AI866" s="84"/>
    </row>
    <row r="867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  <c r="AA867" s="84"/>
      <c r="AB867" s="84"/>
      <c r="AC867" s="84"/>
      <c r="AD867" s="84"/>
      <c r="AE867" s="84"/>
      <c r="AF867" s="84"/>
      <c r="AG867" s="84"/>
      <c r="AH867" s="84"/>
      <c r="AI867" s="84"/>
    </row>
    <row r="868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  <c r="AA868" s="84"/>
      <c r="AB868" s="84"/>
      <c r="AC868" s="84"/>
      <c r="AD868" s="84"/>
      <c r="AE868" s="84"/>
      <c r="AF868" s="84"/>
      <c r="AG868" s="84"/>
      <c r="AH868" s="84"/>
      <c r="AI868" s="84"/>
    </row>
    <row r="869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  <c r="AA869" s="84"/>
      <c r="AB869" s="84"/>
      <c r="AC869" s="84"/>
      <c r="AD869" s="84"/>
      <c r="AE869" s="84"/>
      <c r="AF869" s="84"/>
      <c r="AG869" s="84"/>
      <c r="AH869" s="84"/>
      <c r="AI869" s="84"/>
    </row>
    <row r="870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  <c r="AA870" s="84"/>
      <c r="AB870" s="84"/>
      <c r="AC870" s="84"/>
      <c r="AD870" s="84"/>
      <c r="AE870" s="84"/>
      <c r="AF870" s="84"/>
      <c r="AG870" s="84"/>
      <c r="AH870" s="84"/>
      <c r="AI870" s="84"/>
    </row>
    <row r="871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  <c r="AA871" s="84"/>
      <c r="AB871" s="84"/>
      <c r="AC871" s="84"/>
      <c r="AD871" s="84"/>
      <c r="AE871" s="84"/>
      <c r="AF871" s="84"/>
      <c r="AG871" s="84"/>
      <c r="AH871" s="84"/>
      <c r="AI871" s="84"/>
    </row>
    <row r="872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  <c r="AA872" s="84"/>
      <c r="AB872" s="84"/>
      <c r="AC872" s="84"/>
      <c r="AD872" s="84"/>
      <c r="AE872" s="84"/>
      <c r="AF872" s="84"/>
      <c r="AG872" s="84"/>
      <c r="AH872" s="84"/>
      <c r="AI872" s="84"/>
    </row>
    <row r="873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  <c r="AA873" s="84"/>
      <c r="AB873" s="84"/>
      <c r="AC873" s="84"/>
      <c r="AD873" s="84"/>
      <c r="AE873" s="84"/>
      <c r="AF873" s="84"/>
      <c r="AG873" s="84"/>
      <c r="AH873" s="84"/>
      <c r="AI873" s="84"/>
    </row>
    <row r="874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  <c r="AA874" s="84"/>
      <c r="AB874" s="84"/>
      <c r="AC874" s="84"/>
      <c r="AD874" s="84"/>
      <c r="AE874" s="84"/>
      <c r="AF874" s="84"/>
      <c r="AG874" s="84"/>
      <c r="AH874" s="84"/>
      <c r="AI874" s="84"/>
    </row>
    <row r="875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  <c r="AA875" s="84"/>
      <c r="AB875" s="84"/>
      <c r="AC875" s="84"/>
      <c r="AD875" s="84"/>
      <c r="AE875" s="84"/>
      <c r="AF875" s="84"/>
      <c r="AG875" s="84"/>
      <c r="AH875" s="84"/>
      <c r="AI875" s="84"/>
    </row>
    <row r="876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  <c r="AA876" s="84"/>
      <c r="AB876" s="84"/>
      <c r="AC876" s="84"/>
      <c r="AD876" s="84"/>
      <c r="AE876" s="84"/>
      <c r="AF876" s="84"/>
      <c r="AG876" s="84"/>
      <c r="AH876" s="84"/>
      <c r="AI876" s="84"/>
    </row>
    <row r="877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  <c r="AA877" s="84"/>
      <c r="AB877" s="84"/>
      <c r="AC877" s="84"/>
      <c r="AD877" s="84"/>
      <c r="AE877" s="84"/>
      <c r="AF877" s="84"/>
      <c r="AG877" s="84"/>
      <c r="AH877" s="84"/>
      <c r="AI877" s="84"/>
    </row>
    <row r="878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  <c r="AA878" s="84"/>
      <c r="AB878" s="84"/>
      <c r="AC878" s="84"/>
      <c r="AD878" s="84"/>
      <c r="AE878" s="84"/>
      <c r="AF878" s="84"/>
      <c r="AG878" s="84"/>
      <c r="AH878" s="84"/>
      <c r="AI878" s="84"/>
    </row>
    <row r="879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  <c r="AA879" s="84"/>
      <c r="AB879" s="84"/>
      <c r="AC879" s="84"/>
      <c r="AD879" s="84"/>
      <c r="AE879" s="84"/>
      <c r="AF879" s="84"/>
      <c r="AG879" s="84"/>
      <c r="AH879" s="84"/>
      <c r="AI879" s="84"/>
    </row>
    <row r="880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  <c r="AA880" s="84"/>
      <c r="AB880" s="84"/>
      <c r="AC880" s="84"/>
      <c r="AD880" s="84"/>
      <c r="AE880" s="84"/>
      <c r="AF880" s="84"/>
      <c r="AG880" s="84"/>
      <c r="AH880" s="84"/>
      <c r="AI880" s="84"/>
    </row>
    <row r="881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  <c r="AA881" s="84"/>
      <c r="AB881" s="84"/>
      <c r="AC881" s="84"/>
      <c r="AD881" s="84"/>
      <c r="AE881" s="84"/>
      <c r="AF881" s="84"/>
      <c r="AG881" s="84"/>
      <c r="AH881" s="84"/>
      <c r="AI881" s="84"/>
    </row>
    <row r="882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  <c r="AA882" s="84"/>
      <c r="AB882" s="84"/>
      <c r="AC882" s="84"/>
      <c r="AD882" s="84"/>
      <c r="AE882" s="84"/>
      <c r="AF882" s="84"/>
      <c r="AG882" s="84"/>
      <c r="AH882" s="84"/>
      <c r="AI882" s="84"/>
    </row>
    <row r="883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  <c r="AA883" s="84"/>
      <c r="AB883" s="84"/>
      <c r="AC883" s="84"/>
      <c r="AD883" s="84"/>
      <c r="AE883" s="84"/>
      <c r="AF883" s="84"/>
      <c r="AG883" s="84"/>
      <c r="AH883" s="84"/>
      <c r="AI883" s="84"/>
    </row>
    <row r="884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  <c r="AA884" s="84"/>
      <c r="AB884" s="84"/>
      <c r="AC884" s="84"/>
      <c r="AD884" s="84"/>
      <c r="AE884" s="84"/>
      <c r="AF884" s="84"/>
      <c r="AG884" s="84"/>
      <c r="AH884" s="84"/>
      <c r="AI884" s="84"/>
    </row>
    <row r="885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  <c r="AA885" s="84"/>
      <c r="AB885" s="84"/>
      <c r="AC885" s="84"/>
      <c r="AD885" s="84"/>
      <c r="AE885" s="84"/>
      <c r="AF885" s="84"/>
      <c r="AG885" s="84"/>
      <c r="AH885" s="84"/>
      <c r="AI885" s="84"/>
    </row>
    <row r="886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  <c r="AA886" s="84"/>
      <c r="AB886" s="84"/>
      <c r="AC886" s="84"/>
      <c r="AD886" s="84"/>
      <c r="AE886" s="84"/>
      <c r="AF886" s="84"/>
      <c r="AG886" s="84"/>
      <c r="AH886" s="84"/>
      <c r="AI886" s="84"/>
    </row>
    <row r="887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  <c r="AA887" s="84"/>
      <c r="AB887" s="84"/>
      <c r="AC887" s="84"/>
      <c r="AD887" s="84"/>
      <c r="AE887" s="84"/>
      <c r="AF887" s="84"/>
      <c r="AG887" s="84"/>
      <c r="AH887" s="84"/>
      <c r="AI887" s="84"/>
    </row>
    <row r="888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  <c r="AA888" s="84"/>
      <c r="AB888" s="84"/>
      <c r="AC888" s="84"/>
      <c r="AD888" s="84"/>
      <c r="AE888" s="84"/>
      <c r="AF888" s="84"/>
      <c r="AG888" s="84"/>
      <c r="AH888" s="84"/>
      <c r="AI888" s="84"/>
    </row>
    <row r="889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  <c r="AA889" s="84"/>
      <c r="AB889" s="84"/>
      <c r="AC889" s="84"/>
      <c r="AD889" s="84"/>
      <c r="AE889" s="84"/>
      <c r="AF889" s="84"/>
      <c r="AG889" s="84"/>
      <c r="AH889" s="84"/>
      <c r="AI889" s="84"/>
    </row>
    <row r="890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  <c r="AA890" s="84"/>
      <c r="AB890" s="84"/>
      <c r="AC890" s="84"/>
      <c r="AD890" s="84"/>
      <c r="AE890" s="84"/>
      <c r="AF890" s="84"/>
      <c r="AG890" s="84"/>
      <c r="AH890" s="84"/>
      <c r="AI890" s="84"/>
    </row>
    <row r="891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  <c r="AA891" s="84"/>
      <c r="AB891" s="84"/>
      <c r="AC891" s="84"/>
      <c r="AD891" s="84"/>
      <c r="AE891" s="84"/>
      <c r="AF891" s="84"/>
      <c r="AG891" s="84"/>
      <c r="AH891" s="84"/>
      <c r="AI891" s="84"/>
    </row>
    <row r="892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  <c r="AA892" s="84"/>
      <c r="AB892" s="84"/>
      <c r="AC892" s="84"/>
      <c r="AD892" s="84"/>
      <c r="AE892" s="84"/>
      <c r="AF892" s="84"/>
      <c r="AG892" s="84"/>
      <c r="AH892" s="84"/>
      <c r="AI892" s="84"/>
    </row>
    <row r="893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  <c r="AA893" s="84"/>
      <c r="AB893" s="84"/>
      <c r="AC893" s="84"/>
      <c r="AD893" s="84"/>
      <c r="AE893" s="84"/>
      <c r="AF893" s="84"/>
      <c r="AG893" s="84"/>
      <c r="AH893" s="84"/>
      <c r="AI893" s="84"/>
    </row>
    <row r="894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  <c r="AA894" s="84"/>
      <c r="AB894" s="84"/>
      <c r="AC894" s="84"/>
      <c r="AD894" s="84"/>
      <c r="AE894" s="84"/>
      <c r="AF894" s="84"/>
      <c r="AG894" s="84"/>
      <c r="AH894" s="84"/>
      <c r="AI894" s="84"/>
    </row>
    <row r="895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  <c r="AA895" s="84"/>
      <c r="AB895" s="84"/>
      <c r="AC895" s="84"/>
      <c r="AD895" s="84"/>
      <c r="AE895" s="84"/>
      <c r="AF895" s="84"/>
      <c r="AG895" s="84"/>
      <c r="AH895" s="84"/>
      <c r="AI895" s="84"/>
    </row>
    <row r="896">
      <c r="A896" s="8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  <c r="AA896" s="84"/>
      <c r="AB896" s="84"/>
      <c r="AC896" s="84"/>
      <c r="AD896" s="84"/>
      <c r="AE896" s="84"/>
      <c r="AF896" s="84"/>
      <c r="AG896" s="84"/>
      <c r="AH896" s="84"/>
      <c r="AI896" s="84"/>
    </row>
    <row r="897">
      <c r="A897" s="8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  <c r="AA897" s="84"/>
      <c r="AB897" s="84"/>
      <c r="AC897" s="84"/>
      <c r="AD897" s="84"/>
      <c r="AE897" s="84"/>
      <c r="AF897" s="84"/>
      <c r="AG897" s="84"/>
      <c r="AH897" s="84"/>
      <c r="AI897" s="84"/>
    </row>
    <row r="898">
      <c r="A898" s="8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  <c r="AA898" s="84"/>
      <c r="AB898" s="84"/>
      <c r="AC898" s="84"/>
      <c r="AD898" s="84"/>
      <c r="AE898" s="84"/>
      <c r="AF898" s="84"/>
      <c r="AG898" s="84"/>
      <c r="AH898" s="84"/>
      <c r="AI898" s="84"/>
    </row>
    <row r="899">
      <c r="A899" s="8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  <c r="AA899" s="84"/>
      <c r="AB899" s="84"/>
      <c r="AC899" s="84"/>
      <c r="AD899" s="84"/>
      <c r="AE899" s="84"/>
      <c r="AF899" s="84"/>
      <c r="AG899" s="84"/>
      <c r="AH899" s="84"/>
      <c r="AI899" s="84"/>
    </row>
    <row r="900">
      <c r="A900" s="8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  <c r="AA900" s="84"/>
      <c r="AB900" s="84"/>
      <c r="AC900" s="84"/>
      <c r="AD900" s="84"/>
      <c r="AE900" s="84"/>
      <c r="AF900" s="84"/>
      <c r="AG900" s="84"/>
      <c r="AH900" s="84"/>
      <c r="AI900" s="84"/>
    </row>
    <row r="901">
      <c r="A901" s="8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  <c r="AA901" s="84"/>
      <c r="AB901" s="84"/>
      <c r="AC901" s="84"/>
      <c r="AD901" s="84"/>
      <c r="AE901" s="84"/>
      <c r="AF901" s="84"/>
      <c r="AG901" s="84"/>
      <c r="AH901" s="84"/>
      <c r="AI901" s="84"/>
    </row>
    <row r="902">
      <c r="A902" s="8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  <c r="AA902" s="84"/>
      <c r="AB902" s="84"/>
      <c r="AC902" s="84"/>
      <c r="AD902" s="84"/>
      <c r="AE902" s="84"/>
      <c r="AF902" s="84"/>
      <c r="AG902" s="84"/>
      <c r="AH902" s="84"/>
      <c r="AI902" s="84"/>
    </row>
    <row r="903">
      <c r="A903" s="8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  <c r="AA903" s="84"/>
      <c r="AB903" s="84"/>
      <c r="AC903" s="84"/>
      <c r="AD903" s="84"/>
      <c r="AE903" s="84"/>
      <c r="AF903" s="84"/>
      <c r="AG903" s="84"/>
      <c r="AH903" s="84"/>
      <c r="AI903" s="84"/>
    </row>
    <row r="904">
      <c r="A904" s="8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  <c r="AA904" s="84"/>
      <c r="AB904" s="84"/>
      <c r="AC904" s="84"/>
      <c r="AD904" s="84"/>
      <c r="AE904" s="84"/>
      <c r="AF904" s="84"/>
      <c r="AG904" s="84"/>
      <c r="AH904" s="84"/>
      <c r="AI904" s="84"/>
    </row>
    <row r="905">
      <c r="A905" s="8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  <c r="AA905" s="84"/>
      <c r="AB905" s="84"/>
      <c r="AC905" s="84"/>
      <c r="AD905" s="84"/>
      <c r="AE905" s="84"/>
      <c r="AF905" s="84"/>
      <c r="AG905" s="84"/>
      <c r="AH905" s="84"/>
      <c r="AI905" s="84"/>
    </row>
    <row r="906">
      <c r="A906" s="8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  <c r="AA906" s="84"/>
      <c r="AB906" s="84"/>
      <c r="AC906" s="84"/>
      <c r="AD906" s="84"/>
      <c r="AE906" s="84"/>
      <c r="AF906" s="84"/>
      <c r="AG906" s="84"/>
      <c r="AH906" s="84"/>
      <c r="AI906" s="84"/>
    </row>
    <row r="907">
      <c r="A907" s="8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  <c r="AA907" s="84"/>
      <c r="AB907" s="84"/>
      <c r="AC907" s="84"/>
      <c r="AD907" s="84"/>
      <c r="AE907" s="84"/>
      <c r="AF907" s="84"/>
      <c r="AG907" s="84"/>
      <c r="AH907" s="84"/>
      <c r="AI907" s="84"/>
    </row>
    <row r="908">
      <c r="A908" s="8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  <c r="AA908" s="84"/>
      <c r="AB908" s="84"/>
      <c r="AC908" s="84"/>
      <c r="AD908" s="84"/>
      <c r="AE908" s="84"/>
      <c r="AF908" s="84"/>
      <c r="AG908" s="84"/>
      <c r="AH908" s="84"/>
      <c r="AI908" s="84"/>
    </row>
    <row r="909">
      <c r="A909" s="8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  <c r="AA909" s="84"/>
      <c r="AB909" s="84"/>
      <c r="AC909" s="84"/>
      <c r="AD909" s="84"/>
      <c r="AE909" s="84"/>
      <c r="AF909" s="84"/>
      <c r="AG909" s="84"/>
      <c r="AH909" s="84"/>
      <c r="AI909" s="84"/>
    </row>
    <row r="910">
      <c r="A910" s="8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  <c r="AA910" s="84"/>
      <c r="AB910" s="84"/>
      <c r="AC910" s="84"/>
      <c r="AD910" s="84"/>
      <c r="AE910" s="84"/>
      <c r="AF910" s="84"/>
      <c r="AG910" s="84"/>
      <c r="AH910" s="84"/>
      <c r="AI910" s="84"/>
    </row>
    <row r="911">
      <c r="A911" s="8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  <c r="AA911" s="84"/>
      <c r="AB911" s="84"/>
      <c r="AC911" s="84"/>
      <c r="AD911" s="84"/>
      <c r="AE911" s="84"/>
      <c r="AF911" s="84"/>
      <c r="AG911" s="84"/>
      <c r="AH911" s="84"/>
      <c r="AI911" s="84"/>
    </row>
    <row r="912">
      <c r="A912" s="8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  <c r="AA912" s="84"/>
      <c r="AB912" s="84"/>
      <c r="AC912" s="84"/>
      <c r="AD912" s="84"/>
      <c r="AE912" s="84"/>
      <c r="AF912" s="84"/>
      <c r="AG912" s="84"/>
      <c r="AH912" s="84"/>
      <c r="AI912" s="84"/>
    </row>
    <row r="913">
      <c r="A913" s="8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  <c r="AA913" s="84"/>
      <c r="AB913" s="84"/>
      <c r="AC913" s="84"/>
      <c r="AD913" s="84"/>
      <c r="AE913" s="84"/>
      <c r="AF913" s="84"/>
      <c r="AG913" s="84"/>
      <c r="AH913" s="84"/>
      <c r="AI913" s="84"/>
    </row>
    <row r="914">
      <c r="A914" s="8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  <c r="AA914" s="84"/>
      <c r="AB914" s="84"/>
      <c r="AC914" s="84"/>
      <c r="AD914" s="84"/>
      <c r="AE914" s="84"/>
      <c r="AF914" s="84"/>
      <c r="AG914" s="84"/>
      <c r="AH914" s="84"/>
      <c r="AI914" s="84"/>
    </row>
    <row r="915">
      <c r="A915" s="8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  <c r="AA915" s="84"/>
      <c r="AB915" s="84"/>
      <c r="AC915" s="84"/>
      <c r="AD915" s="84"/>
      <c r="AE915" s="84"/>
      <c r="AF915" s="84"/>
      <c r="AG915" s="84"/>
      <c r="AH915" s="84"/>
      <c r="AI915" s="84"/>
    </row>
    <row r="916">
      <c r="A916" s="8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  <c r="AA916" s="84"/>
      <c r="AB916" s="84"/>
      <c r="AC916" s="84"/>
      <c r="AD916" s="84"/>
      <c r="AE916" s="84"/>
      <c r="AF916" s="84"/>
      <c r="AG916" s="84"/>
      <c r="AH916" s="84"/>
      <c r="AI916" s="84"/>
    </row>
    <row r="917">
      <c r="A917" s="8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  <c r="AA917" s="84"/>
      <c r="AB917" s="84"/>
      <c r="AC917" s="84"/>
      <c r="AD917" s="84"/>
      <c r="AE917" s="84"/>
      <c r="AF917" s="84"/>
      <c r="AG917" s="84"/>
      <c r="AH917" s="84"/>
      <c r="AI917" s="84"/>
    </row>
    <row r="918">
      <c r="A918" s="8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  <c r="AA918" s="84"/>
      <c r="AB918" s="84"/>
      <c r="AC918" s="84"/>
      <c r="AD918" s="84"/>
      <c r="AE918" s="84"/>
      <c r="AF918" s="84"/>
      <c r="AG918" s="84"/>
      <c r="AH918" s="84"/>
      <c r="AI918" s="84"/>
    </row>
    <row r="919">
      <c r="A919" s="8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  <c r="AA919" s="84"/>
      <c r="AB919" s="84"/>
      <c r="AC919" s="84"/>
      <c r="AD919" s="84"/>
      <c r="AE919" s="84"/>
      <c r="AF919" s="84"/>
      <c r="AG919" s="84"/>
      <c r="AH919" s="84"/>
      <c r="AI919" s="84"/>
    </row>
    <row r="920">
      <c r="A920" s="8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  <c r="AA920" s="84"/>
      <c r="AB920" s="84"/>
      <c r="AC920" s="84"/>
      <c r="AD920" s="84"/>
      <c r="AE920" s="84"/>
      <c r="AF920" s="84"/>
      <c r="AG920" s="84"/>
      <c r="AH920" s="84"/>
      <c r="AI920" s="84"/>
    </row>
    <row r="921">
      <c r="A921" s="8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  <c r="AA921" s="84"/>
      <c r="AB921" s="84"/>
      <c r="AC921" s="84"/>
      <c r="AD921" s="84"/>
      <c r="AE921" s="84"/>
      <c r="AF921" s="84"/>
      <c r="AG921" s="84"/>
      <c r="AH921" s="84"/>
      <c r="AI921" s="84"/>
    </row>
    <row r="922">
      <c r="A922" s="8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  <c r="AA922" s="84"/>
      <c r="AB922" s="84"/>
      <c r="AC922" s="84"/>
      <c r="AD922" s="84"/>
      <c r="AE922" s="84"/>
      <c r="AF922" s="84"/>
      <c r="AG922" s="84"/>
      <c r="AH922" s="84"/>
      <c r="AI922" s="84"/>
    </row>
    <row r="923">
      <c r="A923" s="8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  <c r="AA923" s="84"/>
      <c r="AB923" s="84"/>
      <c r="AC923" s="84"/>
      <c r="AD923" s="84"/>
      <c r="AE923" s="84"/>
      <c r="AF923" s="84"/>
      <c r="AG923" s="84"/>
      <c r="AH923" s="84"/>
      <c r="AI923" s="84"/>
    </row>
    <row r="924">
      <c r="A924" s="8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  <c r="AA924" s="84"/>
      <c r="AB924" s="84"/>
      <c r="AC924" s="84"/>
      <c r="AD924" s="84"/>
      <c r="AE924" s="84"/>
      <c r="AF924" s="84"/>
      <c r="AG924" s="84"/>
      <c r="AH924" s="84"/>
      <c r="AI924" s="84"/>
    </row>
    <row r="925">
      <c r="A925" s="8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  <c r="AA925" s="84"/>
      <c r="AB925" s="84"/>
      <c r="AC925" s="84"/>
      <c r="AD925" s="84"/>
      <c r="AE925" s="84"/>
      <c r="AF925" s="84"/>
      <c r="AG925" s="84"/>
      <c r="AH925" s="84"/>
      <c r="AI925" s="84"/>
    </row>
    <row r="926">
      <c r="A926" s="8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  <c r="AA926" s="84"/>
      <c r="AB926" s="84"/>
      <c r="AC926" s="84"/>
      <c r="AD926" s="84"/>
      <c r="AE926" s="84"/>
      <c r="AF926" s="84"/>
      <c r="AG926" s="84"/>
      <c r="AH926" s="84"/>
      <c r="AI926" s="84"/>
    </row>
    <row r="927">
      <c r="A927" s="8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  <c r="AA927" s="84"/>
      <c r="AB927" s="84"/>
      <c r="AC927" s="84"/>
      <c r="AD927" s="84"/>
      <c r="AE927" s="84"/>
      <c r="AF927" s="84"/>
      <c r="AG927" s="84"/>
      <c r="AH927" s="84"/>
      <c r="AI927" s="84"/>
    </row>
    <row r="928">
      <c r="A928" s="8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  <c r="AA928" s="84"/>
      <c r="AB928" s="84"/>
      <c r="AC928" s="84"/>
      <c r="AD928" s="84"/>
      <c r="AE928" s="84"/>
      <c r="AF928" s="84"/>
      <c r="AG928" s="84"/>
      <c r="AH928" s="84"/>
      <c r="AI928" s="84"/>
    </row>
    <row r="929">
      <c r="A929" s="8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  <c r="AA929" s="84"/>
      <c r="AB929" s="84"/>
      <c r="AC929" s="84"/>
      <c r="AD929" s="84"/>
      <c r="AE929" s="84"/>
      <c r="AF929" s="84"/>
      <c r="AG929" s="84"/>
      <c r="AH929" s="84"/>
      <c r="AI929" s="84"/>
    </row>
    <row r="930">
      <c r="A930" s="8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  <c r="AA930" s="84"/>
      <c r="AB930" s="84"/>
      <c r="AC930" s="84"/>
      <c r="AD930" s="84"/>
      <c r="AE930" s="84"/>
      <c r="AF930" s="84"/>
      <c r="AG930" s="84"/>
      <c r="AH930" s="84"/>
      <c r="AI930" s="84"/>
    </row>
    <row r="931">
      <c r="A931" s="8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  <c r="AA931" s="84"/>
      <c r="AB931" s="84"/>
      <c r="AC931" s="84"/>
      <c r="AD931" s="84"/>
      <c r="AE931" s="84"/>
      <c r="AF931" s="84"/>
      <c r="AG931" s="84"/>
      <c r="AH931" s="84"/>
      <c r="AI931" s="84"/>
    </row>
    <row r="932">
      <c r="A932" s="8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  <c r="AA932" s="84"/>
      <c r="AB932" s="84"/>
      <c r="AC932" s="84"/>
      <c r="AD932" s="84"/>
      <c r="AE932" s="84"/>
      <c r="AF932" s="84"/>
      <c r="AG932" s="84"/>
      <c r="AH932" s="84"/>
      <c r="AI932" s="84"/>
    </row>
    <row r="933">
      <c r="A933" s="8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  <c r="AA933" s="84"/>
      <c r="AB933" s="84"/>
      <c r="AC933" s="84"/>
      <c r="AD933" s="84"/>
      <c r="AE933" s="84"/>
      <c r="AF933" s="84"/>
      <c r="AG933" s="84"/>
      <c r="AH933" s="84"/>
      <c r="AI933" s="84"/>
    </row>
    <row r="934">
      <c r="A934" s="8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  <c r="AA934" s="84"/>
      <c r="AB934" s="84"/>
      <c r="AC934" s="84"/>
      <c r="AD934" s="84"/>
      <c r="AE934" s="84"/>
      <c r="AF934" s="84"/>
      <c r="AG934" s="84"/>
      <c r="AH934" s="84"/>
      <c r="AI934" s="84"/>
    </row>
    <row r="935">
      <c r="A935" s="8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  <c r="AA935" s="84"/>
      <c r="AB935" s="84"/>
      <c r="AC935" s="84"/>
      <c r="AD935" s="84"/>
      <c r="AE935" s="84"/>
      <c r="AF935" s="84"/>
      <c r="AG935" s="84"/>
      <c r="AH935" s="84"/>
      <c r="AI935" s="84"/>
    </row>
    <row r="936">
      <c r="A936" s="8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  <c r="AA936" s="84"/>
      <c r="AB936" s="84"/>
      <c r="AC936" s="84"/>
      <c r="AD936" s="84"/>
      <c r="AE936" s="84"/>
      <c r="AF936" s="84"/>
      <c r="AG936" s="84"/>
      <c r="AH936" s="84"/>
      <c r="AI936" s="84"/>
    </row>
    <row r="937">
      <c r="A937" s="8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  <c r="AA937" s="84"/>
      <c r="AB937" s="84"/>
      <c r="AC937" s="84"/>
      <c r="AD937" s="84"/>
      <c r="AE937" s="84"/>
      <c r="AF937" s="84"/>
      <c r="AG937" s="84"/>
      <c r="AH937" s="84"/>
      <c r="AI937" s="84"/>
    </row>
    <row r="938">
      <c r="A938" s="8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  <c r="AA938" s="84"/>
      <c r="AB938" s="84"/>
      <c r="AC938" s="84"/>
      <c r="AD938" s="84"/>
      <c r="AE938" s="84"/>
      <c r="AF938" s="84"/>
      <c r="AG938" s="84"/>
      <c r="AH938" s="84"/>
      <c r="AI938" s="84"/>
    </row>
    <row r="939">
      <c r="A939" s="8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  <c r="AA939" s="84"/>
      <c r="AB939" s="84"/>
      <c r="AC939" s="84"/>
      <c r="AD939" s="84"/>
      <c r="AE939" s="84"/>
      <c r="AF939" s="84"/>
      <c r="AG939" s="84"/>
      <c r="AH939" s="84"/>
      <c r="AI939" s="84"/>
    </row>
    <row r="940">
      <c r="A940" s="8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  <c r="AA940" s="84"/>
      <c r="AB940" s="84"/>
      <c r="AC940" s="84"/>
      <c r="AD940" s="84"/>
      <c r="AE940" s="84"/>
      <c r="AF940" s="84"/>
      <c r="AG940" s="84"/>
      <c r="AH940" s="84"/>
      <c r="AI940" s="84"/>
    </row>
    <row r="941">
      <c r="A941" s="8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  <c r="AA941" s="84"/>
      <c r="AB941" s="84"/>
      <c r="AC941" s="84"/>
      <c r="AD941" s="84"/>
      <c r="AE941" s="84"/>
      <c r="AF941" s="84"/>
      <c r="AG941" s="84"/>
      <c r="AH941" s="84"/>
      <c r="AI941" s="84"/>
    </row>
    <row r="942">
      <c r="A942" s="8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  <c r="AA942" s="84"/>
      <c r="AB942" s="84"/>
      <c r="AC942" s="84"/>
      <c r="AD942" s="84"/>
      <c r="AE942" s="84"/>
      <c r="AF942" s="84"/>
      <c r="AG942" s="84"/>
      <c r="AH942" s="84"/>
      <c r="AI942" s="84"/>
    </row>
    <row r="943">
      <c r="A943" s="8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  <c r="AA943" s="84"/>
      <c r="AB943" s="84"/>
      <c r="AC943" s="84"/>
      <c r="AD943" s="84"/>
      <c r="AE943" s="84"/>
      <c r="AF943" s="84"/>
      <c r="AG943" s="84"/>
      <c r="AH943" s="84"/>
      <c r="AI943" s="84"/>
    </row>
    <row r="944">
      <c r="A944" s="8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  <c r="AA944" s="84"/>
      <c r="AB944" s="84"/>
      <c r="AC944" s="84"/>
      <c r="AD944" s="84"/>
      <c r="AE944" s="84"/>
      <c r="AF944" s="84"/>
      <c r="AG944" s="84"/>
      <c r="AH944" s="84"/>
      <c r="AI944" s="84"/>
    </row>
    <row r="945">
      <c r="A945" s="8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  <c r="AA945" s="84"/>
      <c r="AB945" s="84"/>
      <c r="AC945" s="84"/>
      <c r="AD945" s="84"/>
      <c r="AE945" s="84"/>
      <c r="AF945" s="84"/>
      <c r="AG945" s="84"/>
      <c r="AH945" s="84"/>
      <c r="AI945" s="84"/>
    </row>
    <row r="946">
      <c r="A946" s="8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  <c r="AA946" s="84"/>
      <c r="AB946" s="84"/>
      <c r="AC946" s="84"/>
      <c r="AD946" s="84"/>
      <c r="AE946" s="84"/>
      <c r="AF946" s="84"/>
      <c r="AG946" s="84"/>
      <c r="AH946" s="84"/>
      <c r="AI946" s="84"/>
    </row>
    <row r="947">
      <c r="A947" s="8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  <c r="AA947" s="84"/>
      <c r="AB947" s="84"/>
      <c r="AC947" s="84"/>
      <c r="AD947" s="84"/>
      <c r="AE947" s="84"/>
      <c r="AF947" s="84"/>
      <c r="AG947" s="84"/>
      <c r="AH947" s="84"/>
      <c r="AI947" s="84"/>
    </row>
    <row r="948">
      <c r="A948" s="8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  <c r="AA948" s="84"/>
      <c r="AB948" s="84"/>
      <c r="AC948" s="84"/>
      <c r="AD948" s="84"/>
      <c r="AE948" s="84"/>
      <c r="AF948" s="84"/>
      <c r="AG948" s="84"/>
      <c r="AH948" s="84"/>
      <c r="AI948" s="84"/>
    </row>
    <row r="949">
      <c r="A949" s="8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  <c r="AA949" s="84"/>
      <c r="AB949" s="84"/>
      <c r="AC949" s="84"/>
      <c r="AD949" s="84"/>
      <c r="AE949" s="84"/>
      <c r="AF949" s="84"/>
      <c r="AG949" s="84"/>
      <c r="AH949" s="84"/>
      <c r="AI949" s="84"/>
    </row>
    <row r="950">
      <c r="A950" s="8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  <c r="AA950" s="84"/>
      <c r="AB950" s="84"/>
      <c r="AC950" s="84"/>
      <c r="AD950" s="84"/>
      <c r="AE950" s="84"/>
      <c r="AF950" s="84"/>
      <c r="AG950" s="84"/>
      <c r="AH950" s="84"/>
      <c r="AI950" s="84"/>
    </row>
    <row r="951">
      <c r="A951" s="8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  <c r="AA951" s="84"/>
      <c r="AB951" s="84"/>
      <c r="AC951" s="84"/>
      <c r="AD951" s="84"/>
      <c r="AE951" s="84"/>
      <c r="AF951" s="84"/>
      <c r="AG951" s="84"/>
      <c r="AH951" s="84"/>
      <c r="AI951" s="84"/>
    </row>
    <row r="952">
      <c r="A952" s="84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  <c r="AA952" s="84"/>
      <c r="AB952" s="84"/>
      <c r="AC952" s="84"/>
      <c r="AD952" s="84"/>
      <c r="AE952" s="84"/>
      <c r="AF952" s="84"/>
      <c r="AG952" s="84"/>
      <c r="AH952" s="84"/>
      <c r="AI952" s="84"/>
    </row>
    <row r="953">
      <c r="A953" s="84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  <c r="AA953" s="84"/>
      <c r="AB953" s="84"/>
      <c r="AC953" s="84"/>
      <c r="AD953" s="84"/>
      <c r="AE953" s="84"/>
      <c r="AF953" s="84"/>
      <c r="AG953" s="84"/>
      <c r="AH953" s="84"/>
      <c r="AI953" s="84"/>
    </row>
    <row r="954">
      <c r="A954" s="84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  <c r="AA954" s="84"/>
      <c r="AB954" s="84"/>
      <c r="AC954" s="84"/>
      <c r="AD954" s="84"/>
      <c r="AE954" s="84"/>
      <c r="AF954" s="84"/>
      <c r="AG954" s="84"/>
      <c r="AH954" s="84"/>
      <c r="AI954" s="84"/>
    </row>
    <row r="955">
      <c r="A955" s="84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  <c r="AA955" s="84"/>
      <c r="AB955" s="84"/>
      <c r="AC955" s="84"/>
      <c r="AD955" s="84"/>
      <c r="AE955" s="84"/>
      <c r="AF955" s="84"/>
      <c r="AG955" s="84"/>
      <c r="AH955" s="84"/>
      <c r="AI955" s="84"/>
    </row>
    <row r="956">
      <c r="A956" s="84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  <c r="AA956" s="84"/>
      <c r="AB956" s="84"/>
      <c r="AC956" s="84"/>
      <c r="AD956" s="84"/>
      <c r="AE956" s="84"/>
      <c r="AF956" s="84"/>
      <c r="AG956" s="84"/>
      <c r="AH956" s="84"/>
      <c r="AI956" s="84"/>
    </row>
    <row r="957">
      <c r="A957" s="84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  <c r="AA957" s="84"/>
      <c r="AB957" s="84"/>
      <c r="AC957" s="84"/>
      <c r="AD957" s="84"/>
      <c r="AE957" s="84"/>
      <c r="AF957" s="84"/>
      <c r="AG957" s="84"/>
      <c r="AH957" s="84"/>
      <c r="AI957" s="84"/>
    </row>
    <row r="958">
      <c r="A958" s="84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  <c r="AA958" s="84"/>
      <c r="AB958" s="84"/>
      <c r="AC958" s="84"/>
      <c r="AD958" s="84"/>
      <c r="AE958" s="84"/>
      <c r="AF958" s="84"/>
      <c r="AG958" s="84"/>
      <c r="AH958" s="84"/>
      <c r="AI958" s="84"/>
    </row>
    <row r="959">
      <c r="A959" s="84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  <c r="Z959" s="84"/>
      <c r="AA959" s="84"/>
      <c r="AB959" s="84"/>
      <c r="AC959" s="84"/>
      <c r="AD959" s="84"/>
      <c r="AE959" s="84"/>
      <c r="AF959" s="84"/>
      <c r="AG959" s="84"/>
      <c r="AH959" s="84"/>
      <c r="AI959" s="84"/>
    </row>
    <row r="960">
      <c r="A960" s="84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  <c r="AA960" s="84"/>
      <c r="AB960" s="84"/>
      <c r="AC960" s="84"/>
      <c r="AD960" s="84"/>
      <c r="AE960" s="84"/>
      <c r="AF960" s="84"/>
      <c r="AG960" s="84"/>
      <c r="AH960" s="84"/>
      <c r="AI960" s="84"/>
    </row>
    <row r="961">
      <c r="A961" s="84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4"/>
      <c r="AA961" s="84"/>
      <c r="AB961" s="84"/>
      <c r="AC961" s="84"/>
      <c r="AD961" s="84"/>
      <c r="AE961" s="84"/>
      <c r="AF961" s="84"/>
      <c r="AG961" s="84"/>
      <c r="AH961" s="84"/>
      <c r="AI961" s="84"/>
    </row>
    <row r="962">
      <c r="A962" s="84"/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  <c r="Z962" s="84"/>
      <c r="AA962" s="84"/>
      <c r="AB962" s="84"/>
      <c r="AC962" s="84"/>
      <c r="AD962" s="84"/>
      <c r="AE962" s="84"/>
      <c r="AF962" s="84"/>
      <c r="AG962" s="84"/>
      <c r="AH962" s="84"/>
      <c r="AI962" s="84"/>
    </row>
    <row r="963">
      <c r="A963" s="84"/>
      <c r="B963" s="84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  <c r="Z963" s="84"/>
      <c r="AA963" s="84"/>
      <c r="AB963" s="84"/>
      <c r="AC963" s="84"/>
      <c r="AD963" s="84"/>
      <c r="AE963" s="84"/>
      <c r="AF963" s="84"/>
      <c r="AG963" s="84"/>
      <c r="AH963" s="84"/>
      <c r="AI963" s="84"/>
    </row>
    <row r="964">
      <c r="A964" s="84"/>
      <c r="B964" s="84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  <c r="Z964" s="84"/>
      <c r="AA964" s="84"/>
      <c r="AB964" s="84"/>
      <c r="AC964" s="84"/>
      <c r="AD964" s="84"/>
      <c r="AE964" s="84"/>
      <c r="AF964" s="84"/>
      <c r="AG964" s="84"/>
      <c r="AH964" s="84"/>
      <c r="AI964" s="84"/>
    </row>
    <row r="965">
      <c r="A965" s="84"/>
      <c r="B965" s="84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  <c r="Z965" s="84"/>
      <c r="AA965" s="84"/>
      <c r="AB965" s="84"/>
      <c r="AC965" s="84"/>
      <c r="AD965" s="84"/>
      <c r="AE965" s="84"/>
      <c r="AF965" s="84"/>
      <c r="AG965" s="84"/>
      <c r="AH965" s="84"/>
      <c r="AI965" s="84"/>
    </row>
    <row r="966">
      <c r="A966" s="84"/>
      <c r="B966" s="84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4"/>
      <c r="Z966" s="84"/>
      <c r="AA966" s="84"/>
      <c r="AB966" s="84"/>
      <c r="AC966" s="84"/>
      <c r="AD966" s="84"/>
      <c r="AE966" s="84"/>
      <c r="AF966" s="84"/>
      <c r="AG966" s="84"/>
      <c r="AH966" s="84"/>
      <c r="AI966" s="84"/>
    </row>
    <row r="967">
      <c r="A967" s="84"/>
      <c r="B967" s="84"/>
      <c r="C967" s="84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  <c r="Z967" s="84"/>
      <c r="AA967" s="84"/>
      <c r="AB967" s="84"/>
      <c r="AC967" s="84"/>
      <c r="AD967" s="84"/>
      <c r="AE967" s="84"/>
      <c r="AF967" s="84"/>
      <c r="AG967" s="84"/>
      <c r="AH967" s="84"/>
      <c r="AI967" s="84"/>
    </row>
    <row r="968">
      <c r="A968" s="84"/>
      <c r="B968" s="84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4"/>
      <c r="Z968" s="84"/>
      <c r="AA968" s="84"/>
      <c r="AB968" s="84"/>
      <c r="AC968" s="84"/>
      <c r="AD968" s="84"/>
      <c r="AE968" s="84"/>
      <c r="AF968" s="84"/>
      <c r="AG968" s="84"/>
      <c r="AH968" s="84"/>
      <c r="AI968" s="84"/>
    </row>
    <row r="969">
      <c r="A969" s="84"/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  <c r="Z969" s="84"/>
      <c r="AA969" s="84"/>
      <c r="AB969" s="84"/>
      <c r="AC969" s="84"/>
      <c r="AD969" s="84"/>
      <c r="AE969" s="84"/>
      <c r="AF969" s="84"/>
      <c r="AG969" s="84"/>
      <c r="AH969" s="84"/>
      <c r="AI969" s="84"/>
    </row>
    <row r="970">
      <c r="A970" s="84"/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  <c r="Z970" s="84"/>
      <c r="AA970" s="84"/>
      <c r="AB970" s="84"/>
      <c r="AC970" s="84"/>
      <c r="AD970" s="84"/>
      <c r="AE970" s="84"/>
      <c r="AF970" s="84"/>
      <c r="AG970" s="84"/>
      <c r="AH970" s="84"/>
      <c r="AI970" s="84"/>
    </row>
    <row r="971">
      <c r="A971" s="84"/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  <c r="Z971" s="84"/>
      <c r="AA971" s="84"/>
      <c r="AB971" s="84"/>
      <c r="AC971" s="84"/>
      <c r="AD971" s="84"/>
      <c r="AE971" s="84"/>
      <c r="AF971" s="84"/>
      <c r="AG971" s="84"/>
      <c r="AH971" s="84"/>
      <c r="AI971" s="84"/>
    </row>
    <row r="972">
      <c r="A972" s="84"/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4"/>
      <c r="Z972" s="84"/>
      <c r="AA972" s="84"/>
      <c r="AB972" s="84"/>
      <c r="AC972" s="84"/>
      <c r="AD972" s="84"/>
      <c r="AE972" s="84"/>
      <c r="AF972" s="84"/>
      <c r="AG972" s="84"/>
      <c r="AH972" s="84"/>
      <c r="AI972" s="84"/>
    </row>
    <row r="973">
      <c r="A973" s="84"/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4"/>
      <c r="Z973" s="84"/>
      <c r="AA973" s="84"/>
      <c r="AB973" s="84"/>
      <c r="AC973" s="84"/>
      <c r="AD973" s="84"/>
      <c r="AE973" s="84"/>
      <c r="AF973" s="84"/>
      <c r="AG973" s="84"/>
      <c r="AH973" s="84"/>
      <c r="AI973" s="84"/>
    </row>
    <row r="974">
      <c r="A974" s="84"/>
      <c r="B974" s="84"/>
      <c r="C974" s="84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  <c r="Y974" s="84"/>
      <c r="Z974" s="84"/>
      <c r="AA974" s="84"/>
      <c r="AB974" s="84"/>
      <c r="AC974" s="84"/>
      <c r="AD974" s="84"/>
      <c r="AE974" s="84"/>
      <c r="AF974" s="84"/>
      <c r="AG974" s="84"/>
      <c r="AH974" s="84"/>
      <c r="AI974" s="84"/>
    </row>
    <row r="975">
      <c r="A975" s="84"/>
      <c r="B975" s="84"/>
      <c r="C975" s="84"/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  <c r="Y975" s="84"/>
      <c r="Z975" s="84"/>
      <c r="AA975" s="84"/>
      <c r="AB975" s="84"/>
      <c r="AC975" s="84"/>
      <c r="AD975" s="84"/>
      <c r="AE975" s="84"/>
      <c r="AF975" s="84"/>
      <c r="AG975" s="84"/>
      <c r="AH975" s="84"/>
      <c r="AI975" s="84"/>
    </row>
    <row r="976">
      <c r="A976" s="84"/>
      <c r="B976" s="84"/>
      <c r="C976" s="84"/>
      <c r="D976" s="84"/>
      <c r="E976" s="84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  <c r="Y976" s="84"/>
      <c r="Z976" s="84"/>
      <c r="AA976" s="84"/>
      <c r="AB976" s="84"/>
      <c r="AC976" s="84"/>
      <c r="AD976" s="84"/>
      <c r="AE976" s="84"/>
      <c r="AF976" s="84"/>
      <c r="AG976" s="84"/>
      <c r="AH976" s="84"/>
      <c r="AI976" s="84"/>
    </row>
    <row r="977">
      <c r="A977" s="84"/>
      <c r="B977" s="84"/>
      <c r="C977" s="84"/>
      <c r="D977" s="84"/>
      <c r="E977" s="84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  <c r="Y977" s="84"/>
      <c r="Z977" s="84"/>
      <c r="AA977" s="84"/>
      <c r="AB977" s="84"/>
      <c r="AC977" s="84"/>
      <c r="AD977" s="84"/>
      <c r="AE977" s="84"/>
      <c r="AF977" s="84"/>
      <c r="AG977" s="84"/>
      <c r="AH977" s="84"/>
      <c r="AI977" s="84"/>
    </row>
    <row r="978">
      <c r="A978" s="84"/>
      <c r="B978" s="84"/>
      <c r="C978" s="84"/>
      <c r="D978" s="84"/>
      <c r="E978" s="84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  <c r="Y978" s="84"/>
      <c r="Z978" s="84"/>
      <c r="AA978" s="84"/>
      <c r="AB978" s="84"/>
      <c r="AC978" s="84"/>
      <c r="AD978" s="84"/>
      <c r="AE978" s="84"/>
      <c r="AF978" s="84"/>
      <c r="AG978" s="84"/>
      <c r="AH978" s="84"/>
      <c r="AI978" s="84"/>
    </row>
    <row r="979">
      <c r="A979" s="84"/>
      <c r="B979" s="84"/>
      <c r="C979" s="84"/>
      <c r="D979" s="84"/>
      <c r="E979" s="84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  <c r="Y979" s="84"/>
      <c r="Z979" s="84"/>
      <c r="AA979" s="84"/>
      <c r="AB979" s="84"/>
      <c r="AC979" s="84"/>
      <c r="AD979" s="84"/>
      <c r="AE979" s="84"/>
      <c r="AF979" s="84"/>
      <c r="AG979" s="84"/>
      <c r="AH979" s="84"/>
      <c r="AI979" s="84"/>
    </row>
    <row r="980">
      <c r="A980" s="84"/>
      <c r="B980" s="84"/>
      <c r="C980" s="84"/>
      <c r="D980" s="84"/>
      <c r="E980" s="84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  <c r="Y980" s="84"/>
      <c r="Z980" s="84"/>
      <c r="AA980" s="84"/>
      <c r="AB980" s="84"/>
      <c r="AC980" s="84"/>
      <c r="AD980" s="84"/>
      <c r="AE980" s="84"/>
      <c r="AF980" s="84"/>
      <c r="AG980" s="84"/>
      <c r="AH980" s="84"/>
      <c r="AI980" s="84"/>
    </row>
    <row r="981">
      <c r="A981" s="84"/>
      <c r="B981" s="84"/>
      <c r="C981" s="84"/>
      <c r="D981" s="84"/>
      <c r="E981" s="84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  <c r="Y981" s="84"/>
      <c r="Z981" s="84"/>
      <c r="AA981" s="84"/>
      <c r="AB981" s="84"/>
      <c r="AC981" s="84"/>
      <c r="AD981" s="84"/>
      <c r="AE981" s="84"/>
      <c r="AF981" s="84"/>
      <c r="AG981" s="84"/>
      <c r="AH981" s="84"/>
      <c r="AI981" s="84"/>
    </row>
    <row r="982">
      <c r="A982" s="84"/>
      <c r="B982" s="84"/>
      <c r="C982" s="84"/>
      <c r="D982" s="84"/>
      <c r="E982" s="84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4"/>
      <c r="X982" s="84"/>
      <c r="Y982" s="84"/>
      <c r="Z982" s="84"/>
      <c r="AA982" s="84"/>
      <c r="AB982" s="84"/>
      <c r="AC982" s="84"/>
      <c r="AD982" s="84"/>
      <c r="AE982" s="84"/>
      <c r="AF982" s="84"/>
      <c r="AG982" s="84"/>
      <c r="AH982" s="84"/>
      <c r="AI982" s="84"/>
    </row>
    <row r="983">
      <c r="A983" s="84"/>
      <c r="B983" s="84"/>
      <c r="C983" s="84"/>
      <c r="D983" s="84"/>
      <c r="E983" s="84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4"/>
      <c r="X983" s="84"/>
      <c r="Y983" s="84"/>
      <c r="Z983" s="84"/>
      <c r="AA983" s="84"/>
      <c r="AB983" s="84"/>
      <c r="AC983" s="84"/>
      <c r="AD983" s="84"/>
      <c r="AE983" s="84"/>
      <c r="AF983" s="84"/>
      <c r="AG983" s="84"/>
      <c r="AH983" s="84"/>
      <c r="AI983" s="84"/>
    </row>
    <row r="984">
      <c r="A984" s="84"/>
      <c r="B984" s="84"/>
      <c r="C984" s="84"/>
      <c r="D984" s="84"/>
      <c r="E984" s="84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4"/>
      <c r="X984" s="84"/>
      <c r="Y984" s="84"/>
      <c r="Z984" s="84"/>
      <c r="AA984" s="84"/>
      <c r="AB984" s="84"/>
      <c r="AC984" s="84"/>
      <c r="AD984" s="84"/>
      <c r="AE984" s="84"/>
      <c r="AF984" s="84"/>
      <c r="AG984" s="84"/>
      <c r="AH984" s="84"/>
      <c r="AI984" s="84"/>
    </row>
    <row r="985">
      <c r="A985" s="84"/>
      <c r="B985" s="84"/>
      <c r="C985" s="84"/>
      <c r="D985" s="84"/>
      <c r="E985" s="84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4"/>
      <c r="X985" s="84"/>
      <c r="Y985" s="84"/>
      <c r="Z985" s="84"/>
      <c r="AA985" s="84"/>
      <c r="AB985" s="84"/>
      <c r="AC985" s="84"/>
      <c r="AD985" s="84"/>
      <c r="AE985" s="84"/>
      <c r="AF985" s="84"/>
      <c r="AG985" s="84"/>
      <c r="AH985" s="84"/>
      <c r="AI985" s="84"/>
    </row>
    <row r="986">
      <c r="A986" s="84"/>
      <c r="B986" s="84"/>
      <c r="C986" s="84"/>
      <c r="D986" s="84"/>
      <c r="E986" s="84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4"/>
      <c r="X986" s="84"/>
      <c r="Y986" s="84"/>
      <c r="Z986" s="84"/>
      <c r="AA986" s="84"/>
      <c r="AB986" s="84"/>
      <c r="AC986" s="84"/>
      <c r="AD986" s="84"/>
      <c r="AE986" s="84"/>
      <c r="AF986" s="84"/>
      <c r="AG986" s="84"/>
      <c r="AH986" s="84"/>
      <c r="AI986" s="84"/>
    </row>
    <row r="987">
      <c r="A987" s="84"/>
      <c r="B987" s="84"/>
      <c r="C987" s="84"/>
      <c r="D987" s="84"/>
      <c r="E987" s="84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  <c r="Y987" s="84"/>
      <c r="Z987" s="84"/>
      <c r="AA987" s="84"/>
      <c r="AB987" s="84"/>
      <c r="AC987" s="84"/>
      <c r="AD987" s="84"/>
      <c r="AE987" s="84"/>
      <c r="AF987" s="84"/>
      <c r="AG987" s="84"/>
      <c r="AH987" s="84"/>
      <c r="AI987" s="84"/>
    </row>
    <row r="988">
      <c r="A988" s="84"/>
      <c r="B988" s="84"/>
      <c r="C988" s="84"/>
      <c r="D988" s="84"/>
      <c r="E988" s="84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4"/>
      <c r="X988" s="84"/>
      <c r="Y988" s="84"/>
      <c r="Z988" s="84"/>
      <c r="AA988" s="84"/>
      <c r="AB988" s="84"/>
      <c r="AC988" s="84"/>
      <c r="AD988" s="84"/>
      <c r="AE988" s="84"/>
      <c r="AF988" s="84"/>
      <c r="AG988" s="84"/>
      <c r="AH988" s="84"/>
      <c r="AI988" s="84"/>
    </row>
    <row r="989">
      <c r="A989" s="84"/>
      <c r="B989" s="84"/>
      <c r="C989" s="84"/>
      <c r="D989" s="84"/>
      <c r="E989" s="84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  <c r="W989" s="84"/>
      <c r="X989" s="84"/>
      <c r="Y989" s="84"/>
      <c r="Z989" s="84"/>
      <c r="AA989" s="84"/>
      <c r="AB989" s="84"/>
      <c r="AC989" s="84"/>
      <c r="AD989" s="84"/>
      <c r="AE989" s="84"/>
      <c r="AF989" s="84"/>
      <c r="AG989" s="84"/>
      <c r="AH989" s="84"/>
      <c r="AI989" s="84"/>
    </row>
    <row r="990">
      <c r="A990" s="84"/>
      <c r="B990" s="84"/>
      <c r="C990" s="84"/>
      <c r="D990" s="84"/>
      <c r="E990" s="84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  <c r="W990" s="84"/>
      <c r="X990" s="84"/>
      <c r="Y990" s="84"/>
      <c r="Z990" s="84"/>
      <c r="AA990" s="84"/>
      <c r="AB990" s="84"/>
      <c r="AC990" s="84"/>
      <c r="AD990" s="84"/>
      <c r="AE990" s="84"/>
      <c r="AF990" s="84"/>
      <c r="AG990" s="84"/>
      <c r="AH990" s="84"/>
      <c r="AI990" s="84"/>
    </row>
    <row r="991">
      <c r="A991" s="84"/>
      <c r="B991" s="84"/>
      <c r="C991" s="84"/>
      <c r="D991" s="84"/>
      <c r="E991" s="84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  <c r="W991" s="84"/>
      <c r="X991" s="84"/>
      <c r="Y991" s="84"/>
      <c r="Z991" s="84"/>
      <c r="AA991" s="84"/>
      <c r="AB991" s="84"/>
      <c r="AC991" s="84"/>
      <c r="AD991" s="84"/>
      <c r="AE991" s="84"/>
      <c r="AF991" s="84"/>
      <c r="AG991" s="84"/>
      <c r="AH991" s="84"/>
      <c r="AI991" s="84"/>
    </row>
    <row r="992">
      <c r="A992" s="84"/>
      <c r="B992" s="84"/>
      <c r="C992" s="84"/>
      <c r="D992" s="84"/>
      <c r="E992" s="84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  <c r="W992" s="84"/>
      <c r="X992" s="84"/>
      <c r="Y992" s="84"/>
      <c r="Z992" s="84"/>
      <c r="AA992" s="84"/>
      <c r="AB992" s="84"/>
      <c r="AC992" s="84"/>
      <c r="AD992" s="84"/>
      <c r="AE992" s="84"/>
      <c r="AF992" s="84"/>
      <c r="AG992" s="84"/>
      <c r="AH992" s="84"/>
      <c r="AI992" s="84"/>
    </row>
    <row r="993">
      <c r="A993" s="84"/>
      <c r="B993" s="84"/>
      <c r="C993" s="84"/>
      <c r="D993" s="84"/>
      <c r="E993" s="84"/>
      <c r="F993" s="84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  <c r="W993" s="84"/>
      <c r="X993" s="84"/>
      <c r="Y993" s="84"/>
      <c r="Z993" s="84"/>
      <c r="AA993" s="84"/>
      <c r="AB993" s="84"/>
      <c r="AC993" s="84"/>
      <c r="AD993" s="84"/>
      <c r="AE993" s="84"/>
      <c r="AF993" s="84"/>
      <c r="AG993" s="84"/>
      <c r="AH993" s="84"/>
      <c r="AI993" s="84"/>
    </row>
    <row r="994">
      <c r="A994" s="84"/>
      <c r="B994" s="84"/>
      <c r="C994" s="84"/>
      <c r="D994" s="84"/>
      <c r="E994" s="84"/>
      <c r="F994" s="84"/>
      <c r="G994" s="84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  <c r="V994" s="84"/>
      <c r="W994" s="84"/>
      <c r="X994" s="84"/>
      <c r="Y994" s="84"/>
      <c r="Z994" s="84"/>
      <c r="AA994" s="84"/>
      <c r="AB994" s="84"/>
      <c r="AC994" s="84"/>
      <c r="AD994" s="84"/>
      <c r="AE994" s="84"/>
      <c r="AF994" s="84"/>
      <c r="AG994" s="84"/>
      <c r="AH994" s="84"/>
      <c r="AI994" s="84"/>
    </row>
    <row r="995">
      <c r="A995" s="84"/>
      <c r="B995" s="84"/>
      <c r="C995" s="84"/>
      <c r="D995" s="84"/>
      <c r="E995" s="84"/>
      <c r="F995" s="84"/>
      <c r="G995" s="84"/>
      <c r="H995" s="84"/>
      <c r="I995" s="84"/>
      <c r="J995" s="84"/>
      <c r="K995" s="84"/>
      <c r="L995" s="84"/>
      <c r="M995" s="84"/>
      <c r="N995" s="84"/>
      <c r="O995" s="84"/>
      <c r="P995" s="84"/>
      <c r="Q995" s="84"/>
      <c r="R995" s="84"/>
      <c r="S995" s="84"/>
      <c r="T995" s="84"/>
      <c r="U995" s="84"/>
      <c r="V995" s="84"/>
      <c r="W995" s="84"/>
      <c r="X995" s="84"/>
      <c r="Y995" s="84"/>
      <c r="Z995" s="84"/>
      <c r="AA995" s="84"/>
      <c r="AB995" s="84"/>
      <c r="AC995" s="84"/>
      <c r="AD995" s="84"/>
      <c r="AE995" s="84"/>
      <c r="AF995" s="84"/>
      <c r="AG995" s="84"/>
      <c r="AH995" s="84"/>
      <c r="AI995" s="84"/>
    </row>
    <row r="996">
      <c r="A996" s="84"/>
      <c r="B996" s="84"/>
      <c r="C996" s="84"/>
      <c r="D996" s="84"/>
      <c r="E996" s="84"/>
      <c r="F996" s="84"/>
      <c r="G996" s="84"/>
      <c r="H996" s="84"/>
      <c r="I996" s="84"/>
      <c r="J996" s="84"/>
      <c r="K996" s="84"/>
      <c r="L996" s="84"/>
      <c r="M996" s="84"/>
      <c r="N996" s="84"/>
      <c r="O996" s="84"/>
      <c r="P996" s="84"/>
      <c r="Q996" s="84"/>
      <c r="R996" s="84"/>
      <c r="S996" s="84"/>
      <c r="T996" s="84"/>
      <c r="U996" s="84"/>
      <c r="V996" s="84"/>
      <c r="W996" s="84"/>
      <c r="X996" s="84"/>
      <c r="Y996" s="84"/>
      <c r="Z996" s="84"/>
      <c r="AA996" s="84"/>
      <c r="AB996" s="84"/>
      <c r="AC996" s="84"/>
      <c r="AD996" s="84"/>
      <c r="AE996" s="84"/>
      <c r="AF996" s="84"/>
      <c r="AG996" s="84"/>
      <c r="AH996" s="84"/>
      <c r="AI996" s="84"/>
    </row>
    <row r="997">
      <c r="A997" s="84"/>
      <c r="B997" s="84"/>
      <c r="C997" s="84"/>
      <c r="D997" s="84"/>
      <c r="E997" s="84"/>
      <c r="F997" s="84"/>
      <c r="G997" s="84"/>
      <c r="H997" s="84"/>
      <c r="I997" s="84"/>
      <c r="J997" s="84"/>
      <c r="K997" s="84"/>
      <c r="L997" s="84"/>
      <c r="M997" s="84"/>
      <c r="N997" s="84"/>
      <c r="O997" s="84"/>
      <c r="P997" s="84"/>
      <c r="Q997" s="84"/>
      <c r="R997" s="84"/>
      <c r="S997" s="84"/>
      <c r="T997" s="84"/>
      <c r="U997" s="84"/>
      <c r="V997" s="84"/>
      <c r="W997" s="84"/>
      <c r="X997" s="84"/>
      <c r="Y997" s="84"/>
      <c r="Z997" s="84"/>
      <c r="AA997" s="84"/>
      <c r="AB997" s="84"/>
      <c r="AC997" s="84"/>
      <c r="AD997" s="84"/>
      <c r="AE997" s="84"/>
      <c r="AF997" s="84"/>
      <c r="AG997" s="84"/>
      <c r="AH997" s="84"/>
      <c r="AI997" s="84"/>
    </row>
    <row r="998">
      <c r="A998" s="84"/>
      <c r="B998" s="84"/>
      <c r="C998" s="84"/>
      <c r="D998" s="84"/>
      <c r="E998" s="84"/>
      <c r="F998" s="84"/>
      <c r="G998" s="84"/>
      <c r="H998" s="84"/>
      <c r="I998" s="84"/>
      <c r="J998" s="84"/>
      <c r="K998" s="84"/>
      <c r="L998" s="84"/>
      <c r="M998" s="84"/>
      <c r="N998" s="84"/>
      <c r="O998" s="84"/>
      <c r="P998" s="84"/>
      <c r="Q998" s="84"/>
      <c r="R998" s="84"/>
      <c r="S998" s="84"/>
      <c r="T998" s="84"/>
      <c r="U998" s="84"/>
      <c r="V998" s="84"/>
      <c r="W998" s="84"/>
      <c r="X998" s="84"/>
      <c r="Y998" s="84"/>
      <c r="Z998" s="84"/>
      <c r="AA998" s="84"/>
      <c r="AB998" s="84"/>
      <c r="AC998" s="84"/>
      <c r="AD998" s="84"/>
      <c r="AE998" s="84"/>
      <c r="AF998" s="84"/>
      <c r="AG998" s="84"/>
      <c r="AH998" s="84"/>
      <c r="AI998" s="84"/>
    </row>
    <row r="999">
      <c r="A999" s="84"/>
      <c r="B999" s="84"/>
      <c r="C999" s="84"/>
      <c r="D999" s="84"/>
      <c r="E999" s="84"/>
      <c r="F999" s="84"/>
      <c r="G999" s="84"/>
      <c r="H999" s="84"/>
      <c r="I999" s="84"/>
      <c r="J999" s="84"/>
      <c r="K999" s="84"/>
      <c r="L999" s="84"/>
      <c r="M999" s="84"/>
      <c r="N999" s="84"/>
      <c r="O999" s="84"/>
      <c r="P999" s="84"/>
      <c r="Q999" s="84"/>
      <c r="R999" s="84"/>
      <c r="S999" s="84"/>
      <c r="T999" s="84"/>
      <c r="U999" s="84"/>
      <c r="V999" s="84"/>
      <c r="W999" s="84"/>
      <c r="X999" s="84"/>
      <c r="Y999" s="84"/>
      <c r="Z999" s="84"/>
      <c r="AA999" s="84"/>
      <c r="AB999" s="84"/>
      <c r="AC999" s="84"/>
      <c r="AD999" s="84"/>
      <c r="AE999" s="84"/>
      <c r="AF999" s="84"/>
      <c r="AG999" s="84"/>
      <c r="AH999" s="84"/>
      <c r="AI999" s="84"/>
    </row>
    <row r="1000">
      <c r="A1000" s="84"/>
      <c r="B1000" s="84"/>
      <c r="C1000" s="84"/>
      <c r="D1000" s="84"/>
      <c r="E1000" s="84"/>
      <c r="F1000" s="84"/>
      <c r="G1000" s="84"/>
      <c r="H1000" s="84"/>
      <c r="I1000" s="84"/>
      <c r="J1000" s="84"/>
      <c r="K1000" s="84"/>
      <c r="L1000" s="84"/>
      <c r="M1000" s="84"/>
      <c r="N1000" s="84"/>
      <c r="O1000" s="84"/>
      <c r="P1000" s="84"/>
      <c r="Q1000" s="84"/>
      <c r="R1000" s="84"/>
      <c r="S1000" s="84"/>
      <c r="T1000" s="84"/>
      <c r="U1000" s="84"/>
      <c r="V1000" s="84"/>
      <c r="W1000" s="84"/>
      <c r="X1000" s="84"/>
      <c r="Y1000" s="84"/>
      <c r="Z1000" s="84"/>
      <c r="AA1000" s="84"/>
      <c r="AB1000" s="84"/>
      <c r="AC1000" s="84"/>
      <c r="AD1000" s="84"/>
      <c r="AE1000" s="84"/>
      <c r="AF1000" s="84"/>
      <c r="AG1000" s="84"/>
      <c r="AH1000" s="84"/>
      <c r="AI1000" s="84"/>
    </row>
    <row r="1001">
      <c r="A1001" s="84"/>
      <c r="B1001" s="84"/>
      <c r="C1001" s="84"/>
      <c r="D1001" s="84"/>
      <c r="E1001" s="84"/>
      <c r="F1001" s="84"/>
      <c r="G1001" s="84"/>
      <c r="H1001" s="84"/>
      <c r="I1001" s="84"/>
      <c r="J1001" s="84"/>
      <c r="K1001" s="84"/>
      <c r="L1001" s="84"/>
      <c r="M1001" s="84"/>
      <c r="N1001" s="84"/>
      <c r="O1001" s="84"/>
      <c r="P1001" s="84"/>
      <c r="Q1001" s="84"/>
      <c r="R1001" s="84"/>
      <c r="S1001" s="84"/>
      <c r="T1001" s="84"/>
      <c r="U1001" s="84"/>
      <c r="V1001" s="84"/>
      <c r="W1001" s="84"/>
      <c r="X1001" s="84"/>
      <c r="Y1001" s="84"/>
      <c r="Z1001" s="84"/>
      <c r="AA1001" s="84"/>
      <c r="AB1001" s="84"/>
      <c r="AC1001" s="84"/>
      <c r="AD1001" s="84"/>
      <c r="AE1001" s="84"/>
      <c r="AF1001" s="84"/>
      <c r="AG1001" s="84"/>
      <c r="AH1001" s="84"/>
      <c r="AI1001" s="84"/>
    </row>
    <row r="1002">
      <c r="A1002" s="84"/>
      <c r="B1002" s="84"/>
      <c r="C1002" s="84"/>
      <c r="D1002" s="84"/>
      <c r="E1002" s="84"/>
      <c r="F1002" s="84"/>
      <c r="G1002" s="84"/>
      <c r="H1002" s="84"/>
      <c r="I1002" s="84"/>
      <c r="J1002" s="84"/>
      <c r="K1002" s="84"/>
      <c r="L1002" s="84"/>
      <c r="M1002" s="84"/>
      <c r="N1002" s="84"/>
      <c r="O1002" s="84"/>
      <c r="P1002" s="84"/>
      <c r="Q1002" s="84"/>
      <c r="R1002" s="84"/>
      <c r="S1002" s="84"/>
      <c r="T1002" s="84"/>
      <c r="U1002" s="84"/>
      <c r="V1002" s="84"/>
      <c r="W1002" s="84"/>
      <c r="X1002" s="84"/>
      <c r="Y1002" s="84"/>
      <c r="Z1002" s="84"/>
      <c r="AA1002" s="84"/>
      <c r="AB1002" s="84"/>
      <c r="AC1002" s="84"/>
      <c r="AD1002" s="84"/>
      <c r="AE1002" s="84"/>
      <c r="AF1002" s="84"/>
      <c r="AG1002" s="84"/>
      <c r="AH1002" s="84"/>
      <c r="AI1002" s="84"/>
    </row>
    <row r="1003">
      <c r="A1003" s="84"/>
      <c r="B1003" s="84"/>
      <c r="C1003" s="84"/>
      <c r="D1003" s="84"/>
      <c r="E1003" s="84"/>
      <c r="F1003" s="84"/>
      <c r="G1003" s="84"/>
      <c r="H1003" s="84"/>
      <c r="I1003" s="84"/>
      <c r="J1003" s="84"/>
      <c r="K1003" s="84"/>
      <c r="L1003" s="84"/>
      <c r="M1003" s="84"/>
      <c r="N1003" s="84"/>
      <c r="O1003" s="84"/>
      <c r="P1003" s="84"/>
      <c r="Q1003" s="84"/>
      <c r="R1003" s="84"/>
      <c r="S1003" s="84"/>
      <c r="T1003" s="84"/>
      <c r="U1003" s="84"/>
      <c r="V1003" s="84"/>
      <c r="W1003" s="84"/>
      <c r="X1003" s="84"/>
      <c r="Y1003" s="84"/>
      <c r="Z1003" s="84"/>
      <c r="AA1003" s="84"/>
      <c r="AB1003" s="84"/>
      <c r="AC1003" s="84"/>
      <c r="AD1003" s="84"/>
      <c r="AE1003" s="84"/>
      <c r="AF1003" s="84"/>
      <c r="AG1003" s="84"/>
      <c r="AH1003" s="84"/>
      <c r="AI1003" s="84"/>
    </row>
    <row r="1004">
      <c r="A1004" s="84"/>
      <c r="B1004" s="84"/>
      <c r="C1004" s="84"/>
      <c r="D1004" s="84"/>
      <c r="E1004" s="84"/>
      <c r="F1004" s="84"/>
      <c r="G1004" s="84"/>
      <c r="H1004" s="84"/>
      <c r="I1004" s="84"/>
      <c r="J1004" s="84"/>
      <c r="K1004" s="84"/>
      <c r="L1004" s="84"/>
      <c r="M1004" s="84"/>
      <c r="N1004" s="84"/>
      <c r="O1004" s="84"/>
      <c r="P1004" s="84"/>
      <c r="Q1004" s="84"/>
      <c r="R1004" s="84"/>
      <c r="S1004" s="84"/>
      <c r="T1004" s="84"/>
      <c r="U1004" s="84"/>
      <c r="V1004" s="84"/>
      <c r="W1004" s="84"/>
      <c r="X1004" s="84"/>
      <c r="Y1004" s="84"/>
      <c r="Z1004" s="84"/>
      <c r="AA1004" s="84"/>
      <c r="AB1004" s="84"/>
      <c r="AC1004" s="84"/>
      <c r="AD1004" s="84"/>
      <c r="AE1004" s="84"/>
      <c r="AF1004" s="84"/>
      <c r="AG1004" s="84"/>
      <c r="AH1004" s="84"/>
      <c r="AI1004" s="84"/>
    </row>
    <row r="1005">
      <c r="A1005" s="84"/>
      <c r="B1005" s="84"/>
      <c r="C1005" s="84"/>
      <c r="D1005" s="84"/>
      <c r="E1005" s="84"/>
      <c r="F1005" s="84"/>
      <c r="G1005" s="84"/>
      <c r="H1005" s="84"/>
      <c r="I1005" s="84"/>
      <c r="J1005" s="84"/>
      <c r="K1005" s="84"/>
      <c r="L1005" s="84"/>
      <c r="M1005" s="84"/>
      <c r="N1005" s="84"/>
      <c r="O1005" s="84"/>
      <c r="P1005" s="84"/>
      <c r="Q1005" s="84"/>
      <c r="R1005" s="84"/>
      <c r="S1005" s="84"/>
      <c r="T1005" s="84"/>
      <c r="U1005" s="84"/>
      <c r="V1005" s="84"/>
      <c r="W1005" s="84"/>
      <c r="X1005" s="84"/>
      <c r="Y1005" s="84"/>
      <c r="Z1005" s="84"/>
      <c r="AA1005" s="84"/>
      <c r="AB1005" s="84"/>
      <c r="AC1005" s="84"/>
      <c r="AD1005" s="84"/>
      <c r="AE1005" s="84"/>
      <c r="AF1005" s="84"/>
      <c r="AG1005" s="84"/>
      <c r="AH1005" s="84"/>
      <c r="AI1005" s="84"/>
    </row>
    <row r="1006">
      <c r="A1006" s="84"/>
      <c r="B1006" s="84"/>
      <c r="C1006" s="84"/>
      <c r="D1006" s="84"/>
      <c r="E1006" s="84"/>
      <c r="F1006" s="84"/>
      <c r="G1006" s="84"/>
      <c r="H1006" s="84"/>
      <c r="I1006" s="84"/>
      <c r="J1006" s="84"/>
      <c r="K1006" s="84"/>
      <c r="L1006" s="84"/>
      <c r="M1006" s="84"/>
      <c r="N1006" s="84"/>
      <c r="O1006" s="84"/>
      <c r="P1006" s="84"/>
      <c r="Q1006" s="84"/>
      <c r="R1006" s="84"/>
      <c r="S1006" s="84"/>
      <c r="T1006" s="84"/>
      <c r="U1006" s="84"/>
      <c r="V1006" s="84"/>
      <c r="W1006" s="84"/>
      <c r="X1006" s="84"/>
      <c r="Y1006" s="84"/>
      <c r="Z1006" s="84"/>
      <c r="AA1006" s="84"/>
      <c r="AB1006" s="84"/>
      <c r="AC1006" s="84"/>
      <c r="AD1006" s="84"/>
      <c r="AE1006" s="84"/>
      <c r="AF1006" s="84"/>
      <c r="AG1006" s="84"/>
      <c r="AH1006" s="84"/>
      <c r="AI1006" s="84"/>
    </row>
    <row r="1007">
      <c r="A1007" s="84"/>
      <c r="B1007" s="84"/>
      <c r="C1007" s="84"/>
      <c r="D1007" s="84"/>
      <c r="E1007" s="84"/>
      <c r="F1007" s="84"/>
      <c r="G1007" s="84"/>
      <c r="H1007" s="84"/>
      <c r="I1007" s="84"/>
      <c r="J1007" s="84"/>
      <c r="K1007" s="84"/>
      <c r="L1007" s="84"/>
      <c r="M1007" s="84"/>
      <c r="N1007" s="84"/>
      <c r="O1007" s="84"/>
      <c r="P1007" s="84"/>
      <c r="Q1007" s="84"/>
      <c r="R1007" s="84"/>
      <c r="S1007" s="84"/>
      <c r="T1007" s="84"/>
      <c r="U1007" s="84"/>
      <c r="V1007" s="84"/>
      <c r="W1007" s="84"/>
      <c r="X1007" s="84"/>
      <c r="Y1007" s="84"/>
      <c r="Z1007" s="84"/>
      <c r="AA1007" s="84"/>
      <c r="AB1007" s="84"/>
      <c r="AC1007" s="84"/>
      <c r="AD1007" s="84"/>
      <c r="AE1007" s="84"/>
      <c r="AF1007" s="84"/>
      <c r="AG1007" s="84"/>
      <c r="AH1007" s="84"/>
      <c r="AI1007" s="84"/>
    </row>
    <row r="1008">
      <c r="A1008" s="84"/>
      <c r="B1008" s="84"/>
      <c r="C1008" s="84"/>
      <c r="D1008" s="84"/>
      <c r="E1008" s="84"/>
      <c r="F1008" s="84"/>
      <c r="G1008" s="84"/>
      <c r="H1008" s="84"/>
      <c r="I1008" s="84"/>
      <c r="J1008" s="84"/>
      <c r="K1008" s="84"/>
      <c r="L1008" s="84"/>
      <c r="M1008" s="84"/>
      <c r="N1008" s="84"/>
      <c r="O1008" s="84"/>
      <c r="P1008" s="84"/>
      <c r="Q1008" s="84"/>
      <c r="R1008" s="84"/>
      <c r="S1008" s="84"/>
      <c r="T1008" s="84"/>
      <c r="U1008" s="84"/>
      <c r="V1008" s="84"/>
      <c r="W1008" s="84"/>
      <c r="X1008" s="84"/>
      <c r="Y1008" s="84"/>
      <c r="Z1008" s="84"/>
      <c r="AA1008" s="84"/>
      <c r="AB1008" s="84"/>
      <c r="AC1008" s="84"/>
      <c r="AD1008" s="84"/>
      <c r="AE1008" s="84"/>
      <c r="AF1008" s="84"/>
      <c r="AG1008" s="84"/>
      <c r="AH1008" s="84"/>
      <c r="AI1008" s="84"/>
    </row>
    <row r="1009">
      <c r="A1009" s="84"/>
      <c r="B1009" s="84"/>
      <c r="C1009" s="84"/>
      <c r="D1009" s="84"/>
      <c r="E1009" s="84"/>
      <c r="F1009" s="84"/>
      <c r="G1009" s="84"/>
      <c r="H1009" s="84"/>
      <c r="I1009" s="84"/>
      <c r="J1009" s="84"/>
      <c r="K1009" s="84"/>
      <c r="L1009" s="84"/>
      <c r="M1009" s="84"/>
      <c r="N1009" s="84"/>
      <c r="O1009" s="84"/>
      <c r="P1009" s="84"/>
      <c r="Q1009" s="84"/>
      <c r="R1009" s="84"/>
      <c r="S1009" s="84"/>
      <c r="T1009" s="84"/>
      <c r="U1009" s="84"/>
      <c r="V1009" s="84"/>
      <c r="W1009" s="84"/>
      <c r="X1009" s="84"/>
      <c r="Y1009" s="84"/>
      <c r="Z1009" s="84"/>
      <c r="AA1009" s="84"/>
      <c r="AB1009" s="84"/>
      <c r="AC1009" s="84"/>
      <c r="AD1009" s="84"/>
      <c r="AE1009" s="84"/>
      <c r="AF1009" s="84"/>
      <c r="AG1009" s="84"/>
      <c r="AH1009" s="84"/>
      <c r="AI1009" s="84"/>
    </row>
    <row r="1010">
      <c r="A1010" s="84"/>
      <c r="B1010" s="84"/>
      <c r="C1010" s="84"/>
      <c r="D1010" s="84"/>
      <c r="E1010" s="84"/>
      <c r="F1010" s="84"/>
      <c r="G1010" s="84"/>
      <c r="H1010" s="84"/>
      <c r="I1010" s="84"/>
      <c r="J1010" s="84"/>
      <c r="K1010" s="84"/>
      <c r="L1010" s="84"/>
      <c r="M1010" s="84"/>
      <c r="N1010" s="84"/>
      <c r="O1010" s="84"/>
      <c r="P1010" s="84"/>
      <c r="Q1010" s="84"/>
      <c r="R1010" s="84"/>
      <c r="S1010" s="84"/>
      <c r="T1010" s="84"/>
      <c r="U1010" s="84"/>
      <c r="V1010" s="84"/>
      <c r="W1010" s="84"/>
      <c r="X1010" s="84"/>
      <c r="Y1010" s="84"/>
      <c r="Z1010" s="84"/>
      <c r="AA1010" s="84"/>
      <c r="AB1010" s="84"/>
      <c r="AC1010" s="84"/>
      <c r="AD1010" s="84"/>
      <c r="AE1010" s="84"/>
      <c r="AF1010" s="84"/>
      <c r="AG1010" s="84"/>
      <c r="AH1010" s="84"/>
      <c r="AI1010" s="84"/>
    </row>
    <row r="1011">
      <c r="A1011" s="84"/>
      <c r="B1011" s="84"/>
      <c r="C1011" s="84"/>
      <c r="D1011" s="84"/>
      <c r="E1011" s="84"/>
      <c r="F1011" s="84"/>
      <c r="G1011" s="84"/>
      <c r="H1011" s="84"/>
      <c r="I1011" s="84"/>
      <c r="J1011" s="84"/>
      <c r="K1011" s="84"/>
      <c r="L1011" s="84"/>
      <c r="M1011" s="84"/>
      <c r="N1011" s="84"/>
      <c r="O1011" s="84"/>
      <c r="P1011" s="84"/>
      <c r="Q1011" s="84"/>
      <c r="R1011" s="84"/>
      <c r="S1011" s="84"/>
      <c r="T1011" s="84"/>
      <c r="U1011" s="84"/>
      <c r="V1011" s="84"/>
      <c r="W1011" s="84"/>
      <c r="X1011" s="84"/>
      <c r="Y1011" s="84"/>
      <c r="Z1011" s="84"/>
      <c r="AA1011" s="84"/>
      <c r="AB1011" s="84"/>
      <c r="AC1011" s="84"/>
      <c r="AD1011" s="84"/>
      <c r="AE1011" s="84"/>
      <c r="AF1011" s="84"/>
      <c r="AG1011" s="84"/>
      <c r="AH1011" s="84"/>
      <c r="AI1011" s="84"/>
    </row>
    <row r="1012">
      <c r="A1012" s="84"/>
      <c r="B1012" s="84"/>
      <c r="C1012" s="84"/>
      <c r="D1012" s="84"/>
      <c r="E1012" s="84"/>
      <c r="F1012" s="84"/>
      <c r="G1012" s="84"/>
      <c r="H1012" s="84"/>
      <c r="I1012" s="84"/>
      <c r="J1012" s="84"/>
      <c r="K1012" s="84"/>
      <c r="L1012" s="84"/>
      <c r="M1012" s="84"/>
      <c r="N1012" s="84"/>
      <c r="O1012" s="84"/>
      <c r="P1012" s="84"/>
      <c r="Q1012" s="84"/>
      <c r="R1012" s="84"/>
      <c r="S1012" s="84"/>
      <c r="T1012" s="84"/>
      <c r="U1012" s="84"/>
      <c r="V1012" s="84"/>
      <c r="W1012" s="84"/>
      <c r="X1012" s="84"/>
      <c r="Y1012" s="84"/>
      <c r="Z1012" s="84"/>
      <c r="AA1012" s="84"/>
      <c r="AB1012" s="84"/>
      <c r="AC1012" s="84"/>
      <c r="AD1012" s="84"/>
      <c r="AE1012" s="84"/>
      <c r="AF1012" s="84"/>
      <c r="AG1012" s="84"/>
      <c r="AH1012" s="84"/>
      <c r="AI1012" s="84"/>
    </row>
    <row r="1013">
      <c r="A1013" s="84"/>
      <c r="B1013" s="84"/>
      <c r="C1013" s="84"/>
      <c r="D1013" s="84"/>
      <c r="E1013" s="84"/>
      <c r="F1013" s="84"/>
      <c r="G1013" s="84"/>
      <c r="H1013" s="84"/>
      <c r="I1013" s="84"/>
      <c r="J1013" s="84"/>
      <c r="K1013" s="84"/>
      <c r="L1013" s="84"/>
      <c r="M1013" s="84"/>
      <c r="N1013" s="84"/>
      <c r="O1013" s="84"/>
      <c r="P1013" s="84"/>
      <c r="Q1013" s="84"/>
      <c r="R1013" s="84"/>
      <c r="S1013" s="84"/>
      <c r="T1013" s="84"/>
      <c r="U1013" s="84"/>
      <c r="V1013" s="84"/>
      <c r="W1013" s="84"/>
      <c r="X1013" s="84"/>
      <c r="Y1013" s="84"/>
      <c r="Z1013" s="84"/>
      <c r="AA1013" s="84"/>
      <c r="AB1013" s="84"/>
      <c r="AC1013" s="84"/>
      <c r="AD1013" s="84"/>
      <c r="AE1013" s="84"/>
      <c r="AF1013" s="84"/>
      <c r="AG1013" s="84"/>
      <c r="AH1013" s="84"/>
      <c r="AI1013" s="84"/>
    </row>
    <row r="1014">
      <c r="A1014" s="84"/>
      <c r="B1014" s="84"/>
      <c r="C1014" s="84"/>
      <c r="D1014" s="84"/>
      <c r="E1014" s="84"/>
      <c r="F1014" s="84"/>
      <c r="G1014" s="84"/>
      <c r="H1014" s="84"/>
      <c r="I1014" s="84"/>
      <c r="J1014" s="84"/>
      <c r="K1014" s="84"/>
      <c r="L1014" s="84"/>
      <c r="M1014" s="84"/>
      <c r="N1014" s="84"/>
      <c r="O1014" s="84"/>
      <c r="P1014" s="84"/>
      <c r="Q1014" s="84"/>
      <c r="R1014" s="84"/>
      <c r="S1014" s="84"/>
      <c r="T1014" s="84"/>
      <c r="U1014" s="84"/>
      <c r="V1014" s="84"/>
      <c r="W1014" s="84"/>
      <c r="X1014" s="84"/>
      <c r="Y1014" s="84"/>
      <c r="Z1014" s="84"/>
      <c r="AA1014" s="84"/>
      <c r="AB1014" s="84"/>
      <c r="AC1014" s="84"/>
      <c r="AD1014" s="84"/>
      <c r="AE1014" s="84"/>
      <c r="AF1014" s="84"/>
      <c r="AG1014" s="84"/>
      <c r="AH1014" s="84"/>
      <c r="AI1014" s="84"/>
    </row>
    <row r="1015">
      <c r="A1015" s="84"/>
      <c r="B1015" s="84"/>
      <c r="C1015" s="84"/>
      <c r="D1015" s="84"/>
      <c r="E1015" s="84"/>
      <c r="F1015" s="84"/>
      <c r="G1015" s="84"/>
      <c r="H1015" s="84"/>
      <c r="I1015" s="84"/>
      <c r="J1015" s="84"/>
      <c r="K1015" s="84"/>
      <c r="L1015" s="84"/>
      <c r="M1015" s="84"/>
      <c r="N1015" s="84"/>
      <c r="O1015" s="84"/>
      <c r="P1015" s="84"/>
      <c r="Q1015" s="84"/>
      <c r="R1015" s="84"/>
      <c r="S1015" s="84"/>
      <c r="T1015" s="84"/>
      <c r="U1015" s="84"/>
      <c r="V1015" s="84"/>
      <c r="W1015" s="84"/>
      <c r="X1015" s="84"/>
      <c r="Y1015" s="84"/>
      <c r="Z1015" s="84"/>
      <c r="AA1015" s="84"/>
      <c r="AB1015" s="84"/>
      <c r="AC1015" s="84"/>
      <c r="AD1015" s="84"/>
      <c r="AE1015" s="84"/>
      <c r="AF1015" s="84"/>
      <c r="AG1015" s="84"/>
      <c r="AH1015" s="84"/>
      <c r="AI1015" s="84"/>
    </row>
    <row r="1016">
      <c r="A1016" s="84"/>
      <c r="B1016" s="84"/>
      <c r="C1016" s="84"/>
      <c r="D1016" s="84"/>
      <c r="E1016" s="84"/>
      <c r="F1016" s="84"/>
      <c r="G1016" s="84"/>
      <c r="H1016" s="84"/>
      <c r="I1016" s="84"/>
      <c r="J1016" s="84"/>
      <c r="K1016" s="84"/>
      <c r="L1016" s="84"/>
      <c r="M1016" s="84"/>
      <c r="N1016" s="84"/>
      <c r="O1016" s="84"/>
      <c r="P1016" s="84"/>
      <c r="Q1016" s="84"/>
      <c r="R1016" s="84"/>
      <c r="S1016" s="84"/>
      <c r="T1016" s="84"/>
      <c r="U1016" s="84"/>
      <c r="V1016" s="84"/>
      <c r="W1016" s="84"/>
      <c r="X1016" s="84"/>
      <c r="Y1016" s="84"/>
      <c r="Z1016" s="84"/>
      <c r="AA1016" s="84"/>
      <c r="AB1016" s="84"/>
      <c r="AC1016" s="84"/>
      <c r="AD1016" s="84"/>
      <c r="AE1016" s="84"/>
      <c r="AF1016" s="84"/>
      <c r="AG1016" s="84"/>
      <c r="AH1016" s="84"/>
      <c r="AI1016" s="84"/>
    </row>
    <row r="1017">
      <c r="A1017" s="84"/>
      <c r="B1017" s="84"/>
      <c r="C1017" s="84"/>
      <c r="D1017" s="84"/>
      <c r="E1017" s="84"/>
      <c r="F1017" s="84"/>
      <c r="G1017" s="84"/>
      <c r="H1017" s="84"/>
      <c r="I1017" s="84"/>
      <c r="J1017" s="84"/>
      <c r="K1017" s="84"/>
      <c r="L1017" s="84"/>
      <c r="M1017" s="84"/>
      <c r="N1017" s="84"/>
      <c r="O1017" s="84"/>
      <c r="P1017" s="84"/>
      <c r="Q1017" s="84"/>
      <c r="R1017" s="84"/>
      <c r="S1017" s="84"/>
      <c r="T1017" s="84"/>
      <c r="U1017" s="84"/>
      <c r="V1017" s="84"/>
      <c r="W1017" s="84"/>
      <c r="X1017" s="84"/>
      <c r="Y1017" s="84"/>
      <c r="Z1017" s="84"/>
      <c r="AA1017" s="84"/>
      <c r="AB1017" s="84"/>
      <c r="AC1017" s="84"/>
      <c r="AD1017" s="84"/>
      <c r="AE1017" s="84"/>
      <c r="AF1017" s="84"/>
      <c r="AG1017" s="84"/>
      <c r="AH1017" s="84"/>
      <c r="AI1017" s="84"/>
    </row>
    <row r="1018">
      <c r="A1018" s="84"/>
      <c r="B1018" s="84"/>
      <c r="C1018" s="84"/>
      <c r="D1018" s="84"/>
      <c r="E1018" s="84"/>
      <c r="F1018" s="84"/>
      <c r="G1018" s="84"/>
      <c r="H1018" s="84"/>
      <c r="I1018" s="84"/>
      <c r="J1018" s="84"/>
      <c r="K1018" s="84"/>
      <c r="L1018" s="84"/>
      <c r="M1018" s="84"/>
      <c r="N1018" s="84"/>
      <c r="O1018" s="84"/>
      <c r="P1018" s="84"/>
      <c r="Q1018" s="84"/>
      <c r="R1018" s="84"/>
      <c r="S1018" s="84"/>
      <c r="T1018" s="84"/>
      <c r="U1018" s="84"/>
      <c r="V1018" s="84"/>
      <c r="W1018" s="84"/>
      <c r="X1018" s="84"/>
      <c r="Y1018" s="84"/>
      <c r="Z1018" s="84"/>
      <c r="AA1018" s="84"/>
      <c r="AB1018" s="84"/>
      <c r="AC1018" s="84"/>
      <c r="AD1018" s="84"/>
      <c r="AE1018" s="84"/>
      <c r="AF1018" s="84"/>
      <c r="AG1018" s="84"/>
      <c r="AH1018" s="84"/>
      <c r="AI1018" s="84"/>
    </row>
    <row r="1019">
      <c r="A1019" s="84"/>
      <c r="B1019" s="84"/>
      <c r="C1019" s="84"/>
      <c r="D1019" s="84"/>
      <c r="E1019" s="84"/>
      <c r="F1019" s="84"/>
      <c r="G1019" s="84"/>
      <c r="H1019" s="84"/>
      <c r="I1019" s="84"/>
      <c r="J1019" s="84"/>
      <c r="K1019" s="84"/>
      <c r="L1019" s="84"/>
      <c r="M1019" s="84"/>
      <c r="N1019" s="84"/>
      <c r="O1019" s="84"/>
      <c r="P1019" s="84"/>
      <c r="Q1019" s="84"/>
      <c r="R1019" s="84"/>
      <c r="S1019" s="84"/>
      <c r="T1019" s="84"/>
      <c r="U1019" s="84"/>
      <c r="V1019" s="84"/>
      <c r="W1019" s="84"/>
      <c r="X1019" s="84"/>
      <c r="Y1019" s="84"/>
      <c r="Z1019" s="84"/>
      <c r="AA1019" s="84"/>
      <c r="AB1019" s="84"/>
      <c r="AC1019" s="84"/>
      <c r="AD1019" s="84"/>
      <c r="AE1019" s="84"/>
      <c r="AF1019" s="84"/>
      <c r="AG1019" s="84"/>
      <c r="AH1019" s="84"/>
      <c r="AI1019" s="84"/>
    </row>
    <row r="1020">
      <c r="A1020" s="84"/>
      <c r="B1020" s="84"/>
      <c r="C1020" s="84"/>
      <c r="D1020" s="84"/>
      <c r="E1020" s="84"/>
      <c r="F1020" s="84"/>
      <c r="G1020" s="84"/>
      <c r="H1020" s="84"/>
      <c r="I1020" s="84"/>
      <c r="J1020" s="84"/>
      <c r="K1020" s="84"/>
      <c r="L1020" s="84"/>
      <c r="M1020" s="84"/>
      <c r="N1020" s="84"/>
      <c r="O1020" s="84"/>
      <c r="P1020" s="84"/>
      <c r="Q1020" s="84"/>
      <c r="R1020" s="84"/>
      <c r="S1020" s="84"/>
      <c r="T1020" s="84"/>
      <c r="U1020" s="84"/>
      <c r="V1020" s="84"/>
      <c r="W1020" s="84"/>
      <c r="X1020" s="84"/>
      <c r="Y1020" s="84"/>
      <c r="Z1020" s="84"/>
      <c r="AA1020" s="84"/>
      <c r="AB1020" s="84"/>
      <c r="AC1020" s="84"/>
      <c r="AD1020" s="84"/>
      <c r="AE1020" s="84"/>
      <c r="AF1020" s="84"/>
      <c r="AG1020" s="84"/>
      <c r="AH1020" s="84"/>
      <c r="AI1020" s="84"/>
    </row>
    <row r="1021">
      <c r="A1021" s="84"/>
      <c r="B1021" s="84"/>
      <c r="C1021" s="84"/>
      <c r="D1021" s="84"/>
      <c r="E1021" s="84"/>
      <c r="F1021" s="84"/>
      <c r="G1021" s="84"/>
      <c r="H1021" s="84"/>
      <c r="I1021" s="84"/>
      <c r="J1021" s="84"/>
      <c r="K1021" s="84"/>
      <c r="L1021" s="84"/>
      <c r="M1021" s="84"/>
      <c r="N1021" s="84"/>
      <c r="O1021" s="84"/>
      <c r="P1021" s="84"/>
      <c r="Q1021" s="84"/>
      <c r="R1021" s="84"/>
      <c r="S1021" s="84"/>
      <c r="T1021" s="84"/>
      <c r="U1021" s="84"/>
      <c r="V1021" s="84"/>
      <c r="W1021" s="84"/>
      <c r="X1021" s="84"/>
      <c r="Y1021" s="84"/>
      <c r="Z1021" s="84"/>
      <c r="AA1021" s="84"/>
      <c r="AB1021" s="84"/>
      <c r="AC1021" s="84"/>
      <c r="AD1021" s="84"/>
      <c r="AE1021" s="84"/>
      <c r="AF1021" s="84"/>
      <c r="AG1021" s="84"/>
      <c r="AH1021" s="84"/>
      <c r="AI1021" s="84"/>
    </row>
    <row r="1022">
      <c r="A1022" s="84"/>
      <c r="B1022" s="84"/>
      <c r="C1022" s="84"/>
      <c r="D1022" s="84"/>
      <c r="E1022" s="84"/>
      <c r="F1022" s="84"/>
      <c r="G1022" s="84"/>
      <c r="H1022" s="84"/>
      <c r="I1022" s="84"/>
      <c r="J1022" s="84"/>
      <c r="K1022" s="84"/>
      <c r="L1022" s="84"/>
      <c r="M1022" s="84"/>
      <c r="N1022" s="84"/>
      <c r="O1022" s="84"/>
      <c r="P1022" s="84"/>
      <c r="Q1022" s="84"/>
      <c r="R1022" s="84"/>
      <c r="S1022" s="84"/>
      <c r="T1022" s="84"/>
      <c r="U1022" s="84"/>
      <c r="V1022" s="84"/>
      <c r="W1022" s="84"/>
      <c r="X1022" s="84"/>
      <c r="Y1022" s="84"/>
      <c r="Z1022" s="84"/>
      <c r="AA1022" s="84"/>
      <c r="AB1022" s="84"/>
      <c r="AC1022" s="84"/>
      <c r="AD1022" s="84"/>
      <c r="AE1022" s="84"/>
      <c r="AF1022" s="84"/>
      <c r="AG1022" s="84"/>
      <c r="AH1022" s="84"/>
      <c r="AI1022" s="84"/>
    </row>
    <row r="1023">
      <c r="A1023" s="84"/>
      <c r="B1023" s="84"/>
      <c r="C1023" s="84"/>
      <c r="D1023" s="84"/>
      <c r="E1023" s="84"/>
      <c r="F1023" s="84"/>
      <c r="G1023" s="84"/>
      <c r="H1023" s="84"/>
      <c r="I1023" s="84"/>
      <c r="J1023" s="84"/>
      <c r="K1023" s="84"/>
      <c r="L1023" s="84"/>
      <c r="M1023" s="84"/>
      <c r="N1023" s="84"/>
      <c r="O1023" s="84"/>
      <c r="P1023" s="84"/>
      <c r="Q1023" s="84"/>
      <c r="R1023" s="84"/>
      <c r="S1023" s="84"/>
      <c r="T1023" s="84"/>
      <c r="U1023" s="84"/>
      <c r="V1023" s="84"/>
      <c r="W1023" s="84"/>
      <c r="X1023" s="84"/>
      <c r="Y1023" s="84"/>
      <c r="Z1023" s="84"/>
      <c r="AA1023" s="84"/>
      <c r="AB1023" s="84"/>
      <c r="AC1023" s="84"/>
      <c r="AD1023" s="84"/>
      <c r="AE1023" s="84"/>
      <c r="AF1023" s="84"/>
      <c r="AG1023" s="84"/>
      <c r="AH1023" s="84"/>
      <c r="AI1023" s="84"/>
    </row>
    <row r="1024">
      <c r="A1024" s="84"/>
      <c r="B1024" s="84"/>
      <c r="C1024" s="84"/>
      <c r="D1024" s="84"/>
      <c r="E1024" s="84"/>
      <c r="F1024" s="84"/>
      <c r="G1024" s="84"/>
      <c r="H1024" s="84"/>
      <c r="I1024" s="84"/>
      <c r="J1024" s="84"/>
      <c r="K1024" s="84"/>
      <c r="L1024" s="84"/>
      <c r="M1024" s="84"/>
      <c r="N1024" s="84"/>
      <c r="O1024" s="84"/>
      <c r="P1024" s="84"/>
      <c r="Q1024" s="84"/>
      <c r="R1024" s="84"/>
      <c r="S1024" s="84"/>
      <c r="T1024" s="84"/>
      <c r="U1024" s="84"/>
      <c r="V1024" s="84"/>
      <c r="W1024" s="84"/>
      <c r="X1024" s="84"/>
      <c r="Y1024" s="84"/>
      <c r="Z1024" s="84"/>
      <c r="AA1024" s="84"/>
      <c r="AB1024" s="84"/>
      <c r="AC1024" s="84"/>
      <c r="AD1024" s="84"/>
      <c r="AE1024" s="84"/>
      <c r="AF1024" s="84"/>
      <c r="AG1024" s="84"/>
      <c r="AH1024" s="84"/>
      <c r="AI1024" s="84"/>
    </row>
    <row r="1025">
      <c r="A1025" s="84"/>
      <c r="B1025" s="84"/>
      <c r="C1025" s="84"/>
      <c r="D1025" s="84"/>
      <c r="E1025" s="84"/>
      <c r="F1025" s="84"/>
      <c r="G1025" s="84"/>
      <c r="H1025" s="84"/>
      <c r="I1025" s="84"/>
      <c r="J1025" s="84"/>
      <c r="K1025" s="84"/>
      <c r="L1025" s="84"/>
      <c r="M1025" s="84"/>
      <c r="N1025" s="84"/>
      <c r="O1025" s="84"/>
      <c r="P1025" s="84"/>
      <c r="Q1025" s="84"/>
      <c r="R1025" s="84"/>
      <c r="S1025" s="84"/>
      <c r="T1025" s="84"/>
      <c r="U1025" s="84"/>
      <c r="V1025" s="84"/>
      <c r="W1025" s="84"/>
      <c r="X1025" s="84"/>
      <c r="Y1025" s="84"/>
      <c r="Z1025" s="84"/>
      <c r="AA1025" s="84"/>
      <c r="AB1025" s="84"/>
      <c r="AC1025" s="84"/>
      <c r="AD1025" s="84"/>
      <c r="AE1025" s="84"/>
      <c r="AF1025" s="84"/>
      <c r="AG1025" s="84"/>
      <c r="AH1025" s="84"/>
      <c r="AI1025" s="84"/>
    </row>
    <row r="1026">
      <c r="A1026" s="84"/>
      <c r="B1026" s="84"/>
      <c r="C1026" s="84"/>
      <c r="D1026" s="84"/>
      <c r="E1026" s="84"/>
      <c r="F1026" s="84"/>
      <c r="G1026" s="84"/>
      <c r="H1026" s="84"/>
      <c r="I1026" s="84"/>
      <c r="J1026" s="84"/>
      <c r="K1026" s="84"/>
      <c r="L1026" s="84"/>
      <c r="M1026" s="84"/>
      <c r="N1026" s="84"/>
      <c r="O1026" s="84"/>
      <c r="P1026" s="84"/>
      <c r="Q1026" s="84"/>
      <c r="R1026" s="84"/>
      <c r="S1026" s="84"/>
      <c r="T1026" s="84"/>
      <c r="U1026" s="84"/>
      <c r="V1026" s="84"/>
      <c r="W1026" s="84"/>
      <c r="X1026" s="84"/>
      <c r="Y1026" s="84"/>
      <c r="Z1026" s="84"/>
      <c r="AA1026" s="84"/>
      <c r="AB1026" s="84"/>
      <c r="AC1026" s="84"/>
      <c r="AD1026" s="84"/>
      <c r="AE1026" s="84"/>
      <c r="AF1026" s="84"/>
      <c r="AG1026" s="84"/>
      <c r="AH1026" s="84"/>
      <c r="AI1026" s="84"/>
    </row>
    <row r="1027">
      <c r="A1027" s="84"/>
      <c r="B1027" s="84"/>
      <c r="C1027" s="84"/>
      <c r="D1027" s="84"/>
      <c r="E1027" s="84"/>
      <c r="F1027" s="84"/>
      <c r="G1027" s="84"/>
      <c r="H1027" s="84"/>
      <c r="I1027" s="84"/>
      <c r="J1027" s="84"/>
      <c r="K1027" s="84"/>
      <c r="L1027" s="84"/>
      <c r="M1027" s="84"/>
      <c r="N1027" s="84"/>
      <c r="O1027" s="84"/>
      <c r="P1027" s="84"/>
      <c r="Q1027" s="84"/>
      <c r="R1027" s="84"/>
      <c r="S1027" s="84"/>
      <c r="T1027" s="84"/>
      <c r="U1027" s="84"/>
      <c r="V1027" s="84"/>
      <c r="W1027" s="84"/>
      <c r="X1027" s="84"/>
      <c r="Y1027" s="84"/>
      <c r="Z1027" s="84"/>
      <c r="AA1027" s="84"/>
      <c r="AB1027" s="84"/>
      <c r="AC1027" s="84"/>
      <c r="AD1027" s="84"/>
      <c r="AE1027" s="84"/>
      <c r="AF1027" s="84"/>
      <c r="AG1027" s="84"/>
      <c r="AH1027" s="84"/>
      <c r="AI1027" s="84"/>
    </row>
    <row r="1028">
      <c r="A1028" s="84"/>
      <c r="B1028" s="84"/>
      <c r="C1028" s="84"/>
      <c r="D1028" s="84"/>
      <c r="E1028" s="84"/>
      <c r="F1028" s="84"/>
      <c r="G1028" s="84"/>
      <c r="H1028" s="84"/>
      <c r="I1028" s="84"/>
      <c r="J1028" s="84"/>
      <c r="K1028" s="84"/>
      <c r="L1028" s="84"/>
      <c r="M1028" s="84"/>
      <c r="N1028" s="84"/>
      <c r="O1028" s="84"/>
      <c r="P1028" s="84"/>
      <c r="Q1028" s="84"/>
      <c r="R1028" s="84"/>
      <c r="S1028" s="84"/>
      <c r="T1028" s="84"/>
      <c r="U1028" s="84"/>
      <c r="V1028" s="84"/>
      <c r="W1028" s="84"/>
      <c r="X1028" s="84"/>
      <c r="Y1028" s="84"/>
      <c r="Z1028" s="84"/>
      <c r="AA1028" s="84"/>
      <c r="AB1028" s="84"/>
      <c r="AC1028" s="84"/>
      <c r="AD1028" s="84"/>
      <c r="AE1028" s="84"/>
      <c r="AF1028" s="84"/>
      <c r="AG1028" s="84"/>
      <c r="AH1028" s="84"/>
      <c r="AI1028" s="84"/>
    </row>
    <row r="1029">
      <c r="A1029" s="84"/>
      <c r="B1029" s="84"/>
      <c r="C1029" s="84"/>
      <c r="D1029" s="84"/>
      <c r="E1029" s="84"/>
      <c r="F1029" s="84"/>
      <c r="G1029" s="84"/>
      <c r="H1029" s="84"/>
      <c r="I1029" s="84"/>
      <c r="J1029" s="84"/>
      <c r="K1029" s="84"/>
      <c r="L1029" s="84"/>
      <c r="M1029" s="84"/>
      <c r="N1029" s="84"/>
      <c r="O1029" s="84"/>
      <c r="P1029" s="84"/>
      <c r="Q1029" s="84"/>
      <c r="R1029" s="84"/>
      <c r="S1029" s="84"/>
      <c r="T1029" s="84"/>
      <c r="U1029" s="84"/>
      <c r="V1029" s="84"/>
      <c r="W1029" s="84"/>
      <c r="X1029" s="84"/>
      <c r="Y1029" s="84"/>
      <c r="Z1029" s="84"/>
      <c r="AA1029" s="84"/>
      <c r="AB1029" s="84"/>
      <c r="AC1029" s="84"/>
      <c r="AD1029" s="84"/>
      <c r="AE1029" s="84"/>
      <c r="AF1029" s="84"/>
      <c r="AG1029" s="84"/>
      <c r="AH1029" s="84"/>
      <c r="AI1029" s="84"/>
    </row>
    <row r="1030">
      <c r="A1030" s="84"/>
      <c r="B1030" s="84"/>
      <c r="C1030" s="84"/>
      <c r="D1030" s="84"/>
      <c r="E1030" s="84"/>
      <c r="F1030" s="84"/>
      <c r="G1030" s="84"/>
      <c r="H1030" s="84"/>
      <c r="I1030" s="84"/>
      <c r="J1030" s="84"/>
      <c r="K1030" s="84"/>
      <c r="L1030" s="84"/>
      <c r="M1030" s="84"/>
      <c r="N1030" s="84"/>
      <c r="O1030" s="84"/>
      <c r="P1030" s="84"/>
      <c r="Q1030" s="84"/>
      <c r="R1030" s="84"/>
      <c r="S1030" s="84"/>
      <c r="T1030" s="84"/>
      <c r="U1030" s="84"/>
      <c r="V1030" s="84"/>
      <c r="W1030" s="84"/>
      <c r="X1030" s="84"/>
      <c r="Y1030" s="84"/>
      <c r="Z1030" s="84"/>
      <c r="AA1030" s="84"/>
      <c r="AB1030" s="84"/>
      <c r="AC1030" s="84"/>
      <c r="AD1030" s="84"/>
      <c r="AE1030" s="84"/>
      <c r="AF1030" s="84"/>
      <c r="AG1030" s="84"/>
      <c r="AH1030" s="84"/>
      <c r="AI1030" s="84"/>
    </row>
    <row r="1031">
      <c r="A1031" s="84"/>
      <c r="B1031" s="84"/>
      <c r="C1031" s="84"/>
      <c r="D1031" s="84"/>
      <c r="E1031" s="84"/>
      <c r="F1031" s="84"/>
      <c r="G1031" s="84"/>
      <c r="H1031" s="84"/>
      <c r="I1031" s="84"/>
      <c r="J1031" s="84"/>
      <c r="K1031" s="84"/>
      <c r="L1031" s="84"/>
      <c r="M1031" s="84"/>
      <c r="N1031" s="84"/>
      <c r="O1031" s="84"/>
      <c r="P1031" s="84"/>
      <c r="Q1031" s="84"/>
      <c r="R1031" s="84"/>
      <c r="S1031" s="84"/>
      <c r="T1031" s="84"/>
      <c r="U1031" s="84"/>
      <c r="V1031" s="84"/>
      <c r="W1031" s="84"/>
      <c r="X1031" s="84"/>
      <c r="Y1031" s="84"/>
      <c r="Z1031" s="84"/>
      <c r="AA1031" s="84"/>
      <c r="AB1031" s="84"/>
      <c r="AC1031" s="84"/>
      <c r="AD1031" s="84"/>
      <c r="AE1031" s="84"/>
      <c r="AF1031" s="84"/>
      <c r="AG1031" s="84"/>
      <c r="AH1031" s="84"/>
      <c r="AI1031" s="84"/>
    </row>
    <row r="1032">
      <c r="A1032" s="84"/>
      <c r="B1032" s="84"/>
      <c r="C1032" s="84"/>
      <c r="D1032" s="84"/>
      <c r="E1032" s="84"/>
      <c r="F1032" s="84"/>
      <c r="G1032" s="84"/>
      <c r="H1032" s="84"/>
      <c r="I1032" s="84"/>
      <c r="J1032" s="84"/>
      <c r="K1032" s="84"/>
      <c r="L1032" s="84"/>
      <c r="M1032" s="84"/>
      <c r="N1032" s="84"/>
      <c r="O1032" s="84"/>
      <c r="P1032" s="84"/>
      <c r="Q1032" s="84"/>
      <c r="R1032" s="84"/>
      <c r="S1032" s="84"/>
      <c r="T1032" s="84"/>
      <c r="U1032" s="84"/>
      <c r="V1032" s="84"/>
      <c r="W1032" s="84"/>
      <c r="X1032" s="84"/>
      <c r="Y1032" s="84"/>
      <c r="Z1032" s="84"/>
      <c r="AA1032" s="84"/>
      <c r="AB1032" s="84"/>
      <c r="AC1032" s="84"/>
      <c r="AD1032" s="84"/>
      <c r="AE1032" s="84"/>
      <c r="AF1032" s="84"/>
      <c r="AG1032" s="84"/>
      <c r="AH1032" s="84"/>
      <c r="AI1032" s="84"/>
    </row>
    <row r="1033">
      <c r="A1033" s="84"/>
      <c r="B1033" s="84"/>
      <c r="C1033" s="84"/>
      <c r="D1033" s="84"/>
      <c r="E1033" s="84"/>
      <c r="F1033" s="84"/>
      <c r="G1033" s="84"/>
      <c r="H1033" s="84"/>
      <c r="I1033" s="84"/>
      <c r="J1033" s="84"/>
      <c r="K1033" s="84"/>
      <c r="L1033" s="84"/>
      <c r="M1033" s="84"/>
      <c r="N1033" s="84"/>
      <c r="O1033" s="84"/>
      <c r="P1033" s="84"/>
      <c r="Q1033" s="84"/>
      <c r="R1033" s="84"/>
      <c r="S1033" s="84"/>
      <c r="T1033" s="84"/>
      <c r="U1033" s="84"/>
      <c r="V1033" s="84"/>
      <c r="W1033" s="84"/>
      <c r="X1033" s="84"/>
      <c r="Y1033" s="84"/>
      <c r="Z1033" s="84"/>
      <c r="AA1033" s="84"/>
      <c r="AB1033" s="84"/>
      <c r="AC1033" s="84"/>
      <c r="AD1033" s="84"/>
      <c r="AE1033" s="84"/>
      <c r="AF1033" s="84"/>
      <c r="AG1033" s="84"/>
      <c r="AH1033" s="84"/>
      <c r="AI1033" s="84"/>
    </row>
    <row r="1034">
      <c r="A1034" s="84"/>
      <c r="B1034" s="84"/>
      <c r="C1034" s="84"/>
      <c r="D1034" s="84"/>
      <c r="E1034" s="84"/>
      <c r="F1034" s="84"/>
      <c r="G1034" s="84"/>
      <c r="H1034" s="84"/>
      <c r="I1034" s="84"/>
      <c r="J1034" s="84"/>
      <c r="K1034" s="84"/>
      <c r="L1034" s="84"/>
      <c r="M1034" s="84"/>
      <c r="N1034" s="84"/>
      <c r="O1034" s="84"/>
      <c r="P1034" s="84"/>
      <c r="Q1034" s="84"/>
      <c r="R1034" s="84"/>
      <c r="S1034" s="84"/>
      <c r="T1034" s="84"/>
      <c r="U1034" s="84"/>
      <c r="V1034" s="84"/>
      <c r="W1034" s="84"/>
      <c r="X1034" s="84"/>
      <c r="Y1034" s="84"/>
      <c r="Z1034" s="84"/>
      <c r="AA1034" s="84"/>
      <c r="AB1034" s="84"/>
      <c r="AC1034" s="84"/>
      <c r="AD1034" s="84"/>
      <c r="AE1034" s="84"/>
      <c r="AF1034" s="84"/>
      <c r="AG1034" s="84"/>
      <c r="AH1034" s="84"/>
      <c r="AI1034" s="84"/>
    </row>
    <row r="1035">
      <c r="A1035" s="84"/>
      <c r="B1035" s="84"/>
      <c r="C1035" s="84"/>
      <c r="D1035" s="84"/>
      <c r="E1035" s="84"/>
      <c r="F1035" s="84"/>
      <c r="G1035" s="84"/>
      <c r="H1035" s="84"/>
      <c r="I1035" s="84"/>
      <c r="J1035" s="84"/>
      <c r="K1035" s="84"/>
      <c r="L1035" s="84"/>
      <c r="M1035" s="84"/>
      <c r="N1035" s="84"/>
      <c r="O1035" s="84"/>
      <c r="P1035" s="84"/>
      <c r="Q1035" s="84"/>
      <c r="R1035" s="84"/>
      <c r="S1035" s="84"/>
      <c r="T1035" s="84"/>
      <c r="U1035" s="84"/>
      <c r="V1035" s="84"/>
      <c r="W1035" s="84"/>
      <c r="X1035" s="84"/>
      <c r="Y1035" s="84"/>
      <c r="Z1035" s="84"/>
      <c r="AA1035" s="84"/>
      <c r="AB1035" s="84"/>
      <c r="AC1035" s="84"/>
      <c r="AD1035" s="84"/>
      <c r="AE1035" s="84"/>
      <c r="AF1035" s="84"/>
      <c r="AG1035" s="84"/>
      <c r="AH1035" s="84"/>
      <c r="AI1035" s="84"/>
    </row>
    <row r="1036">
      <c r="A1036" s="84"/>
      <c r="B1036" s="84"/>
      <c r="C1036" s="84"/>
      <c r="D1036" s="84"/>
      <c r="E1036" s="84"/>
      <c r="F1036" s="84"/>
      <c r="G1036" s="84"/>
      <c r="H1036" s="84"/>
      <c r="I1036" s="84"/>
      <c r="J1036" s="84"/>
      <c r="K1036" s="84"/>
      <c r="L1036" s="84"/>
      <c r="M1036" s="84"/>
      <c r="N1036" s="84"/>
      <c r="O1036" s="84"/>
      <c r="P1036" s="84"/>
      <c r="Q1036" s="84"/>
      <c r="R1036" s="84"/>
      <c r="S1036" s="84"/>
      <c r="T1036" s="84"/>
      <c r="U1036" s="84"/>
      <c r="V1036" s="84"/>
      <c r="W1036" s="84"/>
      <c r="X1036" s="84"/>
      <c r="Y1036" s="84"/>
      <c r="Z1036" s="84"/>
      <c r="AA1036" s="84"/>
      <c r="AB1036" s="84"/>
      <c r="AC1036" s="84"/>
      <c r="AD1036" s="84"/>
      <c r="AE1036" s="84"/>
      <c r="AF1036" s="84"/>
      <c r="AG1036" s="84"/>
      <c r="AH1036" s="84"/>
      <c r="AI1036" s="84"/>
    </row>
    <row r="1037">
      <c r="A1037" s="84"/>
      <c r="B1037" s="84"/>
      <c r="C1037" s="84"/>
      <c r="D1037" s="84"/>
      <c r="E1037" s="84"/>
      <c r="F1037" s="84"/>
      <c r="G1037" s="84"/>
      <c r="H1037" s="84"/>
      <c r="I1037" s="84"/>
      <c r="J1037" s="84"/>
      <c r="K1037" s="84"/>
      <c r="L1037" s="84"/>
      <c r="M1037" s="84"/>
      <c r="N1037" s="84"/>
      <c r="O1037" s="84"/>
      <c r="P1037" s="84"/>
      <c r="Q1037" s="84"/>
      <c r="R1037" s="84"/>
      <c r="S1037" s="84"/>
      <c r="T1037" s="84"/>
      <c r="U1037" s="84"/>
      <c r="V1037" s="84"/>
      <c r="W1037" s="84"/>
      <c r="X1037" s="84"/>
      <c r="Y1037" s="84"/>
      <c r="Z1037" s="84"/>
      <c r="AA1037" s="84"/>
      <c r="AB1037" s="84"/>
      <c r="AC1037" s="84"/>
      <c r="AD1037" s="84"/>
      <c r="AE1037" s="84"/>
      <c r="AF1037" s="84"/>
      <c r="AG1037" s="84"/>
      <c r="AH1037" s="84"/>
      <c r="AI1037" s="84"/>
    </row>
    <row r="1038">
      <c r="A1038" s="84"/>
      <c r="B1038" s="84"/>
      <c r="C1038" s="84"/>
      <c r="D1038" s="84"/>
      <c r="E1038" s="84"/>
      <c r="F1038" s="84"/>
      <c r="G1038" s="84"/>
      <c r="H1038" s="84"/>
      <c r="I1038" s="84"/>
      <c r="J1038" s="84"/>
      <c r="K1038" s="84"/>
      <c r="L1038" s="84"/>
      <c r="M1038" s="84"/>
      <c r="N1038" s="84"/>
      <c r="O1038" s="84"/>
      <c r="P1038" s="84"/>
      <c r="Q1038" s="84"/>
      <c r="R1038" s="84"/>
      <c r="S1038" s="84"/>
      <c r="T1038" s="84"/>
      <c r="U1038" s="84"/>
      <c r="V1038" s="84"/>
      <c r="W1038" s="84"/>
      <c r="X1038" s="84"/>
      <c r="Y1038" s="84"/>
      <c r="Z1038" s="84"/>
      <c r="AA1038" s="84"/>
      <c r="AB1038" s="84"/>
      <c r="AC1038" s="84"/>
      <c r="AD1038" s="84"/>
      <c r="AE1038" s="84"/>
      <c r="AF1038" s="84"/>
      <c r="AG1038" s="84"/>
      <c r="AH1038" s="84"/>
      <c r="AI1038" s="84"/>
    </row>
    <row r="1039">
      <c r="A1039" s="84"/>
      <c r="B1039" s="84"/>
      <c r="C1039" s="84"/>
      <c r="D1039" s="84"/>
      <c r="E1039" s="84"/>
      <c r="F1039" s="84"/>
      <c r="G1039" s="84"/>
      <c r="H1039" s="84"/>
      <c r="I1039" s="84"/>
      <c r="J1039" s="84"/>
      <c r="K1039" s="84"/>
      <c r="L1039" s="84"/>
      <c r="M1039" s="84"/>
      <c r="N1039" s="84"/>
      <c r="O1039" s="84"/>
      <c r="P1039" s="84"/>
      <c r="Q1039" s="84"/>
      <c r="R1039" s="84"/>
      <c r="S1039" s="84"/>
      <c r="T1039" s="84"/>
      <c r="U1039" s="84"/>
      <c r="V1039" s="84"/>
      <c r="W1039" s="84"/>
      <c r="X1039" s="84"/>
      <c r="Y1039" s="84"/>
      <c r="Z1039" s="84"/>
      <c r="AA1039" s="84"/>
      <c r="AB1039" s="84"/>
      <c r="AC1039" s="84"/>
      <c r="AD1039" s="84"/>
      <c r="AE1039" s="84"/>
      <c r="AF1039" s="84"/>
      <c r="AG1039" s="84"/>
      <c r="AH1039" s="84"/>
      <c r="AI1039" s="84"/>
    </row>
    <row r="1040">
      <c r="A1040" s="84"/>
      <c r="B1040" s="84"/>
      <c r="C1040" s="84"/>
      <c r="D1040" s="84"/>
      <c r="E1040" s="84"/>
      <c r="F1040" s="84"/>
      <c r="G1040" s="84"/>
      <c r="H1040" s="84"/>
      <c r="I1040" s="84"/>
      <c r="J1040" s="84"/>
      <c r="K1040" s="84"/>
      <c r="L1040" s="84"/>
      <c r="M1040" s="84"/>
      <c r="N1040" s="84"/>
      <c r="O1040" s="84"/>
      <c r="P1040" s="84"/>
      <c r="Q1040" s="84"/>
      <c r="R1040" s="84"/>
      <c r="S1040" s="84"/>
      <c r="T1040" s="84"/>
      <c r="U1040" s="84"/>
      <c r="V1040" s="84"/>
      <c r="W1040" s="84"/>
      <c r="X1040" s="84"/>
      <c r="Y1040" s="84"/>
      <c r="Z1040" s="84"/>
      <c r="AA1040" s="84"/>
      <c r="AB1040" s="84"/>
      <c r="AC1040" s="84"/>
      <c r="AD1040" s="84"/>
      <c r="AE1040" s="84"/>
      <c r="AF1040" s="84"/>
      <c r="AG1040" s="84"/>
      <c r="AH1040" s="84"/>
      <c r="AI1040" s="84"/>
    </row>
    <row r="1041">
      <c r="A1041" s="84"/>
      <c r="B1041" s="84"/>
      <c r="C1041" s="84"/>
      <c r="D1041" s="84"/>
      <c r="E1041" s="84"/>
      <c r="F1041" s="84"/>
      <c r="G1041" s="84"/>
      <c r="H1041" s="84"/>
      <c r="I1041" s="84"/>
      <c r="J1041" s="84"/>
      <c r="K1041" s="84"/>
      <c r="L1041" s="84"/>
      <c r="M1041" s="84"/>
      <c r="N1041" s="84"/>
      <c r="O1041" s="84"/>
      <c r="P1041" s="84"/>
      <c r="Q1041" s="84"/>
      <c r="R1041" s="84"/>
      <c r="S1041" s="84"/>
      <c r="T1041" s="84"/>
      <c r="U1041" s="84"/>
      <c r="V1041" s="84"/>
      <c r="W1041" s="84"/>
      <c r="X1041" s="84"/>
      <c r="Y1041" s="84"/>
      <c r="Z1041" s="84"/>
      <c r="AA1041" s="84"/>
      <c r="AB1041" s="84"/>
      <c r="AC1041" s="84"/>
      <c r="AD1041" s="84"/>
      <c r="AE1041" s="84"/>
      <c r="AF1041" s="84"/>
      <c r="AG1041" s="84"/>
      <c r="AH1041" s="84"/>
      <c r="AI1041" s="84"/>
    </row>
    <row r="1042">
      <c r="A1042" s="84"/>
      <c r="B1042" s="84"/>
      <c r="C1042" s="84"/>
      <c r="D1042" s="84"/>
      <c r="E1042" s="84"/>
      <c r="F1042" s="84"/>
      <c r="G1042" s="84"/>
      <c r="H1042" s="84"/>
      <c r="I1042" s="84"/>
      <c r="J1042" s="84"/>
      <c r="K1042" s="84"/>
      <c r="L1042" s="84"/>
      <c r="M1042" s="84"/>
      <c r="N1042" s="84"/>
      <c r="O1042" s="84"/>
      <c r="P1042" s="84"/>
      <c r="Q1042" s="84"/>
      <c r="R1042" s="84"/>
      <c r="S1042" s="84"/>
      <c r="T1042" s="84"/>
      <c r="U1042" s="84"/>
      <c r="V1042" s="84"/>
      <c r="W1042" s="84"/>
      <c r="X1042" s="84"/>
      <c r="Y1042" s="84"/>
      <c r="Z1042" s="84"/>
      <c r="AA1042" s="84"/>
      <c r="AB1042" s="84"/>
      <c r="AC1042" s="84"/>
      <c r="AD1042" s="84"/>
      <c r="AE1042" s="84"/>
      <c r="AF1042" s="84"/>
      <c r="AG1042" s="84"/>
      <c r="AH1042" s="84"/>
      <c r="AI1042" s="84"/>
    </row>
    <row r="1043">
      <c r="A1043" s="84"/>
      <c r="B1043" s="84"/>
      <c r="C1043" s="84"/>
      <c r="D1043" s="84"/>
      <c r="E1043" s="84"/>
      <c r="F1043" s="84"/>
      <c r="G1043" s="84"/>
      <c r="H1043" s="84"/>
      <c r="I1043" s="84"/>
      <c r="J1043" s="84"/>
      <c r="K1043" s="84"/>
      <c r="L1043" s="84"/>
      <c r="M1043" s="84"/>
      <c r="N1043" s="84"/>
      <c r="O1043" s="84"/>
      <c r="P1043" s="84"/>
      <c r="Q1043" s="84"/>
      <c r="R1043" s="84"/>
      <c r="S1043" s="84"/>
      <c r="T1043" s="84"/>
      <c r="U1043" s="84"/>
      <c r="V1043" s="84"/>
      <c r="W1043" s="84"/>
      <c r="X1043" s="84"/>
      <c r="Y1043" s="84"/>
      <c r="Z1043" s="84"/>
      <c r="AA1043" s="84"/>
      <c r="AB1043" s="84"/>
      <c r="AC1043" s="84"/>
      <c r="AD1043" s="84"/>
      <c r="AE1043" s="84"/>
      <c r="AF1043" s="84"/>
      <c r="AG1043" s="84"/>
      <c r="AH1043" s="84"/>
      <c r="AI1043" s="84"/>
    </row>
    <row r="1044">
      <c r="A1044" s="84"/>
      <c r="B1044" s="84"/>
      <c r="C1044" s="84"/>
      <c r="D1044" s="84"/>
      <c r="E1044" s="84"/>
      <c r="F1044" s="84"/>
      <c r="G1044" s="84"/>
      <c r="H1044" s="84"/>
      <c r="I1044" s="84"/>
      <c r="J1044" s="84"/>
      <c r="K1044" s="84"/>
      <c r="L1044" s="84"/>
      <c r="M1044" s="84"/>
      <c r="N1044" s="84"/>
      <c r="O1044" s="84"/>
      <c r="P1044" s="84"/>
      <c r="Q1044" s="84"/>
      <c r="R1044" s="84"/>
      <c r="S1044" s="84"/>
      <c r="T1044" s="84"/>
      <c r="U1044" s="84"/>
      <c r="V1044" s="84"/>
      <c r="W1044" s="84"/>
      <c r="X1044" s="84"/>
      <c r="Y1044" s="84"/>
      <c r="Z1044" s="84"/>
      <c r="AA1044" s="84"/>
      <c r="AB1044" s="84"/>
      <c r="AC1044" s="84"/>
      <c r="AD1044" s="84"/>
      <c r="AE1044" s="84"/>
      <c r="AF1044" s="84"/>
      <c r="AG1044" s="84"/>
      <c r="AH1044" s="84"/>
      <c r="AI1044" s="84"/>
    </row>
    <row r="1045">
      <c r="A1045" s="84"/>
      <c r="B1045" s="84"/>
      <c r="C1045" s="84"/>
      <c r="D1045" s="84"/>
      <c r="E1045" s="84"/>
      <c r="F1045" s="84"/>
      <c r="G1045" s="84"/>
      <c r="H1045" s="84"/>
      <c r="I1045" s="84"/>
      <c r="J1045" s="84"/>
      <c r="K1045" s="84"/>
      <c r="L1045" s="84"/>
      <c r="M1045" s="84"/>
      <c r="N1045" s="84"/>
      <c r="O1045" s="84"/>
      <c r="P1045" s="84"/>
      <c r="Q1045" s="84"/>
      <c r="R1045" s="84"/>
      <c r="S1045" s="84"/>
      <c r="T1045" s="84"/>
      <c r="U1045" s="84"/>
      <c r="V1045" s="84"/>
      <c r="W1045" s="84"/>
      <c r="X1045" s="84"/>
      <c r="Y1045" s="84"/>
      <c r="Z1045" s="84"/>
      <c r="AA1045" s="84"/>
      <c r="AB1045" s="84"/>
      <c r="AC1045" s="84"/>
      <c r="AD1045" s="84"/>
      <c r="AE1045" s="84"/>
      <c r="AF1045" s="84"/>
      <c r="AG1045" s="84"/>
      <c r="AH1045" s="84"/>
      <c r="AI1045" s="84"/>
    </row>
    <row r="1046">
      <c r="A1046" s="84"/>
      <c r="B1046" s="84"/>
      <c r="C1046" s="84"/>
      <c r="D1046" s="84"/>
      <c r="E1046" s="84"/>
      <c r="F1046" s="84"/>
      <c r="G1046" s="84"/>
      <c r="H1046" s="84"/>
      <c r="I1046" s="84"/>
      <c r="J1046" s="84"/>
      <c r="K1046" s="84"/>
      <c r="L1046" s="84"/>
      <c r="M1046" s="84"/>
      <c r="N1046" s="84"/>
      <c r="O1046" s="84"/>
      <c r="P1046" s="84"/>
      <c r="Q1046" s="84"/>
      <c r="R1046" s="84"/>
      <c r="S1046" s="84"/>
      <c r="T1046" s="84"/>
      <c r="U1046" s="84"/>
      <c r="V1046" s="84"/>
      <c r="W1046" s="84"/>
      <c r="X1046" s="84"/>
      <c r="Y1046" s="84"/>
      <c r="Z1046" s="84"/>
      <c r="AA1046" s="84"/>
      <c r="AB1046" s="84"/>
      <c r="AC1046" s="84"/>
      <c r="AD1046" s="84"/>
      <c r="AE1046" s="84"/>
      <c r="AF1046" s="84"/>
      <c r="AG1046" s="84"/>
      <c r="AH1046" s="84"/>
      <c r="AI1046" s="84"/>
    </row>
    <row r="1047">
      <c r="A1047" s="84"/>
      <c r="B1047" s="84"/>
      <c r="C1047" s="84"/>
      <c r="D1047" s="84"/>
      <c r="E1047" s="84"/>
      <c r="F1047" s="84"/>
      <c r="G1047" s="84"/>
      <c r="H1047" s="84"/>
      <c r="I1047" s="84"/>
      <c r="J1047" s="84"/>
      <c r="K1047" s="84"/>
      <c r="L1047" s="84"/>
      <c r="M1047" s="84"/>
      <c r="N1047" s="84"/>
      <c r="O1047" s="84"/>
      <c r="P1047" s="84"/>
      <c r="Q1047" s="84"/>
      <c r="R1047" s="84"/>
      <c r="S1047" s="84"/>
      <c r="T1047" s="84"/>
      <c r="U1047" s="84"/>
      <c r="V1047" s="84"/>
      <c r="W1047" s="84"/>
      <c r="X1047" s="84"/>
      <c r="Y1047" s="84"/>
      <c r="Z1047" s="84"/>
      <c r="AA1047" s="84"/>
      <c r="AB1047" s="84"/>
      <c r="AC1047" s="84"/>
      <c r="AD1047" s="84"/>
      <c r="AE1047" s="84"/>
      <c r="AF1047" s="84"/>
      <c r="AG1047" s="84"/>
      <c r="AH1047" s="84"/>
      <c r="AI1047" s="84"/>
    </row>
    <row r="1048">
      <c r="A1048" s="84"/>
      <c r="B1048" s="84"/>
      <c r="C1048" s="84"/>
      <c r="D1048" s="84"/>
      <c r="E1048" s="84"/>
      <c r="F1048" s="84"/>
      <c r="G1048" s="84"/>
      <c r="H1048" s="84"/>
      <c r="I1048" s="84"/>
      <c r="J1048" s="84"/>
      <c r="K1048" s="84"/>
      <c r="L1048" s="84"/>
      <c r="M1048" s="84"/>
      <c r="N1048" s="84"/>
      <c r="O1048" s="84"/>
      <c r="P1048" s="84"/>
      <c r="Q1048" s="84"/>
      <c r="R1048" s="84"/>
      <c r="S1048" s="84"/>
      <c r="T1048" s="84"/>
      <c r="U1048" s="84"/>
      <c r="V1048" s="84"/>
      <c r="W1048" s="84"/>
      <c r="X1048" s="84"/>
      <c r="Y1048" s="84"/>
      <c r="Z1048" s="84"/>
      <c r="AA1048" s="84"/>
      <c r="AB1048" s="84"/>
      <c r="AC1048" s="84"/>
      <c r="AD1048" s="84"/>
      <c r="AE1048" s="84"/>
      <c r="AF1048" s="84"/>
      <c r="AG1048" s="84"/>
      <c r="AH1048" s="84"/>
      <c r="AI1048" s="84"/>
    </row>
    <row r="1049">
      <c r="A1049" s="84"/>
      <c r="B1049" s="84"/>
      <c r="C1049" s="84"/>
      <c r="D1049" s="84"/>
      <c r="E1049" s="84"/>
      <c r="F1049" s="84"/>
      <c r="G1049" s="84"/>
      <c r="H1049" s="84"/>
      <c r="I1049" s="84"/>
      <c r="J1049" s="84"/>
      <c r="K1049" s="84"/>
      <c r="L1049" s="84"/>
      <c r="M1049" s="84"/>
      <c r="N1049" s="84"/>
      <c r="O1049" s="84"/>
      <c r="P1049" s="84"/>
      <c r="Q1049" s="84"/>
      <c r="R1049" s="84"/>
      <c r="S1049" s="84"/>
      <c r="T1049" s="84"/>
      <c r="U1049" s="84"/>
      <c r="V1049" s="84"/>
      <c r="W1049" s="84"/>
      <c r="X1049" s="84"/>
      <c r="Y1049" s="84"/>
      <c r="Z1049" s="84"/>
      <c r="AA1049" s="84"/>
      <c r="AB1049" s="84"/>
      <c r="AC1049" s="84"/>
      <c r="AD1049" s="84"/>
      <c r="AE1049" s="84"/>
      <c r="AF1049" s="84"/>
      <c r="AG1049" s="84"/>
      <c r="AH1049" s="84"/>
      <c r="AI1049" s="84"/>
    </row>
    <row r="1050">
      <c r="A1050" s="84"/>
      <c r="B1050" s="84"/>
      <c r="C1050" s="84"/>
      <c r="D1050" s="84"/>
      <c r="E1050" s="84"/>
      <c r="F1050" s="84"/>
      <c r="G1050" s="84"/>
      <c r="H1050" s="84"/>
      <c r="I1050" s="84"/>
      <c r="J1050" s="84"/>
      <c r="K1050" s="84"/>
      <c r="L1050" s="84"/>
      <c r="M1050" s="84"/>
      <c r="N1050" s="84"/>
      <c r="O1050" s="84"/>
      <c r="P1050" s="84"/>
      <c r="Q1050" s="84"/>
      <c r="R1050" s="84"/>
      <c r="S1050" s="84"/>
      <c r="T1050" s="84"/>
      <c r="U1050" s="84"/>
      <c r="V1050" s="84"/>
      <c r="W1050" s="84"/>
      <c r="X1050" s="84"/>
      <c r="Y1050" s="84"/>
      <c r="Z1050" s="84"/>
      <c r="AA1050" s="84"/>
      <c r="AB1050" s="84"/>
      <c r="AC1050" s="84"/>
      <c r="AD1050" s="84"/>
      <c r="AE1050" s="84"/>
      <c r="AF1050" s="84"/>
      <c r="AG1050" s="84"/>
      <c r="AH1050" s="84"/>
      <c r="AI1050" s="84"/>
    </row>
    <row r="1051">
      <c r="A1051" s="84"/>
      <c r="B1051" s="84"/>
      <c r="C1051" s="84"/>
      <c r="D1051" s="84"/>
      <c r="E1051" s="84"/>
      <c r="F1051" s="84"/>
      <c r="G1051" s="84"/>
      <c r="H1051" s="84"/>
      <c r="I1051" s="84"/>
      <c r="J1051" s="84"/>
      <c r="K1051" s="84"/>
      <c r="L1051" s="84"/>
      <c r="M1051" s="84"/>
      <c r="N1051" s="84"/>
      <c r="O1051" s="84"/>
      <c r="P1051" s="84"/>
      <c r="Q1051" s="84"/>
      <c r="R1051" s="84"/>
      <c r="S1051" s="84"/>
      <c r="T1051" s="84"/>
      <c r="U1051" s="84"/>
      <c r="V1051" s="84"/>
      <c r="W1051" s="84"/>
      <c r="X1051" s="84"/>
      <c r="Y1051" s="84"/>
      <c r="Z1051" s="84"/>
      <c r="AA1051" s="84"/>
      <c r="AB1051" s="84"/>
      <c r="AC1051" s="84"/>
      <c r="AD1051" s="84"/>
      <c r="AE1051" s="84"/>
      <c r="AF1051" s="84"/>
      <c r="AG1051" s="84"/>
      <c r="AH1051" s="84"/>
      <c r="AI1051" s="84"/>
    </row>
    <row r="1052">
      <c r="A1052" s="84"/>
      <c r="B1052" s="84"/>
      <c r="C1052" s="84"/>
      <c r="D1052" s="84"/>
      <c r="E1052" s="84"/>
      <c r="F1052" s="84"/>
      <c r="G1052" s="84"/>
      <c r="H1052" s="84"/>
      <c r="I1052" s="84"/>
      <c r="J1052" s="84"/>
      <c r="K1052" s="84"/>
      <c r="L1052" s="84"/>
      <c r="M1052" s="84"/>
      <c r="N1052" s="84"/>
      <c r="O1052" s="84"/>
      <c r="P1052" s="84"/>
      <c r="Q1052" s="84"/>
      <c r="R1052" s="84"/>
      <c r="S1052" s="84"/>
      <c r="T1052" s="84"/>
      <c r="U1052" s="84"/>
      <c r="V1052" s="84"/>
      <c r="W1052" s="84"/>
      <c r="X1052" s="84"/>
      <c r="Y1052" s="84"/>
      <c r="Z1052" s="84"/>
      <c r="AA1052" s="84"/>
      <c r="AB1052" s="84"/>
      <c r="AC1052" s="84"/>
      <c r="AD1052" s="84"/>
      <c r="AE1052" s="84"/>
      <c r="AF1052" s="84"/>
      <c r="AG1052" s="84"/>
      <c r="AH1052" s="84"/>
      <c r="AI1052" s="84"/>
    </row>
    <row r="1053">
      <c r="A1053" s="84"/>
      <c r="B1053" s="84"/>
      <c r="C1053" s="84"/>
      <c r="D1053" s="84"/>
      <c r="E1053" s="84"/>
      <c r="F1053" s="84"/>
      <c r="G1053" s="84"/>
      <c r="H1053" s="84"/>
      <c r="I1053" s="84"/>
      <c r="J1053" s="84"/>
      <c r="K1053" s="84"/>
      <c r="L1053" s="84"/>
      <c r="M1053" s="84"/>
      <c r="N1053" s="84"/>
      <c r="O1053" s="84"/>
      <c r="P1053" s="84"/>
      <c r="Q1053" s="84"/>
      <c r="R1053" s="84"/>
      <c r="S1053" s="84"/>
      <c r="T1053" s="84"/>
      <c r="U1053" s="84"/>
      <c r="V1053" s="84"/>
      <c r="W1053" s="84"/>
      <c r="X1053" s="84"/>
      <c r="Y1053" s="84"/>
      <c r="Z1053" s="84"/>
      <c r="AA1053" s="84"/>
      <c r="AB1053" s="84"/>
      <c r="AC1053" s="84"/>
      <c r="AD1053" s="84"/>
      <c r="AE1053" s="84"/>
      <c r="AF1053" s="84"/>
      <c r="AG1053" s="84"/>
      <c r="AH1053" s="84"/>
      <c r="AI1053" s="84"/>
    </row>
    <row r="1054">
      <c r="A1054" s="84"/>
      <c r="B1054" s="84"/>
      <c r="C1054" s="84"/>
      <c r="D1054" s="84"/>
      <c r="E1054" s="84"/>
      <c r="F1054" s="84"/>
      <c r="G1054" s="84"/>
      <c r="H1054" s="84"/>
      <c r="I1054" s="84"/>
      <c r="J1054" s="84"/>
      <c r="K1054" s="84"/>
      <c r="L1054" s="84"/>
      <c r="M1054" s="84"/>
      <c r="N1054" s="84"/>
      <c r="O1054" s="84"/>
      <c r="P1054" s="84"/>
      <c r="Q1054" s="84"/>
      <c r="R1054" s="84"/>
      <c r="S1054" s="84"/>
      <c r="T1054" s="84"/>
      <c r="U1054" s="84"/>
      <c r="V1054" s="84"/>
      <c r="W1054" s="84"/>
      <c r="X1054" s="84"/>
      <c r="Y1054" s="84"/>
      <c r="Z1054" s="84"/>
      <c r="AA1054" s="84"/>
      <c r="AB1054" s="84"/>
      <c r="AC1054" s="84"/>
      <c r="AD1054" s="84"/>
      <c r="AE1054" s="84"/>
      <c r="AF1054" s="84"/>
      <c r="AG1054" s="84"/>
      <c r="AH1054" s="84"/>
      <c r="AI1054" s="84"/>
    </row>
    <row r="1055">
      <c r="A1055" s="84"/>
      <c r="B1055" s="84"/>
      <c r="C1055" s="84"/>
      <c r="D1055" s="84"/>
      <c r="E1055" s="84"/>
      <c r="F1055" s="84"/>
      <c r="G1055" s="84"/>
      <c r="H1055" s="84"/>
      <c r="I1055" s="84"/>
      <c r="J1055" s="84"/>
      <c r="K1055" s="84"/>
      <c r="L1055" s="84"/>
      <c r="M1055" s="84"/>
      <c r="N1055" s="84"/>
      <c r="O1055" s="84"/>
      <c r="P1055" s="84"/>
      <c r="Q1055" s="84"/>
      <c r="R1055" s="84"/>
      <c r="S1055" s="84"/>
      <c r="T1055" s="84"/>
      <c r="U1055" s="84"/>
      <c r="V1055" s="84"/>
      <c r="W1055" s="84"/>
      <c r="X1055" s="84"/>
      <c r="Y1055" s="84"/>
      <c r="Z1055" s="84"/>
      <c r="AA1055" s="84"/>
      <c r="AB1055" s="84"/>
      <c r="AC1055" s="84"/>
      <c r="AD1055" s="84"/>
      <c r="AE1055" s="84"/>
      <c r="AF1055" s="84"/>
      <c r="AG1055" s="84"/>
      <c r="AH1055" s="84"/>
      <c r="AI1055" s="84"/>
    </row>
    <row r="1056">
      <c r="A1056" s="84"/>
      <c r="B1056" s="84"/>
      <c r="C1056" s="84"/>
      <c r="D1056" s="84"/>
      <c r="E1056" s="84"/>
      <c r="F1056" s="84"/>
      <c r="G1056" s="84"/>
      <c r="H1056" s="84"/>
      <c r="I1056" s="84"/>
      <c r="J1056" s="84"/>
      <c r="K1056" s="84"/>
      <c r="L1056" s="84"/>
      <c r="M1056" s="84"/>
      <c r="N1056" s="84"/>
      <c r="O1056" s="84"/>
      <c r="P1056" s="84"/>
      <c r="Q1056" s="84"/>
      <c r="R1056" s="84"/>
      <c r="S1056" s="84"/>
      <c r="T1056" s="84"/>
      <c r="U1056" s="84"/>
      <c r="V1056" s="84"/>
      <c r="W1056" s="84"/>
      <c r="X1056" s="84"/>
      <c r="Y1056" s="84"/>
      <c r="Z1056" s="84"/>
      <c r="AA1056" s="84"/>
      <c r="AB1056" s="84"/>
      <c r="AC1056" s="84"/>
      <c r="AD1056" s="84"/>
      <c r="AE1056" s="84"/>
      <c r="AF1056" s="84"/>
      <c r="AG1056" s="84"/>
      <c r="AH1056" s="84"/>
      <c r="AI1056" s="84"/>
    </row>
    <row r="1057">
      <c r="A1057" s="84"/>
      <c r="B1057" s="84"/>
      <c r="C1057" s="84"/>
      <c r="D1057" s="84"/>
      <c r="E1057" s="84"/>
      <c r="F1057" s="84"/>
      <c r="G1057" s="84"/>
      <c r="H1057" s="84"/>
      <c r="I1057" s="84"/>
      <c r="J1057" s="84"/>
      <c r="K1057" s="84"/>
      <c r="L1057" s="84"/>
      <c r="M1057" s="84"/>
      <c r="N1057" s="84"/>
      <c r="O1057" s="84"/>
      <c r="P1057" s="84"/>
      <c r="Q1057" s="84"/>
      <c r="R1057" s="84"/>
      <c r="S1057" s="84"/>
      <c r="T1057" s="84"/>
      <c r="U1057" s="84"/>
      <c r="V1057" s="84"/>
      <c r="W1057" s="84"/>
      <c r="X1057" s="84"/>
      <c r="Y1057" s="84"/>
      <c r="Z1057" s="84"/>
      <c r="AA1057" s="84"/>
      <c r="AB1057" s="84"/>
      <c r="AC1057" s="84"/>
      <c r="AD1057" s="84"/>
      <c r="AE1057" s="84"/>
      <c r="AF1057" s="84"/>
      <c r="AG1057" s="84"/>
      <c r="AH1057" s="84"/>
      <c r="AI1057" s="84"/>
    </row>
    <row r="1058">
      <c r="A1058" s="84"/>
      <c r="B1058" s="84"/>
      <c r="C1058" s="84"/>
      <c r="D1058" s="84"/>
      <c r="E1058" s="84"/>
      <c r="F1058" s="84"/>
      <c r="G1058" s="84"/>
      <c r="H1058" s="84"/>
      <c r="I1058" s="84"/>
      <c r="J1058" s="84"/>
      <c r="K1058" s="84"/>
      <c r="L1058" s="84"/>
      <c r="M1058" s="84"/>
      <c r="N1058" s="84"/>
      <c r="O1058" s="84"/>
      <c r="P1058" s="84"/>
      <c r="Q1058" s="84"/>
      <c r="R1058" s="84"/>
      <c r="S1058" s="84"/>
      <c r="T1058" s="84"/>
      <c r="U1058" s="84"/>
      <c r="V1058" s="84"/>
      <c r="W1058" s="84"/>
      <c r="X1058" s="84"/>
      <c r="Y1058" s="84"/>
      <c r="Z1058" s="84"/>
      <c r="AA1058" s="84"/>
      <c r="AB1058" s="84"/>
      <c r="AC1058" s="84"/>
      <c r="AD1058" s="84"/>
      <c r="AE1058" s="84"/>
      <c r="AF1058" s="84"/>
      <c r="AG1058" s="84"/>
      <c r="AH1058" s="84"/>
      <c r="AI1058" s="84"/>
    </row>
    <row r="1059">
      <c r="A1059" s="84"/>
      <c r="B1059" s="84"/>
      <c r="C1059" s="84"/>
      <c r="D1059" s="84"/>
      <c r="E1059" s="84"/>
      <c r="F1059" s="84"/>
      <c r="G1059" s="84"/>
      <c r="H1059" s="84"/>
      <c r="I1059" s="84"/>
      <c r="J1059" s="84"/>
      <c r="K1059" s="84"/>
      <c r="L1059" s="84"/>
      <c r="M1059" s="84"/>
      <c r="N1059" s="84"/>
      <c r="O1059" s="84"/>
      <c r="P1059" s="84"/>
      <c r="Q1059" s="84"/>
      <c r="R1059" s="84"/>
      <c r="S1059" s="84"/>
      <c r="T1059" s="84"/>
      <c r="U1059" s="84"/>
      <c r="V1059" s="84"/>
      <c r="W1059" s="84"/>
      <c r="X1059" s="84"/>
      <c r="Y1059" s="84"/>
      <c r="Z1059" s="84"/>
      <c r="AA1059" s="84"/>
      <c r="AB1059" s="84"/>
      <c r="AC1059" s="84"/>
      <c r="AD1059" s="84"/>
      <c r="AE1059" s="84"/>
      <c r="AF1059" s="84"/>
      <c r="AG1059" s="84"/>
      <c r="AH1059" s="84"/>
      <c r="AI1059" s="84"/>
    </row>
    <row r="1060">
      <c r="A1060" s="84"/>
      <c r="B1060" s="84"/>
      <c r="C1060" s="84"/>
      <c r="D1060" s="84"/>
      <c r="E1060" s="84"/>
      <c r="F1060" s="84"/>
      <c r="G1060" s="84"/>
      <c r="H1060" s="84"/>
      <c r="I1060" s="84"/>
      <c r="J1060" s="84"/>
      <c r="K1060" s="84"/>
      <c r="L1060" s="84"/>
      <c r="M1060" s="84"/>
      <c r="N1060" s="84"/>
      <c r="O1060" s="84"/>
      <c r="P1060" s="84"/>
      <c r="Q1060" s="84"/>
      <c r="R1060" s="84"/>
      <c r="S1060" s="84"/>
      <c r="T1060" s="84"/>
      <c r="U1060" s="84"/>
      <c r="V1060" s="84"/>
      <c r="W1060" s="84"/>
      <c r="X1060" s="84"/>
      <c r="Y1060" s="84"/>
      <c r="Z1060" s="84"/>
      <c r="AA1060" s="84"/>
      <c r="AB1060" s="84"/>
      <c r="AC1060" s="84"/>
      <c r="AD1060" s="84"/>
      <c r="AE1060" s="84"/>
      <c r="AF1060" s="84"/>
      <c r="AG1060" s="84"/>
      <c r="AH1060" s="84"/>
      <c r="AI1060" s="84"/>
    </row>
    <row r="1061">
      <c r="A1061" s="84"/>
      <c r="B1061" s="84"/>
      <c r="C1061" s="84"/>
      <c r="D1061" s="84"/>
      <c r="E1061" s="84"/>
      <c r="F1061" s="84"/>
      <c r="G1061" s="84"/>
      <c r="H1061" s="84"/>
      <c r="I1061" s="84"/>
      <c r="J1061" s="84"/>
      <c r="K1061" s="84"/>
      <c r="L1061" s="84"/>
      <c r="M1061" s="84"/>
      <c r="N1061" s="84"/>
      <c r="O1061" s="84"/>
      <c r="P1061" s="84"/>
      <c r="Q1061" s="84"/>
      <c r="R1061" s="84"/>
      <c r="S1061" s="84"/>
      <c r="T1061" s="84"/>
      <c r="U1061" s="84"/>
      <c r="V1061" s="84"/>
      <c r="W1061" s="84"/>
      <c r="X1061" s="84"/>
      <c r="Y1061" s="84"/>
      <c r="Z1061" s="84"/>
      <c r="AA1061" s="84"/>
      <c r="AB1061" s="84"/>
      <c r="AC1061" s="84"/>
      <c r="AD1061" s="84"/>
      <c r="AE1061" s="84"/>
      <c r="AF1061" s="84"/>
      <c r="AG1061" s="84"/>
      <c r="AH1061" s="84"/>
      <c r="AI1061" s="84"/>
    </row>
    <row r="1062">
      <c r="A1062" s="84"/>
      <c r="B1062" s="84"/>
      <c r="C1062" s="84"/>
      <c r="D1062" s="84"/>
      <c r="E1062" s="84"/>
      <c r="F1062" s="84"/>
      <c r="G1062" s="84"/>
      <c r="H1062" s="84"/>
      <c r="I1062" s="84"/>
      <c r="J1062" s="84"/>
      <c r="K1062" s="84"/>
      <c r="L1062" s="84"/>
      <c r="M1062" s="84"/>
      <c r="N1062" s="84"/>
      <c r="O1062" s="84"/>
      <c r="P1062" s="84"/>
      <c r="Q1062" s="84"/>
      <c r="R1062" s="84"/>
      <c r="S1062" s="84"/>
      <c r="T1062" s="84"/>
      <c r="U1062" s="84"/>
      <c r="V1062" s="84"/>
      <c r="W1062" s="84"/>
      <c r="X1062" s="84"/>
      <c r="Y1062" s="84"/>
      <c r="Z1062" s="84"/>
      <c r="AA1062" s="84"/>
      <c r="AB1062" s="84"/>
      <c r="AC1062" s="84"/>
      <c r="AD1062" s="84"/>
      <c r="AE1062" s="84"/>
      <c r="AF1062" s="84"/>
      <c r="AG1062" s="84"/>
      <c r="AH1062" s="84"/>
      <c r="AI1062" s="84"/>
    </row>
    <row r="1063">
      <c r="A1063" s="84"/>
      <c r="B1063" s="84"/>
      <c r="C1063" s="84"/>
      <c r="D1063" s="84"/>
      <c r="E1063" s="84"/>
      <c r="F1063" s="84"/>
      <c r="G1063" s="84"/>
      <c r="H1063" s="84"/>
      <c r="I1063" s="84"/>
      <c r="J1063" s="84"/>
      <c r="K1063" s="84"/>
      <c r="L1063" s="84"/>
      <c r="M1063" s="84"/>
      <c r="N1063" s="84"/>
      <c r="O1063" s="84"/>
      <c r="P1063" s="84"/>
      <c r="Q1063" s="84"/>
      <c r="R1063" s="84"/>
      <c r="S1063" s="84"/>
      <c r="T1063" s="84"/>
      <c r="U1063" s="84"/>
      <c r="V1063" s="84"/>
      <c r="W1063" s="84"/>
      <c r="X1063" s="84"/>
      <c r="Y1063" s="84"/>
      <c r="Z1063" s="84"/>
      <c r="AA1063" s="84"/>
      <c r="AB1063" s="84"/>
      <c r="AC1063" s="84"/>
      <c r="AD1063" s="84"/>
      <c r="AE1063" s="84"/>
      <c r="AF1063" s="84"/>
      <c r="AG1063" s="84"/>
      <c r="AH1063" s="84"/>
      <c r="AI1063" s="84"/>
    </row>
    <row r="1064">
      <c r="A1064" s="84"/>
      <c r="B1064" s="84"/>
      <c r="C1064" s="84"/>
      <c r="D1064" s="84"/>
      <c r="E1064" s="84"/>
      <c r="F1064" s="84"/>
      <c r="G1064" s="84"/>
      <c r="H1064" s="84"/>
      <c r="I1064" s="84"/>
      <c r="J1064" s="84"/>
      <c r="K1064" s="84"/>
      <c r="L1064" s="84"/>
      <c r="M1064" s="84"/>
      <c r="N1064" s="84"/>
      <c r="O1064" s="84"/>
      <c r="P1064" s="84"/>
      <c r="Q1064" s="84"/>
      <c r="R1064" s="84"/>
      <c r="S1064" s="84"/>
      <c r="T1064" s="84"/>
      <c r="U1064" s="84"/>
      <c r="V1064" s="84"/>
      <c r="W1064" s="84"/>
      <c r="X1064" s="84"/>
      <c r="Y1064" s="84"/>
      <c r="Z1064" s="84"/>
      <c r="AA1064" s="84"/>
      <c r="AB1064" s="84"/>
      <c r="AC1064" s="84"/>
      <c r="AD1064" s="84"/>
      <c r="AE1064" s="84"/>
      <c r="AF1064" s="84"/>
      <c r="AG1064" s="84"/>
      <c r="AH1064" s="84"/>
      <c r="AI1064" s="84"/>
    </row>
    <row r="1065">
      <c r="A1065" s="84"/>
      <c r="B1065" s="84"/>
      <c r="C1065" s="84"/>
      <c r="D1065" s="84"/>
      <c r="E1065" s="84"/>
      <c r="F1065" s="84"/>
      <c r="G1065" s="84"/>
      <c r="H1065" s="84"/>
      <c r="I1065" s="84"/>
      <c r="J1065" s="84"/>
      <c r="K1065" s="84"/>
      <c r="L1065" s="84"/>
      <c r="M1065" s="84"/>
      <c r="N1065" s="84"/>
      <c r="O1065" s="84"/>
      <c r="P1065" s="84"/>
      <c r="Q1065" s="84"/>
      <c r="R1065" s="84"/>
      <c r="S1065" s="84"/>
      <c r="T1065" s="84"/>
      <c r="U1065" s="84"/>
      <c r="V1065" s="84"/>
      <c r="W1065" s="84"/>
      <c r="X1065" s="84"/>
      <c r="Y1065" s="84"/>
      <c r="Z1065" s="84"/>
      <c r="AA1065" s="84"/>
      <c r="AB1065" s="84"/>
      <c r="AC1065" s="84"/>
      <c r="AD1065" s="84"/>
      <c r="AE1065" s="84"/>
      <c r="AF1065" s="84"/>
      <c r="AG1065" s="84"/>
      <c r="AH1065" s="84"/>
      <c r="AI1065" s="84"/>
    </row>
    <row r="1066">
      <c r="A1066" s="84"/>
      <c r="B1066" s="84"/>
      <c r="C1066" s="84"/>
      <c r="D1066" s="84"/>
      <c r="E1066" s="84"/>
      <c r="F1066" s="84"/>
      <c r="G1066" s="84"/>
      <c r="H1066" s="84"/>
      <c r="I1066" s="84"/>
      <c r="J1066" s="84"/>
      <c r="K1066" s="84"/>
      <c r="L1066" s="84"/>
      <c r="M1066" s="84"/>
      <c r="N1066" s="84"/>
      <c r="O1066" s="84"/>
      <c r="P1066" s="84"/>
      <c r="Q1066" s="84"/>
      <c r="R1066" s="84"/>
      <c r="S1066" s="84"/>
      <c r="T1066" s="84"/>
      <c r="U1066" s="84"/>
      <c r="V1066" s="84"/>
      <c r="W1066" s="84"/>
      <c r="X1066" s="84"/>
      <c r="Y1066" s="84"/>
      <c r="Z1066" s="84"/>
      <c r="AA1066" s="84"/>
      <c r="AB1066" s="84"/>
      <c r="AC1066" s="84"/>
      <c r="AD1066" s="84"/>
      <c r="AE1066" s="84"/>
      <c r="AF1066" s="84"/>
      <c r="AG1066" s="84"/>
      <c r="AH1066" s="84"/>
      <c r="AI1066" s="84"/>
    </row>
    <row r="1067">
      <c r="A1067" s="84"/>
      <c r="B1067" s="84"/>
      <c r="C1067" s="84"/>
      <c r="D1067" s="84"/>
      <c r="E1067" s="84"/>
      <c r="F1067" s="84"/>
      <c r="G1067" s="84"/>
      <c r="H1067" s="84"/>
      <c r="I1067" s="84"/>
      <c r="J1067" s="84"/>
      <c r="K1067" s="84"/>
      <c r="L1067" s="84"/>
      <c r="M1067" s="84"/>
      <c r="N1067" s="84"/>
      <c r="O1067" s="84"/>
      <c r="P1067" s="84"/>
      <c r="Q1067" s="84"/>
      <c r="R1067" s="84"/>
      <c r="S1067" s="84"/>
      <c r="T1067" s="84"/>
      <c r="U1067" s="84"/>
      <c r="V1067" s="84"/>
      <c r="W1067" s="84"/>
      <c r="X1067" s="84"/>
      <c r="Y1067" s="84"/>
      <c r="Z1067" s="84"/>
      <c r="AA1067" s="84"/>
      <c r="AB1067" s="84"/>
      <c r="AC1067" s="84"/>
      <c r="AD1067" s="84"/>
      <c r="AE1067" s="84"/>
      <c r="AF1067" s="84"/>
      <c r="AG1067" s="84"/>
      <c r="AH1067" s="84"/>
      <c r="AI1067" s="84"/>
    </row>
    <row r="1068">
      <c r="A1068" s="84"/>
      <c r="B1068" s="84"/>
      <c r="C1068" s="84"/>
      <c r="D1068" s="84"/>
      <c r="E1068" s="84"/>
      <c r="F1068" s="84"/>
      <c r="G1068" s="84"/>
      <c r="H1068" s="84"/>
      <c r="I1068" s="84"/>
      <c r="J1068" s="84"/>
      <c r="K1068" s="84"/>
      <c r="L1068" s="84"/>
      <c r="M1068" s="84"/>
      <c r="N1068" s="84"/>
      <c r="O1068" s="84"/>
      <c r="P1068" s="84"/>
      <c r="Q1068" s="84"/>
      <c r="R1068" s="84"/>
      <c r="S1068" s="84"/>
      <c r="T1068" s="84"/>
      <c r="U1068" s="84"/>
      <c r="V1068" s="84"/>
      <c r="W1068" s="84"/>
      <c r="X1068" s="84"/>
      <c r="Y1068" s="84"/>
      <c r="Z1068" s="84"/>
      <c r="AA1068" s="84"/>
      <c r="AB1068" s="84"/>
      <c r="AC1068" s="84"/>
      <c r="AD1068" s="84"/>
      <c r="AE1068" s="84"/>
      <c r="AF1068" s="84"/>
      <c r="AG1068" s="84"/>
      <c r="AH1068" s="84"/>
      <c r="AI1068" s="84"/>
    </row>
    <row r="1069">
      <c r="A1069" s="84"/>
      <c r="B1069" s="84"/>
      <c r="C1069" s="84"/>
      <c r="D1069" s="84"/>
      <c r="E1069" s="84"/>
      <c r="F1069" s="84"/>
      <c r="G1069" s="84"/>
      <c r="H1069" s="84"/>
      <c r="I1069" s="84"/>
      <c r="J1069" s="84"/>
      <c r="K1069" s="84"/>
      <c r="L1069" s="84"/>
      <c r="M1069" s="84"/>
      <c r="N1069" s="84"/>
      <c r="O1069" s="84"/>
      <c r="P1069" s="84"/>
      <c r="Q1069" s="84"/>
      <c r="R1069" s="84"/>
      <c r="S1069" s="84"/>
      <c r="T1069" s="84"/>
      <c r="U1069" s="84"/>
      <c r="V1069" s="84"/>
      <c r="W1069" s="84"/>
      <c r="X1069" s="84"/>
      <c r="Y1069" s="84"/>
      <c r="Z1069" s="84"/>
      <c r="AA1069" s="84"/>
      <c r="AB1069" s="84"/>
      <c r="AC1069" s="84"/>
      <c r="AD1069" s="84"/>
      <c r="AE1069" s="84"/>
      <c r="AF1069" s="84"/>
      <c r="AG1069" s="84"/>
      <c r="AH1069" s="84"/>
      <c r="AI1069" s="84"/>
    </row>
    <row r="1070">
      <c r="A1070" s="84"/>
      <c r="B1070" s="84"/>
      <c r="C1070" s="84"/>
      <c r="D1070" s="84"/>
      <c r="E1070" s="84"/>
      <c r="F1070" s="84"/>
      <c r="G1070" s="84"/>
      <c r="H1070" s="84"/>
      <c r="I1070" s="84"/>
      <c r="J1070" s="84"/>
      <c r="K1070" s="84"/>
      <c r="L1070" s="84"/>
      <c r="M1070" s="84"/>
      <c r="N1070" s="84"/>
      <c r="O1070" s="84"/>
      <c r="P1070" s="84"/>
      <c r="Q1070" s="84"/>
      <c r="R1070" s="84"/>
      <c r="S1070" s="84"/>
      <c r="T1070" s="84"/>
      <c r="U1070" s="84"/>
      <c r="V1070" s="84"/>
      <c r="W1070" s="84"/>
      <c r="X1070" s="84"/>
      <c r="Y1070" s="84"/>
      <c r="Z1070" s="84"/>
      <c r="AA1070" s="84"/>
      <c r="AB1070" s="84"/>
      <c r="AC1070" s="84"/>
      <c r="AD1070" s="84"/>
      <c r="AE1070" s="84"/>
      <c r="AF1070" s="84"/>
      <c r="AG1070" s="84"/>
      <c r="AH1070" s="84"/>
      <c r="AI1070" s="84"/>
    </row>
    <row r="1071">
      <c r="A1071" s="84"/>
      <c r="B1071" s="84"/>
      <c r="C1071" s="84"/>
      <c r="D1071" s="84"/>
      <c r="E1071" s="84"/>
      <c r="F1071" s="84"/>
      <c r="G1071" s="84"/>
      <c r="H1071" s="84"/>
      <c r="I1071" s="84"/>
      <c r="J1071" s="84"/>
      <c r="K1071" s="84"/>
      <c r="L1071" s="84"/>
      <c r="M1071" s="84"/>
      <c r="N1071" s="84"/>
      <c r="O1071" s="84"/>
      <c r="P1071" s="84"/>
      <c r="Q1071" s="84"/>
      <c r="R1071" s="84"/>
      <c r="S1071" s="84"/>
      <c r="T1071" s="84"/>
      <c r="U1071" s="84"/>
      <c r="V1071" s="84"/>
      <c r="W1071" s="84"/>
      <c r="X1071" s="84"/>
      <c r="Y1071" s="84"/>
      <c r="Z1071" s="84"/>
      <c r="AA1071" s="84"/>
      <c r="AB1071" s="84"/>
      <c r="AC1071" s="84"/>
      <c r="AD1071" s="84"/>
      <c r="AE1071" s="84"/>
      <c r="AF1071" s="84"/>
      <c r="AG1071" s="84"/>
      <c r="AH1071" s="84"/>
      <c r="AI1071" s="84"/>
    </row>
    <row r="1072">
      <c r="A1072" s="84"/>
      <c r="B1072" s="84"/>
      <c r="C1072" s="84"/>
      <c r="D1072" s="84"/>
      <c r="E1072" s="84"/>
      <c r="F1072" s="84"/>
      <c r="G1072" s="84"/>
      <c r="H1072" s="84"/>
      <c r="I1072" s="84"/>
      <c r="J1072" s="84"/>
      <c r="K1072" s="84"/>
      <c r="L1072" s="84"/>
      <c r="M1072" s="84"/>
      <c r="N1072" s="84"/>
      <c r="O1072" s="84"/>
      <c r="P1072" s="84"/>
      <c r="Q1072" s="84"/>
      <c r="R1072" s="84"/>
      <c r="S1072" s="84"/>
      <c r="T1072" s="84"/>
      <c r="U1072" s="84"/>
      <c r="V1072" s="84"/>
      <c r="W1072" s="84"/>
      <c r="X1072" s="84"/>
      <c r="Y1072" s="84"/>
      <c r="Z1072" s="84"/>
      <c r="AA1072" s="84"/>
      <c r="AB1072" s="84"/>
      <c r="AC1072" s="84"/>
      <c r="AD1072" s="84"/>
      <c r="AE1072" s="84"/>
      <c r="AF1072" s="84"/>
      <c r="AG1072" s="84"/>
      <c r="AH1072" s="84"/>
      <c r="AI1072" s="84"/>
    </row>
    <row r="1073">
      <c r="A1073" s="84"/>
      <c r="B1073" s="84"/>
      <c r="C1073" s="84"/>
      <c r="D1073" s="84"/>
      <c r="E1073" s="84"/>
      <c r="F1073" s="84"/>
      <c r="G1073" s="84"/>
      <c r="H1073" s="84"/>
      <c r="I1073" s="84"/>
      <c r="J1073" s="84"/>
      <c r="K1073" s="84"/>
      <c r="L1073" s="84"/>
      <c r="M1073" s="84"/>
      <c r="N1073" s="84"/>
      <c r="O1073" s="84"/>
      <c r="P1073" s="84"/>
      <c r="Q1073" s="84"/>
      <c r="R1073" s="84"/>
      <c r="S1073" s="84"/>
      <c r="T1073" s="84"/>
      <c r="U1073" s="84"/>
      <c r="V1073" s="84"/>
      <c r="W1073" s="84"/>
      <c r="X1073" s="84"/>
      <c r="Y1073" s="84"/>
      <c r="Z1073" s="84"/>
      <c r="AA1073" s="84"/>
      <c r="AB1073" s="84"/>
      <c r="AC1073" s="84"/>
      <c r="AD1073" s="84"/>
      <c r="AE1073" s="84"/>
      <c r="AF1073" s="84"/>
      <c r="AG1073" s="84"/>
      <c r="AH1073" s="84"/>
      <c r="AI1073" s="84"/>
    </row>
    <row r="1074">
      <c r="A1074" s="84"/>
      <c r="B1074" s="84"/>
      <c r="C1074" s="84"/>
      <c r="D1074" s="84"/>
      <c r="E1074" s="84"/>
      <c r="F1074" s="84"/>
      <c r="G1074" s="84"/>
      <c r="H1074" s="84"/>
      <c r="I1074" s="84"/>
      <c r="J1074" s="84"/>
      <c r="K1074" s="84"/>
      <c r="L1074" s="84"/>
      <c r="M1074" s="84"/>
      <c r="N1074" s="84"/>
      <c r="O1074" s="84"/>
      <c r="P1074" s="84"/>
      <c r="Q1074" s="84"/>
      <c r="R1074" s="84"/>
      <c r="S1074" s="84"/>
      <c r="T1074" s="84"/>
      <c r="U1074" s="84"/>
      <c r="V1074" s="84"/>
      <c r="W1074" s="84"/>
      <c r="X1074" s="84"/>
      <c r="Y1074" s="84"/>
      <c r="Z1074" s="84"/>
      <c r="AA1074" s="84"/>
      <c r="AB1074" s="84"/>
      <c r="AC1074" s="84"/>
      <c r="AD1074" s="84"/>
      <c r="AE1074" s="84"/>
      <c r="AF1074" s="84"/>
      <c r="AG1074" s="84"/>
      <c r="AH1074" s="84"/>
      <c r="AI1074" s="84"/>
    </row>
    <row r="1075">
      <c r="A1075" s="84"/>
      <c r="B1075" s="84"/>
      <c r="C1075" s="84"/>
      <c r="D1075" s="84"/>
      <c r="E1075" s="84"/>
      <c r="F1075" s="84"/>
      <c r="G1075" s="84"/>
      <c r="H1075" s="84"/>
      <c r="I1075" s="84"/>
      <c r="J1075" s="84"/>
      <c r="K1075" s="84"/>
      <c r="L1075" s="84"/>
      <c r="M1075" s="84"/>
      <c r="N1075" s="84"/>
      <c r="O1075" s="84"/>
      <c r="P1075" s="84"/>
      <c r="Q1075" s="84"/>
      <c r="R1075" s="84"/>
      <c r="S1075" s="84"/>
      <c r="T1075" s="84"/>
      <c r="U1075" s="84"/>
      <c r="V1075" s="84"/>
      <c r="W1075" s="84"/>
      <c r="X1075" s="84"/>
      <c r="Y1075" s="84"/>
      <c r="Z1075" s="84"/>
      <c r="AA1075" s="84"/>
      <c r="AB1075" s="84"/>
      <c r="AC1075" s="84"/>
      <c r="AD1075" s="84"/>
      <c r="AE1075" s="84"/>
      <c r="AF1075" s="84"/>
      <c r="AG1075" s="84"/>
      <c r="AH1075" s="84"/>
      <c r="AI1075" s="84"/>
    </row>
    <row r="1076">
      <c r="A1076" s="84"/>
      <c r="B1076" s="84"/>
      <c r="C1076" s="84"/>
      <c r="D1076" s="84"/>
      <c r="E1076" s="84"/>
      <c r="F1076" s="84"/>
      <c r="G1076" s="84"/>
      <c r="H1076" s="84"/>
      <c r="I1076" s="84"/>
      <c r="J1076" s="84"/>
      <c r="K1076" s="84"/>
      <c r="L1076" s="84"/>
      <c r="M1076" s="84"/>
      <c r="N1076" s="84"/>
      <c r="O1076" s="84"/>
      <c r="P1076" s="84"/>
      <c r="Q1076" s="84"/>
      <c r="R1076" s="84"/>
      <c r="S1076" s="84"/>
      <c r="T1076" s="84"/>
      <c r="U1076" s="84"/>
      <c r="V1076" s="84"/>
      <c r="W1076" s="84"/>
      <c r="X1076" s="84"/>
      <c r="Y1076" s="84"/>
      <c r="Z1076" s="84"/>
      <c r="AA1076" s="84"/>
      <c r="AB1076" s="84"/>
      <c r="AC1076" s="84"/>
      <c r="AD1076" s="84"/>
      <c r="AE1076" s="84"/>
      <c r="AF1076" s="84"/>
      <c r="AG1076" s="84"/>
      <c r="AH1076" s="84"/>
      <c r="AI1076" s="84"/>
    </row>
    <row r="1077">
      <c r="A1077" s="84"/>
      <c r="B1077" s="84"/>
      <c r="C1077" s="84"/>
      <c r="D1077" s="84"/>
      <c r="E1077" s="84"/>
      <c r="F1077" s="84"/>
      <c r="G1077" s="84"/>
      <c r="H1077" s="84"/>
      <c r="I1077" s="84"/>
      <c r="J1077" s="84"/>
      <c r="K1077" s="84"/>
      <c r="L1077" s="84"/>
      <c r="M1077" s="84"/>
      <c r="N1077" s="84"/>
      <c r="O1077" s="84"/>
      <c r="P1077" s="84"/>
      <c r="Q1077" s="84"/>
      <c r="R1077" s="84"/>
      <c r="S1077" s="84"/>
      <c r="T1077" s="84"/>
      <c r="U1077" s="84"/>
      <c r="V1077" s="84"/>
      <c r="W1077" s="84"/>
      <c r="X1077" s="84"/>
      <c r="Y1077" s="84"/>
      <c r="Z1077" s="84"/>
      <c r="AA1077" s="84"/>
      <c r="AB1077" s="84"/>
      <c r="AC1077" s="84"/>
      <c r="AD1077" s="84"/>
      <c r="AE1077" s="84"/>
      <c r="AF1077" s="84"/>
      <c r="AG1077" s="84"/>
      <c r="AH1077" s="84"/>
      <c r="AI1077" s="84"/>
    </row>
    <row r="1078">
      <c r="A1078" s="84"/>
      <c r="B1078" s="84"/>
      <c r="C1078" s="84"/>
      <c r="D1078" s="84"/>
      <c r="E1078" s="84"/>
      <c r="F1078" s="84"/>
      <c r="G1078" s="84"/>
      <c r="H1078" s="84"/>
      <c r="I1078" s="84"/>
      <c r="J1078" s="84"/>
      <c r="K1078" s="84"/>
      <c r="L1078" s="84"/>
      <c r="M1078" s="84"/>
      <c r="N1078" s="84"/>
      <c r="O1078" s="84"/>
      <c r="P1078" s="84"/>
      <c r="Q1078" s="84"/>
      <c r="R1078" s="84"/>
      <c r="S1078" s="84"/>
      <c r="T1078" s="84"/>
      <c r="U1078" s="84"/>
      <c r="V1078" s="84"/>
      <c r="W1078" s="84"/>
      <c r="X1078" s="84"/>
      <c r="Y1078" s="84"/>
      <c r="Z1078" s="84"/>
      <c r="AA1078" s="84"/>
      <c r="AB1078" s="84"/>
      <c r="AC1078" s="84"/>
      <c r="AD1078" s="84"/>
      <c r="AE1078" s="84"/>
      <c r="AF1078" s="84"/>
      <c r="AG1078" s="84"/>
      <c r="AH1078" s="84"/>
      <c r="AI1078" s="84"/>
    </row>
    <row r="1079">
      <c r="A1079" s="84"/>
      <c r="B1079" s="84"/>
      <c r="C1079" s="84"/>
      <c r="D1079" s="84"/>
      <c r="E1079" s="84"/>
      <c r="F1079" s="84"/>
      <c r="G1079" s="84"/>
      <c r="H1079" s="84"/>
      <c r="I1079" s="84"/>
      <c r="J1079" s="84"/>
      <c r="K1079" s="84"/>
      <c r="L1079" s="84"/>
      <c r="M1079" s="84"/>
      <c r="N1079" s="84"/>
      <c r="O1079" s="84"/>
      <c r="P1079" s="84"/>
      <c r="Q1079" s="84"/>
      <c r="R1079" s="84"/>
      <c r="S1079" s="84"/>
      <c r="T1079" s="84"/>
      <c r="U1079" s="84"/>
      <c r="V1079" s="84"/>
      <c r="W1079" s="84"/>
      <c r="X1079" s="84"/>
      <c r="Y1079" s="84"/>
      <c r="Z1079" s="84"/>
      <c r="AA1079" s="84"/>
      <c r="AB1079" s="84"/>
      <c r="AC1079" s="84"/>
      <c r="AD1079" s="84"/>
      <c r="AE1079" s="84"/>
      <c r="AF1079" s="84"/>
      <c r="AG1079" s="84"/>
      <c r="AH1079" s="84"/>
      <c r="AI1079" s="84"/>
    </row>
    <row r="1080">
      <c r="A1080" s="84"/>
      <c r="B1080" s="84"/>
      <c r="C1080" s="84"/>
      <c r="D1080" s="84"/>
      <c r="E1080" s="84"/>
      <c r="F1080" s="84"/>
      <c r="G1080" s="84"/>
      <c r="H1080" s="84"/>
      <c r="I1080" s="84"/>
      <c r="J1080" s="84"/>
      <c r="K1080" s="84"/>
      <c r="L1080" s="84"/>
      <c r="M1080" s="84"/>
      <c r="N1080" s="84"/>
      <c r="O1080" s="84"/>
      <c r="P1080" s="84"/>
      <c r="Q1080" s="84"/>
      <c r="R1080" s="84"/>
      <c r="S1080" s="84"/>
      <c r="T1080" s="84"/>
      <c r="U1080" s="84"/>
      <c r="V1080" s="84"/>
      <c r="W1080" s="84"/>
      <c r="X1080" s="84"/>
      <c r="Y1080" s="84"/>
      <c r="Z1080" s="84"/>
      <c r="AA1080" s="84"/>
      <c r="AB1080" s="84"/>
      <c r="AC1080" s="84"/>
      <c r="AD1080" s="84"/>
      <c r="AE1080" s="84"/>
      <c r="AF1080" s="84"/>
      <c r="AG1080" s="84"/>
      <c r="AH1080" s="84"/>
      <c r="AI1080" s="84"/>
    </row>
    <row r="1081">
      <c r="A1081" s="84"/>
      <c r="B1081" s="84"/>
      <c r="C1081" s="84"/>
      <c r="D1081" s="84"/>
      <c r="E1081" s="84"/>
      <c r="F1081" s="84"/>
      <c r="G1081" s="84"/>
      <c r="H1081" s="84"/>
      <c r="I1081" s="84"/>
      <c r="J1081" s="84"/>
      <c r="K1081" s="84"/>
      <c r="L1081" s="84"/>
      <c r="M1081" s="84"/>
      <c r="N1081" s="84"/>
      <c r="O1081" s="84"/>
      <c r="P1081" s="84"/>
      <c r="Q1081" s="84"/>
      <c r="R1081" s="84"/>
      <c r="S1081" s="84"/>
      <c r="T1081" s="84"/>
      <c r="U1081" s="84"/>
      <c r="V1081" s="84"/>
      <c r="W1081" s="84"/>
      <c r="X1081" s="84"/>
      <c r="Y1081" s="84"/>
      <c r="Z1081" s="84"/>
      <c r="AA1081" s="84"/>
      <c r="AB1081" s="84"/>
      <c r="AC1081" s="84"/>
      <c r="AD1081" s="84"/>
      <c r="AE1081" s="84"/>
      <c r="AF1081" s="84"/>
      <c r="AG1081" s="84"/>
      <c r="AH1081" s="84"/>
      <c r="AI1081" s="84"/>
    </row>
    <row r="1082">
      <c r="A1082" s="84"/>
      <c r="B1082" s="84"/>
      <c r="C1082" s="84"/>
      <c r="D1082" s="84"/>
      <c r="E1082" s="84"/>
      <c r="F1082" s="84"/>
      <c r="G1082" s="84"/>
      <c r="H1082" s="84"/>
      <c r="I1082" s="84"/>
      <c r="J1082" s="84"/>
      <c r="K1082" s="84"/>
      <c r="L1082" s="84"/>
      <c r="M1082" s="84"/>
      <c r="N1082" s="84"/>
      <c r="O1082" s="84"/>
      <c r="P1082" s="84"/>
      <c r="Q1082" s="84"/>
      <c r="R1082" s="84"/>
      <c r="S1082" s="84"/>
      <c r="T1082" s="84"/>
      <c r="U1082" s="84"/>
      <c r="V1082" s="84"/>
      <c r="W1082" s="84"/>
      <c r="X1082" s="84"/>
      <c r="Y1082" s="84"/>
      <c r="Z1082" s="84"/>
      <c r="AA1082" s="84"/>
      <c r="AB1082" s="84"/>
      <c r="AC1082" s="84"/>
      <c r="AD1082" s="84"/>
      <c r="AE1082" s="84"/>
      <c r="AF1082" s="84"/>
      <c r="AG1082" s="84"/>
      <c r="AH1082" s="84"/>
      <c r="AI1082" s="84"/>
    </row>
    <row r="1083">
      <c r="A1083" s="84"/>
      <c r="B1083" s="84"/>
      <c r="C1083" s="84"/>
      <c r="D1083" s="84"/>
      <c r="E1083" s="84"/>
      <c r="F1083" s="84"/>
      <c r="G1083" s="84"/>
      <c r="H1083" s="84"/>
      <c r="I1083" s="84"/>
      <c r="J1083" s="84"/>
      <c r="K1083" s="84"/>
      <c r="L1083" s="84"/>
      <c r="M1083" s="84"/>
      <c r="N1083" s="84"/>
      <c r="O1083" s="84"/>
      <c r="P1083" s="84"/>
      <c r="Q1083" s="84"/>
      <c r="R1083" s="84"/>
      <c r="S1083" s="84"/>
      <c r="T1083" s="84"/>
      <c r="U1083" s="84"/>
      <c r="V1083" s="84"/>
      <c r="W1083" s="84"/>
      <c r="X1083" s="84"/>
      <c r="Y1083" s="84"/>
      <c r="Z1083" s="84"/>
      <c r="AA1083" s="84"/>
      <c r="AB1083" s="84"/>
      <c r="AC1083" s="84"/>
      <c r="AD1083" s="84"/>
      <c r="AE1083" s="84"/>
      <c r="AF1083" s="84"/>
      <c r="AG1083" s="84"/>
      <c r="AH1083" s="84"/>
      <c r="AI1083" s="84"/>
    </row>
    <row r="1084">
      <c r="A1084" s="84"/>
      <c r="B1084" s="84"/>
      <c r="C1084" s="84"/>
      <c r="D1084" s="84"/>
      <c r="E1084" s="84"/>
      <c r="F1084" s="84"/>
      <c r="G1084" s="84"/>
      <c r="H1084" s="84"/>
      <c r="I1084" s="84"/>
      <c r="J1084" s="84"/>
      <c r="K1084" s="84"/>
      <c r="L1084" s="84"/>
      <c r="M1084" s="84"/>
      <c r="N1084" s="84"/>
      <c r="O1084" s="84"/>
      <c r="P1084" s="84"/>
      <c r="Q1084" s="84"/>
      <c r="R1084" s="84"/>
      <c r="S1084" s="84"/>
      <c r="T1084" s="84"/>
      <c r="U1084" s="84"/>
      <c r="V1084" s="84"/>
      <c r="W1084" s="84"/>
      <c r="X1084" s="84"/>
      <c r="Y1084" s="84"/>
      <c r="Z1084" s="84"/>
      <c r="AA1084" s="84"/>
      <c r="AB1084" s="84"/>
      <c r="AC1084" s="84"/>
      <c r="AD1084" s="84"/>
      <c r="AE1084" s="84"/>
      <c r="AF1084" s="84"/>
      <c r="AG1084" s="84"/>
      <c r="AH1084" s="84"/>
      <c r="AI1084" s="84"/>
    </row>
    <row r="1085">
      <c r="A1085" s="84"/>
      <c r="B1085" s="84"/>
      <c r="C1085" s="84"/>
      <c r="D1085" s="84"/>
      <c r="E1085" s="84"/>
      <c r="F1085" s="84"/>
      <c r="G1085" s="84"/>
      <c r="H1085" s="84"/>
      <c r="I1085" s="84"/>
      <c r="J1085" s="84"/>
      <c r="K1085" s="84"/>
      <c r="L1085" s="84"/>
      <c r="M1085" s="84"/>
      <c r="N1085" s="84"/>
      <c r="O1085" s="84"/>
      <c r="P1085" s="84"/>
      <c r="Q1085" s="84"/>
      <c r="R1085" s="84"/>
      <c r="S1085" s="84"/>
      <c r="T1085" s="84"/>
      <c r="U1085" s="84"/>
      <c r="V1085" s="84"/>
      <c r="W1085" s="84"/>
      <c r="X1085" s="84"/>
      <c r="Y1085" s="84"/>
      <c r="Z1085" s="84"/>
      <c r="AA1085" s="84"/>
      <c r="AB1085" s="84"/>
      <c r="AC1085" s="84"/>
      <c r="AD1085" s="84"/>
      <c r="AE1085" s="84"/>
      <c r="AF1085" s="84"/>
      <c r="AG1085" s="84"/>
      <c r="AH1085" s="84"/>
      <c r="AI1085" s="84"/>
    </row>
    <row r="1086">
      <c r="A1086" s="84"/>
      <c r="B1086" s="84"/>
      <c r="C1086" s="84"/>
      <c r="D1086" s="84"/>
      <c r="E1086" s="84"/>
      <c r="F1086" s="84"/>
      <c r="G1086" s="84"/>
      <c r="H1086" s="84"/>
      <c r="I1086" s="84"/>
      <c r="J1086" s="84"/>
      <c r="K1086" s="84"/>
      <c r="L1086" s="84"/>
      <c r="M1086" s="84"/>
      <c r="N1086" s="84"/>
      <c r="O1086" s="84"/>
      <c r="P1086" s="84"/>
      <c r="Q1086" s="84"/>
      <c r="R1086" s="84"/>
      <c r="S1086" s="84"/>
      <c r="T1086" s="84"/>
      <c r="U1086" s="84"/>
      <c r="V1086" s="84"/>
      <c r="W1086" s="84"/>
      <c r="X1086" s="84"/>
      <c r="Y1086" s="84"/>
      <c r="Z1086" s="84"/>
      <c r="AA1086" s="84"/>
      <c r="AB1086" s="84"/>
      <c r="AC1086" s="84"/>
      <c r="AD1086" s="84"/>
      <c r="AE1086" s="84"/>
      <c r="AF1086" s="84"/>
      <c r="AG1086" s="84"/>
      <c r="AH1086" s="84"/>
      <c r="AI1086" s="84"/>
    </row>
    <row r="1087">
      <c r="A1087" s="84"/>
      <c r="B1087" s="84"/>
      <c r="C1087" s="84"/>
      <c r="D1087" s="84"/>
      <c r="E1087" s="84"/>
      <c r="F1087" s="84"/>
      <c r="G1087" s="84"/>
      <c r="H1087" s="84"/>
      <c r="I1087" s="84"/>
      <c r="J1087" s="84"/>
      <c r="K1087" s="84"/>
      <c r="L1087" s="84"/>
      <c r="M1087" s="84"/>
      <c r="N1087" s="84"/>
      <c r="O1087" s="84"/>
      <c r="P1087" s="84"/>
      <c r="Q1087" s="84"/>
      <c r="R1087" s="84"/>
      <c r="S1087" s="84"/>
      <c r="T1087" s="84"/>
      <c r="U1087" s="84"/>
      <c r="V1087" s="84"/>
      <c r="W1087" s="84"/>
      <c r="X1087" s="84"/>
      <c r="Y1087" s="84"/>
      <c r="Z1087" s="84"/>
      <c r="AA1087" s="84"/>
      <c r="AB1087" s="84"/>
      <c r="AC1087" s="84"/>
      <c r="AD1087" s="84"/>
      <c r="AE1087" s="84"/>
      <c r="AF1087" s="84"/>
      <c r="AG1087" s="84"/>
      <c r="AH1087" s="84"/>
      <c r="AI1087" s="84"/>
    </row>
    <row r="1088">
      <c r="A1088" s="84"/>
      <c r="B1088" s="84"/>
      <c r="C1088" s="84"/>
      <c r="D1088" s="84"/>
      <c r="E1088" s="84"/>
      <c r="F1088" s="84"/>
      <c r="G1088" s="84"/>
      <c r="H1088" s="84"/>
      <c r="I1088" s="84"/>
      <c r="J1088" s="84"/>
      <c r="K1088" s="84"/>
      <c r="L1088" s="84"/>
      <c r="M1088" s="84"/>
      <c r="N1088" s="84"/>
      <c r="O1088" s="84"/>
      <c r="P1088" s="84"/>
      <c r="Q1088" s="84"/>
      <c r="R1088" s="84"/>
      <c r="S1088" s="84"/>
      <c r="T1088" s="84"/>
      <c r="U1088" s="84"/>
      <c r="V1088" s="84"/>
      <c r="W1088" s="84"/>
      <c r="X1088" s="84"/>
      <c r="Y1088" s="84"/>
      <c r="Z1088" s="84"/>
      <c r="AA1088" s="84"/>
      <c r="AB1088" s="84"/>
      <c r="AC1088" s="84"/>
      <c r="AD1088" s="84"/>
      <c r="AE1088" s="84"/>
      <c r="AF1088" s="84"/>
      <c r="AG1088" s="84"/>
      <c r="AH1088" s="84"/>
      <c r="AI1088" s="84"/>
    </row>
    <row r="1089">
      <c r="A1089" s="84"/>
      <c r="B1089" s="84"/>
      <c r="C1089" s="84"/>
      <c r="D1089" s="84"/>
      <c r="E1089" s="84"/>
      <c r="F1089" s="84"/>
      <c r="G1089" s="84"/>
      <c r="H1089" s="84"/>
      <c r="I1089" s="84"/>
      <c r="J1089" s="84"/>
      <c r="K1089" s="84"/>
      <c r="L1089" s="84"/>
      <c r="M1089" s="84"/>
      <c r="N1089" s="84"/>
      <c r="O1089" s="84"/>
      <c r="P1089" s="84"/>
      <c r="Q1089" s="84"/>
      <c r="R1089" s="84"/>
      <c r="S1089" s="84"/>
      <c r="T1089" s="84"/>
      <c r="U1089" s="84"/>
      <c r="V1089" s="84"/>
      <c r="W1089" s="84"/>
      <c r="X1089" s="84"/>
      <c r="Y1089" s="84"/>
      <c r="Z1089" s="84"/>
      <c r="AA1089" s="84"/>
      <c r="AB1089" s="84"/>
      <c r="AC1089" s="84"/>
      <c r="AD1089" s="84"/>
      <c r="AE1089" s="84"/>
      <c r="AF1089" s="84"/>
      <c r="AG1089" s="84"/>
      <c r="AH1089" s="84"/>
      <c r="AI1089" s="84"/>
    </row>
    <row r="1090">
      <c r="A1090" s="84"/>
      <c r="B1090" s="84"/>
      <c r="C1090" s="84"/>
      <c r="D1090" s="84"/>
      <c r="E1090" s="84"/>
      <c r="F1090" s="84"/>
      <c r="G1090" s="84"/>
      <c r="H1090" s="84"/>
      <c r="I1090" s="84"/>
      <c r="J1090" s="84"/>
      <c r="K1090" s="84"/>
      <c r="L1090" s="84"/>
      <c r="M1090" s="84"/>
      <c r="N1090" s="84"/>
      <c r="O1090" s="84"/>
      <c r="P1090" s="84"/>
      <c r="Q1090" s="84"/>
      <c r="R1090" s="84"/>
      <c r="S1090" s="84"/>
      <c r="T1090" s="84"/>
      <c r="U1090" s="84"/>
      <c r="V1090" s="84"/>
      <c r="W1090" s="84"/>
      <c r="X1090" s="84"/>
      <c r="Y1090" s="84"/>
      <c r="Z1090" s="84"/>
      <c r="AA1090" s="84"/>
      <c r="AB1090" s="84"/>
      <c r="AC1090" s="84"/>
      <c r="AD1090" s="84"/>
      <c r="AE1090" s="84"/>
      <c r="AF1090" s="84"/>
      <c r="AG1090" s="84"/>
      <c r="AH1090" s="84"/>
      <c r="AI1090" s="84"/>
    </row>
    <row r="1091">
      <c r="A1091" s="84"/>
      <c r="B1091" s="84"/>
      <c r="C1091" s="84"/>
      <c r="D1091" s="84"/>
      <c r="E1091" s="84"/>
      <c r="F1091" s="84"/>
      <c r="G1091" s="84"/>
      <c r="H1091" s="84"/>
      <c r="I1091" s="84"/>
      <c r="J1091" s="84"/>
      <c r="K1091" s="84"/>
      <c r="L1091" s="84"/>
      <c r="M1091" s="84"/>
      <c r="N1091" s="84"/>
      <c r="O1091" s="84"/>
      <c r="P1091" s="84"/>
      <c r="Q1091" s="84"/>
      <c r="R1091" s="84"/>
      <c r="S1091" s="84"/>
      <c r="T1091" s="84"/>
      <c r="U1091" s="84"/>
      <c r="V1091" s="84"/>
      <c r="W1091" s="84"/>
      <c r="X1091" s="84"/>
      <c r="Y1091" s="84"/>
      <c r="Z1091" s="84"/>
      <c r="AA1091" s="84"/>
      <c r="AB1091" s="84"/>
      <c r="AC1091" s="84"/>
      <c r="AD1091" s="84"/>
      <c r="AE1091" s="84"/>
      <c r="AF1091" s="84"/>
      <c r="AG1091" s="84"/>
      <c r="AH1091" s="84"/>
      <c r="AI1091" s="84"/>
    </row>
    <row r="1092">
      <c r="A1092" s="84"/>
      <c r="B1092" s="84"/>
      <c r="C1092" s="84"/>
      <c r="D1092" s="84"/>
      <c r="E1092" s="84"/>
      <c r="F1092" s="84"/>
      <c r="G1092" s="84"/>
      <c r="H1092" s="84"/>
      <c r="I1092" s="84"/>
      <c r="J1092" s="84"/>
      <c r="K1092" s="84"/>
      <c r="L1092" s="84"/>
      <c r="M1092" s="84"/>
      <c r="N1092" s="84"/>
      <c r="O1092" s="84"/>
      <c r="P1092" s="84"/>
      <c r="Q1092" s="84"/>
      <c r="R1092" s="84"/>
      <c r="S1092" s="84"/>
      <c r="T1092" s="84"/>
      <c r="U1092" s="84"/>
      <c r="V1092" s="84"/>
      <c r="W1092" s="84"/>
      <c r="X1092" s="84"/>
      <c r="Y1092" s="84"/>
      <c r="Z1092" s="84"/>
      <c r="AA1092" s="84"/>
      <c r="AB1092" s="84"/>
      <c r="AC1092" s="84"/>
      <c r="AD1092" s="84"/>
      <c r="AE1092" s="84"/>
      <c r="AF1092" s="84"/>
      <c r="AG1092" s="84"/>
      <c r="AH1092" s="84"/>
      <c r="AI1092" s="84"/>
    </row>
    <row r="1093">
      <c r="A1093" s="84"/>
      <c r="B1093" s="84"/>
      <c r="C1093" s="84"/>
      <c r="D1093" s="84"/>
      <c r="E1093" s="84"/>
      <c r="F1093" s="84"/>
      <c r="G1093" s="84"/>
      <c r="H1093" s="84"/>
      <c r="I1093" s="84"/>
      <c r="J1093" s="84"/>
      <c r="K1093" s="84"/>
      <c r="L1093" s="84"/>
      <c r="M1093" s="84"/>
      <c r="N1093" s="84"/>
      <c r="O1093" s="84"/>
      <c r="P1093" s="84"/>
      <c r="Q1093" s="84"/>
      <c r="R1093" s="84"/>
      <c r="S1093" s="84"/>
      <c r="T1093" s="84"/>
      <c r="U1093" s="84"/>
      <c r="V1093" s="84"/>
      <c r="W1093" s="84"/>
      <c r="X1093" s="84"/>
      <c r="Y1093" s="84"/>
      <c r="Z1093" s="84"/>
      <c r="AA1093" s="84"/>
      <c r="AB1093" s="84"/>
      <c r="AC1093" s="84"/>
      <c r="AD1093" s="84"/>
      <c r="AE1093" s="84"/>
      <c r="AF1093" s="84"/>
      <c r="AG1093" s="84"/>
      <c r="AH1093" s="84"/>
      <c r="AI1093" s="84"/>
    </row>
    <row r="1094">
      <c r="A1094" s="84"/>
      <c r="B1094" s="84"/>
      <c r="C1094" s="84"/>
      <c r="D1094" s="84"/>
      <c r="E1094" s="84"/>
      <c r="F1094" s="84"/>
      <c r="G1094" s="84"/>
      <c r="H1094" s="84"/>
      <c r="I1094" s="84"/>
      <c r="J1094" s="84"/>
      <c r="K1094" s="84"/>
      <c r="L1094" s="84"/>
      <c r="M1094" s="84"/>
      <c r="N1094" s="84"/>
      <c r="O1094" s="84"/>
      <c r="P1094" s="84"/>
      <c r="Q1094" s="84"/>
      <c r="R1094" s="84"/>
      <c r="S1094" s="84"/>
      <c r="T1094" s="84"/>
      <c r="U1094" s="84"/>
      <c r="V1094" s="84"/>
      <c r="W1094" s="84"/>
      <c r="X1094" s="84"/>
      <c r="Y1094" s="84"/>
      <c r="Z1094" s="84"/>
      <c r="AA1094" s="84"/>
      <c r="AB1094" s="84"/>
      <c r="AC1094" s="84"/>
      <c r="AD1094" s="84"/>
      <c r="AE1094" s="84"/>
      <c r="AF1094" s="84"/>
      <c r="AG1094" s="84"/>
      <c r="AH1094" s="84"/>
      <c r="AI1094" s="84"/>
    </row>
    <row r="1095">
      <c r="A1095" s="84"/>
      <c r="B1095" s="84"/>
      <c r="C1095" s="84"/>
      <c r="D1095" s="84"/>
      <c r="E1095" s="84"/>
      <c r="F1095" s="84"/>
      <c r="G1095" s="84"/>
      <c r="H1095" s="84"/>
      <c r="I1095" s="84"/>
      <c r="J1095" s="84"/>
      <c r="K1095" s="84"/>
      <c r="L1095" s="84"/>
      <c r="M1095" s="84"/>
      <c r="N1095" s="84"/>
      <c r="O1095" s="84"/>
      <c r="P1095" s="84"/>
      <c r="Q1095" s="84"/>
      <c r="R1095" s="84"/>
      <c r="S1095" s="84"/>
      <c r="T1095" s="84"/>
      <c r="U1095" s="84"/>
      <c r="V1095" s="84"/>
      <c r="W1095" s="84"/>
      <c r="X1095" s="84"/>
      <c r="Y1095" s="84"/>
      <c r="Z1095" s="84"/>
      <c r="AA1095" s="84"/>
      <c r="AB1095" s="84"/>
      <c r="AC1095" s="84"/>
      <c r="AD1095" s="84"/>
      <c r="AE1095" s="84"/>
      <c r="AF1095" s="84"/>
      <c r="AG1095" s="84"/>
      <c r="AH1095" s="84"/>
      <c r="AI1095" s="84"/>
    </row>
    <row r="1096">
      <c r="A1096" s="84"/>
      <c r="B1096" s="84"/>
      <c r="C1096" s="84"/>
      <c r="D1096" s="84"/>
      <c r="E1096" s="84"/>
      <c r="F1096" s="84"/>
      <c r="G1096" s="84"/>
      <c r="H1096" s="84"/>
      <c r="I1096" s="84"/>
      <c r="J1096" s="84"/>
      <c r="K1096" s="84"/>
      <c r="L1096" s="84"/>
      <c r="M1096" s="84"/>
      <c r="N1096" s="84"/>
      <c r="O1096" s="84"/>
      <c r="P1096" s="84"/>
      <c r="Q1096" s="84"/>
      <c r="R1096" s="84"/>
      <c r="S1096" s="84"/>
      <c r="T1096" s="84"/>
      <c r="U1096" s="84"/>
      <c r="V1096" s="84"/>
      <c r="W1096" s="84"/>
      <c r="X1096" s="84"/>
      <c r="Y1096" s="84"/>
      <c r="Z1096" s="84"/>
      <c r="AA1096" s="84"/>
      <c r="AB1096" s="84"/>
      <c r="AC1096" s="84"/>
      <c r="AD1096" s="84"/>
      <c r="AE1096" s="84"/>
      <c r="AF1096" s="84"/>
      <c r="AG1096" s="84"/>
      <c r="AH1096" s="84"/>
      <c r="AI1096" s="84"/>
    </row>
    <row r="1097">
      <c r="A1097" s="84"/>
      <c r="B1097" s="84"/>
      <c r="C1097" s="84"/>
      <c r="D1097" s="84"/>
      <c r="E1097" s="84"/>
      <c r="F1097" s="84"/>
      <c r="G1097" s="84"/>
      <c r="H1097" s="84"/>
      <c r="I1097" s="84"/>
      <c r="J1097" s="84"/>
      <c r="K1097" s="84"/>
      <c r="L1097" s="84"/>
      <c r="M1097" s="84"/>
      <c r="N1097" s="84"/>
      <c r="O1097" s="84"/>
      <c r="P1097" s="84"/>
      <c r="Q1097" s="84"/>
      <c r="R1097" s="84"/>
      <c r="S1097" s="84"/>
      <c r="T1097" s="84"/>
      <c r="U1097" s="84"/>
      <c r="V1097" s="84"/>
      <c r="W1097" s="84"/>
      <c r="X1097" s="84"/>
      <c r="Y1097" s="84"/>
      <c r="Z1097" s="84"/>
      <c r="AA1097" s="84"/>
      <c r="AB1097" s="84"/>
      <c r="AC1097" s="84"/>
      <c r="AD1097" s="84"/>
      <c r="AE1097" s="84"/>
      <c r="AF1097" s="84"/>
      <c r="AG1097" s="84"/>
      <c r="AH1097" s="84"/>
      <c r="AI1097" s="84"/>
    </row>
    <row r="1098">
      <c r="A1098" s="84"/>
      <c r="B1098" s="84"/>
      <c r="C1098" s="84"/>
      <c r="D1098" s="84"/>
      <c r="E1098" s="84"/>
      <c r="F1098" s="84"/>
      <c r="G1098" s="84"/>
      <c r="H1098" s="84"/>
      <c r="I1098" s="84"/>
      <c r="J1098" s="84"/>
      <c r="K1098" s="84"/>
      <c r="L1098" s="84"/>
      <c r="M1098" s="84"/>
      <c r="N1098" s="84"/>
      <c r="O1098" s="84"/>
      <c r="P1098" s="84"/>
      <c r="Q1098" s="84"/>
      <c r="R1098" s="84"/>
      <c r="S1098" s="84"/>
      <c r="T1098" s="84"/>
      <c r="U1098" s="84"/>
      <c r="V1098" s="84"/>
      <c r="W1098" s="84"/>
      <c r="X1098" s="84"/>
      <c r="Y1098" s="84"/>
      <c r="Z1098" s="84"/>
      <c r="AA1098" s="84"/>
      <c r="AB1098" s="84"/>
      <c r="AC1098" s="84"/>
      <c r="AD1098" s="84"/>
      <c r="AE1098" s="84"/>
      <c r="AF1098" s="84"/>
      <c r="AG1098" s="84"/>
      <c r="AH1098" s="84"/>
      <c r="AI1098" s="84"/>
    </row>
    <row r="1099">
      <c r="A1099" s="84"/>
      <c r="B1099" s="84"/>
      <c r="C1099" s="84"/>
      <c r="D1099" s="84"/>
      <c r="E1099" s="84"/>
      <c r="F1099" s="84"/>
      <c r="G1099" s="84"/>
      <c r="H1099" s="84"/>
      <c r="I1099" s="84"/>
      <c r="J1099" s="84"/>
      <c r="K1099" s="84"/>
      <c r="L1099" s="84"/>
      <c r="M1099" s="84"/>
      <c r="N1099" s="84"/>
      <c r="O1099" s="84"/>
      <c r="P1099" s="84"/>
      <c r="Q1099" s="84"/>
      <c r="R1099" s="84"/>
      <c r="S1099" s="84"/>
      <c r="T1099" s="84"/>
      <c r="U1099" s="84"/>
      <c r="V1099" s="84"/>
      <c r="W1099" s="84"/>
      <c r="X1099" s="84"/>
      <c r="Y1099" s="84"/>
      <c r="Z1099" s="84"/>
      <c r="AA1099" s="84"/>
      <c r="AB1099" s="84"/>
      <c r="AC1099" s="84"/>
      <c r="AD1099" s="84"/>
      <c r="AE1099" s="84"/>
      <c r="AF1099" s="84"/>
      <c r="AG1099" s="84"/>
      <c r="AH1099" s="84"/>
      <c r="AI1099" s="84"/>
    </row>
    <row r="1100">
      <c r="A1100" s="84"/>
      <c r="B1100" s="84"/>
      <c r="C1100" s="84"/>
      <c r="D1100" s="84"/>
      <c r="E1100" s="84"/>
      <c r="F1100" s="84"/>
      <c r="G1100" s="84"/>
      <c r="H1100" s="84"/>
      <c r="I1100" s="84"/>
      <c r="J1100" s="84"/>
      <c r="K1100" s="84"/>
      <c r="L1100" s="84"/>
      <c r="M1100" s="84"/>
      <c r="N1100" s="84"/>
      <c r="O1100" s="84"/>
      <c r="P1100" s="84"/>
      <c r="Q1100" s="84"/>
      <c r="R1100" s="84"/>
      <c r="S1100" s="84"/>
      <c r="T1100" s="84"/>
      <c r="U1100" s="84"/>
      <c r="V1100" s="84"/>
      <c r="W1100" s="84"/>
      <c r="X1100" s="84"/>
      <c r="Y1100" s="84"/>
      <c r="Z1100" s="84"/>
      <c r="AA1100" s="84"/>
      <c r="AB1100" s="84"/>
      <c r="AC1100" s="84"/>
      <c r="AD1100" s="84"/>
      <c r="AE1100" s="84"/>
      <c r="AF1100" s="84"/>
      <c r="AG1100" s="84"/>
      <c r="AH1100" s="84"/>
      <c r="AI1100" s="84"/>
    </row>
    <row r="1101">
      <c r="A1101" s="84"/>
      <c r="B1101" s="84"/>
      <c r="C1101" s="84"/>
      <c r="D1101" s="84"/>
      <c r="E1101" s="84"/>
      <c r="F1101" s="84"/>
      <c r="G1101" s="84"/>
      <c r="H1101" s="84"/>
      <c r="I1101" s="84"/>
      <c r="J1101" s="84"/>
      <c r="K1101" s="84"/>
      <c r="L1101" s="84"/>
      <c r="M1101" s="84"/>
      <c r="N1101" s="84"/>
      <c r="O1101" s="84"/>
      <c r="P1101" s="84"/>
      <c r="Q1101" s="84"/>
      <c r="R1101" s="84"/>
      <c r="S1101" s="84"/>
      <c r="T1101" s="84"/>
      <c r="U1101" s="84"/>
      <c r="V1101" s="84"/>
      <c r="W1101" s="84"/>
      <c r="X1101" s="84"/>
      <c r="Y1101" s="84"/>
      <c r="Z1101" s="84"/>
      <c r="AA1101" s="84"/>
      <c r="AB1101" s="84"/>
      <c r="AC1101" s="84"/>
      <c r="AD1101" s="84"/>
      <c r="AE1101" s="84"/>
      <c r="AF1101" s="84"/>
      <c r="AG1101" s="84"/>
      <c r="AH1101" s="84"/>
      <c r="AI1101" s="84"/>
    </row>
    <row r="1102">
      <c r="A1102" s="84"/>
      <c r="B1102" s="84"/>
      <c r="C1102" s="84"/>
      <c r="D1102" s="84"/>
      <c r="E1102" s="84"/>
      <c r="F1102" s="84"/>
      <c r="G1102" s="84"/>
      <c r="H1102" s="84"/>
      <c r="I1102" s="84"/>
      <c r="J1102" s="84"/>
      <c r="K1102" s="84"/>
      <c r="L1102" s="84"/>
      <c r="M1102" s="84"/>
      <c r="N1102" s="84"/>
      <c r="O1102" s="84"/>
      <c r="P1102" s="84"/>
      <c r="Q1102" s="84"/>
      <c r="R1102" s="84"/>
      <c r="S1102" s="84"/>
      <c r="T1102" s="84"/>
      <c r="U1102" s="84"/>
      <c r="V1102" s="84"/>
      <c r="W1102" s="84"/>
      <c r="X1102" s="84"/>
      <c r="Y1102" s="84"/>
      <c r="Z1102" s="84"/>
      <c r="AA1102" s="84"/>
      <c r="AB1102" s="84"/>
      <c r="AC1102" s="84"/>
      <c r="AD1102" s="84"/>
      <c r="AE1102" s="84"/>
      <c r="AF1102" s="84"/>
      <c r="AG1102" s="84"/>
      <c r="AH1102" s="84"/>
      <c r="AI1102" s="84"/>
    </row>
    <row r="1103">
      <c r="A1103" s="84"/>
      <c r="B1103" s="84"/>
      <c r="C1103" s="84"/>
      <c r="D1103" s="84"/>
      <c r="E1103" s="84"/>
      <c r="F1103" s="84"/>
      <c r="G1103" s="84"/>
      <c r="H1103" s="84"/>
      <c r="I1103" s="84"/>
      <c r="J1103" s="84"/>
      <c r="K1103" s="84"/>
      <c r="L1103" s="84"/>
      <c r="M1103" s="84"/>
      <c r="N1103" s="84"/>
      <c r="O1103" s="84"/>
      <c r="P1103" s="84"/>
      <c r="Q1103" s="84"/>
      <c r="R1103" s="84"/>
      <c r="S1103" s="84"/>
      <c r="T1103" s="84"/>
      <c r="U1103" s="84"/>
      <c r="V1103" s="84"/>
      <c r="W1103" s="84"/>
      <c r="X1103" s="84"/>
      <c r="Y1103" s="84"/>
      <c r="Z1103" s="84"/>
      <c r="AA1103" s="84"/>
      <c r="AB1103" s="84"/>
      <c r="AC1103" s="84"/>
      <c r="AD1103" s="84"/>
      <c r="AE1103" s="84"/>
      <c r="AF1103" s="84"/>
      <c r="AG1103" s="84"/>
      <c r="AH1103" s="84"/>
      <c r="AI1103" s="84"/>
    </row>
    <row r="1104">
      <c r="A1104" s="84"/>
      <c r="B1104" s="84"/>
      <c r="C1104" s="84"/>
      <c r="D1104" s="84"/>
      <c r="E1104" s="84"/>
      <c r="F1104" s="84"/>
      <c r="G1104" s="84"/>
      <c r="H1104" s="84"/>
      <c r="I1104" s="84"/>
      <c r="J1104" s="84"/>
      <c r="K1104" s="84"/>
      <c r="L1104" s="84"/>
      <c r="M1104" s="84"/>
      <c r="N1104" s="84"/>
      <c r="O1104" s="84"/>
      <c r="P1104" s="84"/>
      <c r="Q1104" s="84"/>
      <c r="R1104" s="84"/>
      <c r="S1104" s="84"/>
      <c r="T1104" s="84"/>
      <c r="U1104" s="84"/>
      <c r="V1104" s="84"/>
      <c r="W1104" s="84"/>
      <c r="X1104" s="84"/>
      <c r="Y1104" s="84"/>
      <c r="Z1104" s="84"/>
      <c r="AA1104" s="84"/>
      <c r="AB1104" s="84"/>
      <c r="AC1104" s="84"/>
      <c r="AD1104" s="84"/>
      <c r="AE1104" s="84"/>
      <c r="AF1104" s="84"/>
      <c r="AG1104" s="84"/>
      <c r="AH1104" s="84"/>
      <c r="AI1104" s="84"/>
    </row>
    <row r="1105">
      <c r="A1105" s="84"/>
      <c r="B1105" s="84"/>
      <c r="C1105" s="84"/>
      <c r="D1105" s="84"/>
      <c r="E1105" s="84"/>
      <c r="F1105" s="84"/>
      <c r="G1105" s="84"/>
      <c r="H1105" s="84"/>
      <c r="I1105" s="84"/>
      <c r="J1105" s="84"/>
      <c r="K1105" s="84"/>
      <c r="L1105" s="84"/>
      <c r="M1105" s="84"/>
      <c r="N1105" s="84"/>
      <c r="O1105" s="84"/>
      <c r="P1105" s="84"/>
      <c r="Q1105" s="84"/>
      <c r="R1105" s="84"/>
      <c r="S1105" s="84"/>
      <c r="T1105" s="84"/>
      <c r="U1105" s="84"/>
      <c r="V1105" s="84"/>
      <c r="W1105" s="84"/>
      <c r="X1105" s="84"/>
      <c r="Y1105" s="84"/>
      <c r="Z1105" s="84"/>
      <c r="AA1105" s="84"/>
      <c r="AB1105" s="84"/>
      <c r="AC1105" s="84"/>
      <c r="AD1105" s="84"/>
      <c r="AE1105" s="84"/>
      <c r="AF1105" s="84"/>
      <c r="AG1105" s="84"/>
      <c r="AH1105" s="84"/>
      <c r="AI1105" s="84"/>
    </row>
    <row r="1106">
      <c r="A1106" s="84"/>
      <c r="B1106" s="84"/>
      <c r="C1106" s="84"/>
      <c r="D1106" s="84"/>
      <c r="E1106" s="84"/>
      <c r="F1106" s="84"/>
      <c r="G1106" s="84"/>
      <c r="H1106" s="84"/>
      <c r="I1106" s="84"/>
      <c r="J1106" s="84"/>
      <c r="K1106" s="84"/>
      <c r="L1106" s="84"/>
      <c r="M1106" s="84"/>
      <c r="N1106" s="84"/>
      <c r="O1106" s="84"/>
      <c r="P1106" s="84"/>
      <c r="Q1106" s="84"/>
      <c r="R1106" s="84"/>
      <c r="S1106" s="84"/>
      <c r="T1106" s="84"/>
      <c r="U1106" s="84"/>
      <c r="V1106" s="84"/>
      <c r="W1106" s="84"/>
      <c r="X1106" s="84"/>
      <c r="Y1106" s="84"/>
      <c r="Z1106" s="84"/>
      <c r="AA1106" s="84"/>
      <c r="AB1106" s="84"/>
      <c r="AC1106" s="84"/>
      <c r="AD1106" s="84"/>
      <c r="AE1106" s="84"/>
      <c r="AF1106" s="84"/>
      <c r="AG1106" s="84"/>
      <c r="AH1106" s="84"/>
      <c r="AI1106" s="84"/>
    </row>
    <row r="1107">
      <c r="A1107" s="84"/>
      <c r="B1107" s="84"/>
      <c r="C1107" s="84"/>
      <c r="D1107" s="84"/>
      <c r="E1107" s="84"/>
      <c r="F1107" s="84"/>
      <c r="G1107" s="84"/>
      <c r="H1107" s="84"/>
      <c r="I1107" s="84"/>
      <c r="J1107" s="84"/>
      <c r="K1107" s="84"/>
      <c r="L1107" s="84"/>
      <c r="M1107" s="84"/>
      <c r="N1107" s="84"/>
      <c r="O1107" s="84"/>
      <c r="P1107" s="84"/>
      <c r="Q1107" s="84"/>
      <c r="R1107" s="84"/>
      <c r="S1107" s="84"/>
      <c r="T1107" s="84"/>
      <c r="U1107" s="84"/>
      <c r="V1107" s="84"/>
      <c r="W1107" s="84"/>
      <c r="X1107" s="84"/>
      <c r="Y1107" s="84"/>
      <c r="Z1107" s="84"/>
      <c r="AA1107" s="84"/>
      <c r="AB1107" s="84"/>
      <c r="AC1107" s="84"/>
      <c r="AD1107" s="84"/>
      <c r="AE1107" s="84"/>
      <c r="AF1107" s="84"/>
      <c r="AG1107" s="84"/>
      <c r="AH1107" s="84"/>
      <c r="AI1107" s="84"/>
    </row>
    <row r="1108">
      <c r="A1108" s="84"/>
      <c r="B1108" s="84"/>
      <c r="C1108" s="84"/>
      <c r="D1108" s="84"/>
      <c r="E1108" s="84"/>
      <c r="F1108" s="84"/>
      <c r="G1108" s="84"/>
      <c r="H1108" s="84"/>
      <c r="I1108" s="84"/>
      <c r="J1108" s="84"/>
      <c r="K1108" s="84"/>
      <c r="L1108" s="84"/>
      <c r="M1108" s="84"/>
      <c r="N1108" s="84"/>
      <c r="O1108" s="84"/>
      <c r="P1108" s="84"/>
      <c r="Q1108" s="84"/>
      <c r="R1108" s="84"/>
      <c r="S1108" s="84"/>
      <c r="T1108" s="84"/>
      <c r="U1108" s="84"/>
      <c r="V1108" s="84"/>
      <c r="W1108" s="84"/>
      <c r="X1108" s="84"/>
      <c r="Y1108" s="84"/>
      <c r="Z1108" s="84"/>
      <c r="AA1108" s="84"/>
      <c r="AB1108" s="84"/>
      <c r="AC1108" s="84"/>
      <c r="AD1108" s="84"/>
      <c r="AE1108" s="84"/>
      <c r="AF1108" s="84"/>
      <c r="AG1108" s="84"/>
      <c r="AH1108" s="84"/>
      <c r="AI1108" s="84"/>
    </row>
    <row r="1109">
      <c r="A1109" s="84"/>
      <c r="B1109" s="84"/>
      <c r="C1109" s="84"/>
      <c r="D1109" s="84"/>
      <c r="E1109" s="84"/>
      <c r="F1109" s="84"/>
      <c r="G1109" s="84"/>
      <c r="H1109" s="84"/>
      <c r="I1109" s="84"/>
      <c r="J1109" s="84"/>
      <c r="K1109" s="84"/>
      <c r="L1109" s="84"/>
      <c r="M1109" s="84"/>
      <c r="N1109" s="84"/>
      <c r="O1109" s="84"/>
      <c r="P1109" s="84"/>
      <c r="Q1109" s="84"/>
      <c r="R1109" s="84"/>
      <c r="S1109" s="84"/>
      <c r="T1109" s="84"/>
      <c r="U1109" s="84"/>
      <c r="V1109" s="84"/>
      <c r="W1109" s="84"/>
      <c r="X1109" s="84"/>
      <c r="Y1109" s="84"/>
      <c r="Z1109" s="84"/>
      <c r="AA1109" s="84"/>
      <c r="AB1109" s="84"/>
      <c r="AC1109" s="84"/>
      <c r="AD1109" s="84"/>
      <c r="AE1109" s="84"/>
      <c r="AF1109" s="84"/>
      <c r="AG1109" s="84"/>
      <c r="AH1109" s="84"/>
      <c r="AI1109" s="84"/>
    </row>
    <row r="1110">
      <c r="A1110" s="84"/>
      <c r="B1110" s="84"/>
      <c r="C1110" s="84"/>
      <c r="D1110" s="84"/>
      <c r="E1110" s="84"/>
      <c r="F1110" s="84"/>
      <c r="G1110" s="84"/>
      <c r="H1110" s="84"/>
      <c r="I1110" s="84"/>
      <c r="J1110" s="84"/>
      <c r="K1110" s="84"/>
      <c r="L1110" s="84"/>
      <c r="M1110" s="84"/>
      <c r="N1110" s="84"/>
      <c r="O1110" s="84"/>
      <c r="P1110" s="84"/>
      <c r="Q1110" s="84"/>
      <c r="R1110" s="84"/>
      <c r="S1110" s="84"/>
      <c r="T1110" s="84"/>
      <c r="U1110" s="84"/>
      <c r="V1110" s="84"/>
      <c r="W1110" s="84"/>
      <c r="X1110" s="84"/>
      <c r="Y1110" s="84"/>
      <c r="Z1110" s="84"/>
      <c r="AA1110" s="84"/>
      <c r="AB1110" s="84"/>
      <c r="AC1110" s="84"/>
      <c r="AD1110" s="84"/>
      <c r="AE1110" s="84"/>
      <c r="AF1110" s="84"/>
      <c r="AG1110" s="84"/>
      <c r="AH1110" s="84"/>
      <c r="AI1110" s="84"/>
    </row>
    <row r="1111">
      <c r="A1111" s="84"/>
      <c r="B1111" s="84"/>
      <c r="C1111" s="84"/>
      <c r="D1111" s="84"/>
      <c r="E1111" s="84"/>
      <c r="F1111" s="84"/>
      <c r="G1111" s="84"/>
      <c r="H1111" s="84"/>
      <c r="I1111" s="84"/>
      <c r="J1111" s="84"/>
      <c r="K1111" s="84"/>
      <c r="L1111" s="84"/>
      <c r="M1111" s="84"/>
      <c r="N1111" s="84"/>
      <c r="O1111" s="84"/>
      <c r="P1111" s="84"/>
      <c r="Q1111" s="84"/>
      <c r="R1111" s="84"/>
      <c r="S1111" s="84"/>
      <c r="T1111" s="84"/>
      <c r="U1111" s="84"/>
      <c r="V1111" s="84"/>
      <c r="W1111" s="84"/>
      <c r="X1111" s="84"/>
      <c r="Y1111" s="84"/>
      <c r="Z1111" s="84"/>
      <c r="AA1111" s="84"/>
      <c r="AB1111" s="84"/>
      <c r="AC1111" s="84"/>
      <c r="AD1111" s="84"/>
      <c r="AE1111" s="84"/>
      <c r="AF1111" s="84"/>
      <c r="AG1111" s="84"/>
      <c r="AH1111" s="84"/>
      <c r="AI1111" s="84"/>
    </row>
    <row r="1112">
      <c r="A1112" s="84"/>
      <c r="B1112" s="84"/>
      <c r="C1112" s="84"/>
      <c r="D1112" s="84"/>
      <c r="E1112" s="84"/>
      <c r="F1112" s="84"/>
      <c r="G1112" s="84"/>
      <c r="H1112" s="84"/>
      <c r="I1112" s="84"/>
      <c r="J1112" s="84"/>
      <c r="K1112" s="84"/>
      <c r="L1112" s="84"/>
      <c r="M1112" s="84"/>
      <c r="N1112" s="84"/>
      <c r="O1112" s="84"/>
      <c r="P1112" s="84"/>
      <c r="Q1112" s="84"/>
      <c r="R1112" s="84"/>
      <c r="S1112" s="84"/>
      <c r="T1112" s="84"/>
      <c r="U1112" s="84"/>
      <c r="V1112" s="84"/>
      <c r="W1112" s="84"/>
      <c r="X1112" s="84"/>
      <c r="Y1112" s="84"/>
      <c r="Z1112" s="84"/>
      <c r="AA1112" s="84"/>
      <c r="AB1112" s="84"/>
      <c r="AC1112" s="84"/>
      <c r="AD1112" s="84"/>
      <c r="AE1112" s="84"/>
      <c r="AF1112" s="84"/>
      <c r="AG1112" s="84"/>
      <c r="AH1112" s="84"/>
      <c r="AI1112" s="84"/>
    </row>
    <row r="1113">
      <c r="A1113" s="84"/>
      <c r="B1113" s="84"/>
      <c r="C1113" s="84"/>
      <c r="D1113" s="84"/>
      <c r="E1113" s="84"/>
      <c r="F1113" s="84"/>
      <c r="G1113" s="84"/>
      <c r="H1113" s="84"/>
      <c r="I1113" s="84"/>
      <c r="J1113" s="84"/>
      <c r="K1113" s="84"/>
      <c r="L1113" s="84"/>
      <c r="M1113" s="84"/>
      <c r="N1113" s="84"/>
      <c r="O1113" s="84"/>
      <c r="P1113" s="84"/>
      <c r="Q1113" s="84"/>
      <c r="R1113" s="84"/>
      <c r="S1113" s="84"/>
      <c r="T1113" s="84"/>
      <c r="U1113" s="84"/>
      <c r="V1113" s="84"/>
      <c r="W1113" s="84"/>
      <c r="X1113" s="84"/>
      <c r="Y1113" s="84"/>
      <c r="Z1113" s="84"/>
      <c r="AA1113" s="84"/>
      <c r="AB1113" s="84"/>
      <c r="AC1113" s="84"/>
      <c r="AD1113" s="84"/>
      <c r="AE1113" s="84"/>
      <c r="AF1113" s="84"/>
      <c r="AG1113" s="84"/>
      <c r="AH1113" s="84"/>
      <c r="AI1113" s="84"/>
    </row>
    <row r="1114">
      <c r="A1114" s="84"/>
      <c r="B1114" s="84"/>
      <c r="C1114" s="84"/>
      <c r="D1114" s="84"/>
      <c r="E1114" s="84"/>
      <c r="F1114" s="84"/>
      <c r="G1114" s="84"/>
      <c r="H1114" s="84"/>
      <c r="I1114" s="84"/>
      <c r="J1114" s="84"/>
      <c r="K1114" s="84"/>
      <c r="L1114" s="84"/>
      <c r="M1114" s="84"/>
      <c r="N1114" s="84"/>
      <c r="O1114" s="84"/>
      <c r="P1114" s="84"/>
      <c r="Q1114" s="84"/>
      <c r="R1114" s="84"/>
      <c r="S1114" s="84"/>
      <c r="T1114" s="84"/>
      <c r="U1114" s="84"/>
      <c r="V1114" s="84"/>
      <c r="W1114" s="84"/>
      <c r="X1114" s="84"/>
      <c r="Y1114" s="84"/>
      <c r="Z1114" s="84"/>
      <c r="AA1114" s="84"/>
      <c r="AB1114" s="84"/>
      <c r="AC1114" s="84"/>
      <c r="AD1114" s="84"/>
      <c r="AE1114" s="84"/>
      <c r="AF1114" s="84"/>
      <c r="AG1114" s="84"/>
      <c r="AH1114" s="84"/>
      <c r="AI1114" s="84"/>
    </row>
    <row r="1115">
      <c r="A1115" s="84"/>
      <c r="B1115" s="84"/>
      <c r="C1115" s="84"/>
      <c r="D1115" s="84"/>
      <c r="E1115" s="84"/>
      <c r="F1115" s="84"/>
      <c r="G1115" s="84"/>
      <c r="H1115" s="84"/>
      <c r="I1115" s="84"/>
      <c r="J1115" s="84"/>
      <c r="K1115" s="84"/>
      <c r="L1115" s="84"/>
      <c r="M1115" s="84"/>
      <c r="N1115" s="84"/>
      <c r="O1115" s="84"/>
      <c r="P1115" s="84"/>
      <c r="Q1115" s="84"/>
      <c r="R1115" s="84"/>
      <c r="S1115" s="84"/>
      <c r="T1115" s="84"/>
      <c r="U1115" s="84"/>
      <c r="V1115" s="84"/>
      <c r="W1115" s="84"/>
      <c r="X1115" s="84"/>
      <c r="Y1115" s="84"/>
      <c r="Z1115" s="84"/>
      <c r="AA1115" s="84"/>
      <c r="AB1115" s="84"/>
      <c r="AC1115" s="84"/>
      <c r="AD1115" s="84"/>
      <c r="AE1115" s="84"/>
      <c r="AF1115" s="84"/>
      <c r="AG1115" s="84"/>
      <c r="AH1115" s="84"/>
      <c r="AI1115" s="84"/>
    </row>
    <row r="1116">
      <c r="A1116" s="84"/>
      <c r="B1116" s="84"/>
      <c r="C1116" s="84"/>
      <c r="D1116" s="84"/>
      <c r="E1116" s="84"/>
      <c r="F1116" s="84"/>
      <c r="G1116" s="84"/>
      <c r="H1116" s="84"/>
      <c r="I1116" s="84"/>
      <c r="J1116" s="84"/>
      <c r="K1116" s="84"/>
      <c r="L1116" s="84"/>
      <c r="M1116" s="84"/>
      <c r="N1116" s="84"/>
      <c r="O1116" s="84"/>
      <c r="P1116" s="84"/>
      <c r="Q1116" s="84"/>
      <c r="R1116" s="84"/>
      <c r="S1116" s="84"/>
      <c r="T1116" s="84"/>
      <c r="U1116" s="84"/>
      <c r="V1116" s="84"/>
      <c r="W1116" s="84"/>
      <c r="X1116" s="84"/>
      <c r="Y1116" s="84"/>
      <c r="Z1116" s="84"/>
      <c r="AA1116" s="84"/>
      <c r="AB1116" s="84"/>
      <c r="AC1116" s="84"/>
      <c r="AD1116" s="84"/>
      <c r="AE1116" s="84"/>
      <c r="AF1116" s="84"/>
      <c r="AG1116" s="84"/>
      <c r="AH1116" s="84"/>
      <c r="AI1116" s="84"/>
    </row>
    <row r="1117">
      <c r="A1117" s="84"/>
      <c r="B1117" s="84"/>
      <c r="C1117" s="84"/>
      <c r="D1117" s="84"/>
      <c r="E1117" s="84"/>
      <c r="F1117" s="84"/>
      <c r="G1117" s="84"/>
      <c r="H1117" s="84"/>
      <c r="I1117" s="84"/>
      <c r="J1117" s="84"/>
      <c r="K1117" s="84"/>
      <c r="L1117" s="84"/>
      <c r="M1117" s="84"/>
      <c r="N1117" s="84"/>
      <c r="O1117" s="84"/>
      <c r="P1117" s="84"/>
      <c r="Q1117" s="84"/>
      <c r="R1117" s="84"/>
      <c r="S1117" s="84"/>
      <c r="T1117" s="84"/>
      <c r="U1117" s="84"/>
      <c r="V1117" s="84"/>
      <c r="W1117" s="84"/>
      <c r="X1117" s="84"/>
      <c r="Y1117" s="84"/>
      <c r="Z1117" s="84"/>
      <c r="AA1117" s="84"/>
      <c r="AB1117" s="84"/>
      <c r="AC1117" s="84"/>
      <c r="AD1117" s="84"/>
      <c r="AE1117" s="84"/>
      <c r="AF1117" s="84"/>
      <c r="AG1117" s="84"/>
      <c r="AH1117" s="84"/>
      <c r="AI1117" s="84"/>
    </row>
    <row r="1118">
      <c r="A1118" s="84"/>
      <c r="B1118" s="84"/>
      <c r="C1118" s="84"/>
      <c r="D1118" s="84"/>
      <c r="E1118" s="84"/>
      <c r="F1118" s="84"/>
      <c r="G1118" s="84"/>
      <c r="H1118" s="84"/>
      <c r="I1118" s="84"/>
      <c r="J1118" s="84"/>
      <c r="K1118" s="84"/>
      <c r="L1118" s="84"/>
      <c r="M1118" s="84"/>
      <c r="N1118" s="84"/>
      <c r="O1118" s="84"/>
      <c r="P1118" s="84"/>
      <c r="Q1118" s="84"/>
      <c r="R1118" s="84"/>
      <c r="S1118" s="84"/>
      <c r="T1118" s="84"/>
      <c r="U1118" s="84"/>
      <c r="V1118" s="84"/>
      <c r="W1118" s="84"/>
      <c r="X1118" s="84"/>
      <c r="Y1118" s="84"/>
      <c r="Z1118" s="84"/>
      <c r="AA1118" s="84"/>
      <c r="AB1118" s="84"/>
      <c r="AC1118" s="84"/>
      <c r="AD1118" s="84"/>
      <c r="AE1118" s="84"/>
      <c r="AF1118" s="84"/>
      <c r="AG1118" s="84"/>
      <c r="AH1118" s="84"/>
      <c r="AI1118" s="84"/>
    </row>
    <row r="1119">
      <c r="A1119" s="84"/>
      <c r="B1119" s="84"/>
      <c r="C1119" s="84"/>
      <c r="D1119" s="84"/>
      <c r="E1119" s="84"/>
      <c r="F1119" s="84"/>
      <c r="G1119" s="84"/>
      <c r="H1119" s="84"/>
      <c r="I1119" s="84"/>
      <c r="J1119" s="84"/>
      <c r="K1119" s="84"/>
      <c r="L1119" s="84"/>
      <c r="M1119" s="84"/>
      <c r="N1119" s="84"/>
      <c r="O1119" s="84"/>
      <c r="P1119" s="84"/>
      <c r="Q1119" s="84"/>
      <c r="R1119" s="84"/>
      <c r="S1119" s="84"/>
      <c r="T1119" s="84"/>
      <c r="U1119" s="84"/>
      <c r="V1119" s="84"/>
      <c r="W1119" s="84"/>
      <c r="X1119" s="84"/>
      <c r="Y1119" s="84"/>
      <c r="Z1119" s="84"/>
      <c r="AA1119" s="84"/>
      <c r="AB1119" s="84"/>
      <c r="AC1119" s="84"/>
      <c r="AD1119" s="84"/>
      <c r="AE1119" s="84"/>
      <c r="AF1119" s="84"/>
      <c r="AG1119" s="84"/>
      <c r="AH1119" s="84"/>
      <c r="AI1119" s="84"/>
    </row>
    <row r="1120">
      <c r="A1120" s="84"/>
      <c r="B1120" s="84"/>
      <c r="C1120" s="84"/>
      <c r="D1120" s="84"/>
      <c r="E1120" s="84"/>
      <c r="F1120" s="84"/>
      <c r="G1120" s="84"/>
      <c r="H1120" s="84"/>
      <c r="I1120" s="84"/>
      <c r="J1120" s="84"/>
      <c r="K1120" s="84"/>
      <c r="L1120" s="84"/>
      <c r="M1120" s="84"/>
      <c r="N1120" s="84"/>
      <c r="O1120" s="84"/>
      <c r="P1120" s="84"/>
      <c r="Q1120" s="84"/>
      <c r="R1120" s="84"/>
      <c r="S1120" s="84"/>
      <c r="T1120" s="84"/>
      <c r="U1120" s="84"/>
      <c r="V1120" s="84"/>
      <c r="W1120" s="84"/>
      <c r="X1120" s="84"/>
      <c r="Y1120" s="84"/>
      <c r="Z1120" s="84"/>
      <c r="AA1120" s="84"/>
      <c r="AB1120" s="84"/>
      <c r="AC1120" s="84"/>
      <c r="AD1120" s="84"/>
      <c r="AE1120" s="84"/>
      <c r="AF1120" s="84"/>
      <c r="AG1120" s="84"/>
      <c r="AH1120" s="84"/>
      <c r="AI1120" s="84"/>
    </row>
    <row r="1121">
      <c r="A1121" s="84"/>
      <c r="B1121" s="84"/>
      <c r="C1121" s="84"/>
      <c r="D1121" s="84"/>
      <c r="E1121" s="84"/>
      <c r="F1121" s="84"/>
      <c r="G1121" s="84"/>
      <c r="H1121" s="84"/>
      <c r="I1121" s="84"/>
      <c r="J1121" s="84"/>
      <c r="K1121" s="84"/>
      <c r="L1121" s="84"/>
      <c r="M1121" s="84"/>
      <c r="N1121" s="84"/>
      <c r="O1121" s="84"/>
      <c r="P1121" s="84"/>
      <c r="Q1121" s="84"/>
      <c r="R1121" s="84"/>
      <c r="S1121" s="84"/>
      <c r="T1121" s="84"/>
      <c r="U1121" s="84"/>
      <c r="V1121" s="84"/>
      <c r="W1121" s="84"/>
      <c r="X1121" s="84"/>
      <c r="Y1121" s="84"/>
      <c r="Z1121" s="84"/>
      <c r="AA1121" s="84"/>
      <c r="AB1121" s="84"/>
      <c r="AC1121" s="84"/>
      <c r="AD1121" s="84"/>
      <c r="AE1121" s="84"/>
      <c r="AF1121" s="84"/>
      <c r="AG1121" s="84"/>
      <c r="AH1121" s="84"/>
      <c r="AI1121" s="84"/>
    </row>
    <row r="1122">
      <c r="A1122" s="84"/>
      <c r="B1122" s="84"/>
      <c r="C1122" s="84"/>
      <c r="D1122" s="84"/>
      <c r="E1122" s="84"/>
      <c r="F1122" s="84"/>
      <c r="G1122" s="84"/>
      <c r="H1122" s="84"/>
      <c r="I1122" s="84"/>
      <c r="J1122" s="84"/>
      <c r="K1122" s="84"/>
      <c r="L1122" s="84"/>
      <c r="M1122" s="84"/>
      <c r="N1122" s="84"/>
      <c r="O1122" s="84"/>
      <c r="P1122" s="84"/>
      <c r="Q1122" s="84"/>
      <c r="R1122" s="84"/>
      <c r="S1122" s="84"/>
      <c r="T1122" s="84"/>
      <c r="U1122" s="84"/>
      <c r="V1122" s="84"/>
      <c r="W1122" s="84"/>
      <c r="X1122" s="84"/>
      <c r="Y1122" s="84"/>
      <c r="Z1122" s="84"/>
      <c r="AA1122" s="84"/>
      <c r="AB1122" s="84"/>
      <c r="AC1122" s="84"/>
      <c r="AD1122" s="84"/>
      <c r="AE1122" s="84"/>
      <c r="AF1122" s="84"/>
      <c r="AG1122" s="84"/>
      <c r="AH1122" s="84"/>
      <c r="AI1122" s="84"/>
    </row>
    <row r="1123">
      <c r="A1123" s="84"/>
      <c r="B1123" s="84"/>
      <c r="C1123" s="84"/>
      <c r="D1123" s="84"/>
      <c r="E1123" s="84"/>
      <c r="F1123" s="84"/>
      <c r="G1123" s="84"/>
      <c r="H1123" s="84"/>
      <c r="I1123" s="84"/>
      <c r="J1123" s="84"/>
      <c r="K1123" s="84"/>
      <c r="L1123" s="84"/>
      <c r="M1123" s="84"/>
      <c r="N1123" s="84"/>
      <c r="O1123" s="84"/>
      <c r="P1123" s="84"/>
      <c r="Q1123" s="84"/>
      <c r="R1123" s="84"/>
      <c r="S1123" s="84"/>
      <c r="T1123" s="84"/>
      <c r="U1123" s="84"/>
      <c r="V1123" s="84"/>
      <c r="W1123" s="84"/>
      <c r="X1123" s="84"/>
      <c r="Y1123" s="84"/>
      <c r="Z1123" s="84"/>
      <c r="AA1123" s="84"/>
      <c r="AB1123" s="84"/>
      <c r="AC1123" s="84"/>
      <c r="AD1123" s="84"/>
      <c r="AE1123" s="84"/>
      <c r="AF1123" s="84"/>
      <c r="AG1123" s="84"/>
      <c r="AH1123" s="84"/>
      <c r="AI1123" s="84"/>
    </row>
    <row r="1124">
      <c r="A1124" s="84"/>
      <c r="B1124" s="84"/>
      <c r="C1124" s="84"/>
      <c r="D1124" s="84"/>
      <c r="E1124" s="84"/>
      <c r="F1124" s="84"/>
      <c r="G1124" s="84"/>
      <c r="H1124" s="84"/>
      <c r="I1124" s="84"/>
      <c r="J1124" s="84"/>
      <c r="K1124" s="84"/>
      <c r="L1124" s="84"/>
      <c r="M1124" s="84"/>
      <c r="N1124" s="84"/>
      <c r="O1124" s="84"/>
      <c r="P1124" s="84"/>
      <c r="Q1124" s="84"/>
      <c r="R1124" s="84"/>
      <c r="S1124" s="84"/>
      <c r="T1124" s="84"/>
      <c r="U1124" s="84"/>
      <c r="V1124" s="84"/>
      <c r="W1124" s="84"/>
      <c r="X1124" s="84"/>
      <c r="Y1124" s="84"/>
      <c r="Z1124" s="84"/>
      <c r="AA1124" s="84"/>
      <c r="AB1124" s="84"/>
      <c r="AC1124" s="84"/>
      <c r="AD1124" s="84"/>
      <c r="AE1124" s="84"/>
      <c r="AF1124" s="84"/>
      <c r="AG1124" s="84"/>
      <c r="AH1124" s="84"/>
      <c r="AI1124" s="84"/>
    </row>
    <row r="1125">
      <c r="A1125" s="84"/>
      <c r="B1125" s="84"/>
      <c r="C1125" s="84"/>
      <c r="D1125" s="84"/>
      <c r="E1125" s="84"/>
      <c r="F1125" s="84"/>
      <c r="G1125" s="84"/>
      <c r="H1125" s="84"/>
      <c r="I1125" s="84"/>
      <c r="J1125" s="84"/>
      <c r="K1125" s="84"/>
      <c r="L1125" s="84"/>
      <c r="M1125" s="84"/>
      <c r="N1125" s="84"/>
      <c r="O1125" s="84"/>
      <c r="P1125" s="84"/>
      <c r="Q1125" s="84"/>
      <c r="R1125" s="84"/>
      <c r="S1125" s="84"/>
      <c r="T1125" s="84"/>
      <c r="U1125" s="84"/>
      <c r="V1125" s="84"/>
      <c r="W1125" s="84"/>
      <c r="X1125" s="84"/>
      <c r="Y1125" s="84"/>
      <c r="Z1125" s="84"/>
      <c r="AA1125" s="84"/>
      <c r="AB1125" s="84"/>
      <c r="AC1125" s="84"/>
      <c r="AD1125" s="84"/>
      <c r="AE1125" s="84"/>
      <c r="AF1125" s="84"/>
      <c r="AG1125" s="84"/>
      <c r="AH1125" s="84"/>
      <c r="AI1125" s="84"/>
    </row>
    <row r="1126">
      <c r="A1126" s="84"/>
      <c r="B1126" s="84"/>
      <c r="C1126" s="84"/>
      <c r="D1126" s="84"/>
      <c r="E1126" s="84"/>
      <c r="F1126" s="84"/>
      <c r="G1126" s="84"/>
      <c r="H1126" s="84"/>
      <c r="I1126" s="84"/>
      <c r="J1126" s="84"/>
      <c r="K1126" s="84"/>
      <c r="L1126" s="84"/>
      <c r="M1126" s="84"/>
      <c r="N1126" s="84"/>
      <c r="O1126" s="84"/>
      <c r="P1126" s="84"/>
      <c r="Q1126" s="84"/>
      <c r="R1126" s="84"/>
      <c r="S1126" s="84"/>
      <c r="T1126" s="84"/>
      <c r="U1126" s="84"/>
      <c r="V1126" s="84"/>
      <c r="W1126" s="84"/>
      <c r="X1126" s="84"/>
      <c r="Y1126" s="84"/>
      <c r="Z1126" s="84"/>
      <c r="AA1126" s="84"/>
      <c r="AB1126" s="84"/>
      <c r="AC1126" s="84"/>
      <c r="AD1126" s="84"/>
      <c r="AE1126" s="84"/>
      <c r="AF1126" s="84"/>
      <c r="AG1126" s="84"/>
      <c r="AH1126" s="84"/>
      <c r="AI1126" s="84"/>
    </row>
    <row r="1127">
      <c r="A1127" s="84"/>
      <c r="B1127" s="84"/>
      <c r="C1127" s="84"/>
      <c r="D1127" s="84"/>
      <c r="E1127" s="84"/>
      <c r="F1127" s="84"/>
      <c r="G1127" s="84"/>
      <c r="H1127" s="84"/>
      <c r="I1127" s="84"/>
      <c r="J1127" s="84"/>
      <c r="K1127" s="84"/>
      <c r="L1127" s="84"/>
      <c r="M1127" s="84"/>
      <c r="N1127" s="84"/>
      <c r="O1127" s="84"/>
      <c r="P1127" s="84"/>
      <c r="Q1127" s="84"/>
      <c r="R1127" s="84"/>
      <c r="S1127" s="84"/>
      <c r="T1127" s="84"/>
      <c r="U1127" s="84"/>
      <c r="V1127" s="84"/>
      <c r="W1127" s="84"/>
      <c r="X1127" s="84"/>
      <c r="Y1127" s="84"/>
      <c r="Z1127" s="84"/>
      <c r="AA1127" s="84"/>
      <c r="AB1127" s="84"/>
      <c r="AC1127" s="84"/>
      <c r="AD1127" s="84"/>
      <c r="AE1127" s="84"/>
      <c r="AF1127" s="84"/>
      <c r="AG1127" s="84"/>
      <c r="AH1127" s="84"/>
      <c r="AI1127" s="84"/>
    </row>
    <row r="1128">
      <c r="A1128" s="84"/>
      <c r="B1128" s="84"/>
      <c r="C1128" s="84"/>
      <c r="D1128" s="84"/>
      <c r="E1128" s="84"/>
      <c r="F1128" s="84"/>
      <c r="G1128" s="84"/>
      <c r="H1128" s="84"/>
      <c r="I1128" s="84"/>
      <c r="J1128" s="84"/>
      <c r="K1128" s="84"/>
      <c r="L1128" s="84"/>
      <c r="M1128" s="84"/>
      <c r="N1128" s="84"/>
      <c r="O1128" s="84"/>
      <c r="P1128" s="84"/>
      <c r="Q1128" s="84"/>
      <c r="R1128" s="84"/>
      <c r="S1128" s="84"/>
      <c r="T1128" s="84"/>
      <c r="U1128" s="84"/>
      <c r="V1128" s="84"/>
      <c r="W1128" s="84"/>
      <c r="X1128" s="84"/>
      <c r="Y1128" s="84"/>
      <c r="Z1128" s="84"/>
      <c r="AA1128" s="84"/>
      <c r="AB1128" s="84"/>
      <c r="AC1128" s="84"/>
      <c r="AD1128" s="84"/>
      <c r="AE1128" s="84"/>
      <c r="AF1128" s="84"/>
      <c r="AG1128" s="84"/>
      <c r="AH1128" s="84"/>
      <c r="AI1128" s="84"/>
    </row>
    <row r="1129">
      <c r="A1129" s="84"/>
      <c r="B1129" s="84"/>
      <c r="C1129" s="84"/>
      <c r="D1129" s="84"/>
      <c r="E1129" s="84"/>
      <c r="F1129" s="84"/>
      <c r="G1129" s="84"/>
      <c r="H1129" s="84"/>
      <c r="I1129" s="84"/>
      <c r="J1129" s="84"/>
      <c r="K1129" s="84"/>
      <c r="L1129" s="84"/>
      <c r="M1129" s="84"/>
      <c r="N1129" s="84"/>
      <c r="O1129" s="84"/>
      <c r="P1129" s="84"/>
      <c r="Q1129" s="84"/>
      <c r="R1129" s="84"/>
      <c r="S1129" s="84"/>
      <c r="T1129" s="84"/>
      <c r="U1129" s="84"/>
      <c r="V1129" s="84"/>
      <c r="W1129" s="84"/>
      <c r="X1129" s="84"/>
      <c r="Y1129" s="84"/>
      <c r="Z1129" s="84"/>
      <c r="AA1129" s="84"/>
      <c r="AB1129" s="84"/>
      <c r="AC1129" s="84"/>
      <c r="AD1129" s="84"/>
      <c r="AE1129" s="84"/>
      <c r="AF1129" s="84"/>
      <c r="AG1129" s="84"/>
      <c r="AH1129" s="84"/>
      <c r="AI1129" s="84"/>
    </row>
    <row r="1130">
      <c r="A1130" s="84"/>
      <c r="B1130" s="84"/>
      <c r="C1130" s="84"/>
      <c r="D1130" s="84"/>
      <c r="E1130" s="84"/>
      <c r="F1130" s="84"/>
      <c r="G1130" s="84"/>
      <c r="H1130" s="84"/>
      <c r="I1130" s="84"/>
      <c r="J1130" s="84"/>
      <c r="K1130" s="84"/>
      <c r="L1130" s="84"/>
      <c r="M1130" s="84"/>
      <c r="N1130" s="84"/>
      <c r="O1130" s="84"/>
      <c r="P1130" s="84"/>
      <c r="Q1130" s="84"/>
      <c r="R1130" s="84"/>
      <c r="S1130" s="84"/>
      <c r="T1130" s="84"/>
      <c r="U1130" s="84"/>
      <c r="V1130" s="84"/>
      <c r="W1130" s="84"/>
      <c r="X1130" s="84"/>
      <c r="Y1130" s="84"/>
      <c r="Z1130" s="84"/>
      <c r="AA1130" s="84"/>
      <c r="AB1130" s="84"/>
      <c r="AC1130" s="84"/>
      <c r="AD1130" s="84"/>
      <c r="AE1130" s="84"/>
      <c r="AF1130" s="84"/>
      <c r="AG1130" s="84"/>
      <c r="AH1130" s="84"/>
      <c r="AI1130" s="84"/>
    </row>
    <row r="1131">
      <c r="A1131" s="84"/>
      <c r="B1131" s="84"/>
      <c r="C1131" s="84"/>
      <c r="D1131" s="84"/>
      <c r="E1131" s="84"/>
      <c r="F1131" s="84"/>
      <c r="G1131" s="84"/>
      <c r="H1131" s="84"/>
      <c r="I1131" s="84"/>
      <c r="J1131" s="84"/>
      <c r="K1131" s="84"/>
      <c r="L1131" s="84"/>
      <c r="M1131" s="84"/>
      <c r="N1131" s="84"/>
      <c r="O1131" s="84"/>
      <c r="P1131" s="84"/>
      <c r="Q1131" s="84"/>
      <c r="R1131" s="84"/>
      <c r="S1131" s="84"/>
      <c r="T1131" s="84"/>
      <c r="U1131" s="84"/>
      <c r="V1131" s="84"/>
      <c r="W1131" s="84"/>
      <c r="X1131" s="84"/>
      <c r="Y1131" s="84"/>
      <c r="Z1131" s="84"/>
      <c r="AA1131" s="84"/>
      <c r="AB1131" s="84"/>
      <c r="AC1131" s="84"/>
      <c r="AD1131" s="84"/>
      <c r="AE1131" s="84"/>
      <c r="AF1131" s="84"/>
      <c r="AG1131" s="84"/>
      <c r="AH1131" s="84"/>
      <c r="AI1131" s="84"/>
    </row>
    <row r="1132">
      <c r="A1132" s="84"/>
      <c r="B1132" s="84"/>
      <c r="C1132" s="84"/>
      <c r="D1132" s="84"/>
      <c r="E1132" s="84"/>
      <c r="F1132" s="84"/>
      <c r="G1132" s="84"/>
      <c r="H1132" s="84"/>
      <c r="I1132" s="84"/>
      <c r="J1132" s="84"/>
      <c r="K1132" s="84"/>
      <c r="L1132" s="84"/>
      <c r="M1132" s="84"/>
      <c r="N1132" s="84"/>
      <c r="O1132" s="84"/>
      <c r="P1132" s="84"/>
      <c r="Q1132" s="84"/>
      <c r="R1132" s="84"/>
      <c r="S1132" s="84"/>
      <c r="T1132" s="84"/>
      <c r="U1132" s="84"/>
      <c r="V1132" s="84"/>
      <c r="W1132" s="84"/>
      <c r="X1132" s="84"/>
      <c r="Y1132" s="84"/>
      <c r="Z1132" s="84"/>
      <c r="AA1132" s="84"/>
      <c r="AB1132" s="84"/>
      <c r="AC1132" s="84"/>
      <c r="AD1132" s="84"/>
      <c r="AE1132" s="84"/>
      <c r="AF1132" s="84"/>
      <c r="AG1132" s="84"/>
      <c r="AH1132" s="84"/>
      <c r="AI1132" s="84"/>
    </row>
    <row r="1133">
      <c r="A1133" s="84"/>
      <c r="B1133" s="84"/>
      <c r="C1133" s="84"/>
      <c r="D1133" s="84"/>
      <c r="E1133" s="84"/>
      <c r="F1133" s="84"/>
      <c r="G1133" s="84"/>
      <c r="H1133" s="84"/>
      <c r="I1133" s="84"/>
      <c r="J1133" s="84"/>
      <c r="K1133" s="84"/>
      <c r="L1133" s="84"/>
      <c r="M1133" s="84"/>
      <c r="N1133" s="84"/>
      <c r="O1133" s="84"/>
      <c r="P1133" s="84"/>
      <c r="Q1133" s="84"/>
      <c r="R1133" s="84"/>
      <c r="S1133" s="84"/>
      <c r="T1133" s="84"/>
      <c r="U1133" s="84"/>
      <c r="V1133" s="84"/>
      <c r="W1133" s="84"/>
      <c r="X1133" s="84"/>
      <c r="Y1133" s="84"/>
      <c r="Z1133" s="84"/>
      <c r="AA1133" s="84"/>
      <c r="AB1133" s="84"/>
      <c r="AC1133" s="84"/>
      <c r="AD1133" s="84"/>
      <c r="AE1133" s="84"/>
      <c r="AF1133" s="84"/>
      <c r="AG1133" s="84"/>
      <c r="AH1133" s="84"/>
      <c r="AI1133" s="84"/>
    </row>
    <row r="1134">
      <c r="A1134" s="84"/>
      <c r="B1134" s="84"/>
      <c r="C1134" s="84"/>
      <c r="D1134" s="84"/>
      <c r="E1134" s="84"/>
      <c r="F1134" s="84"/>
      <c r="G1134" s="84"/>
      <c r="H1134" s="84"/>
      <c r="I1134" s="84"/>
      <c r="J1134" s="84"/>
      <c r="K1134" s="84"/>
      <c r="L1134" s="84"/>
      <c r="M1134" s="84"/>
      <c r="N1134" s="84"/>
      <c r="O1134" s="84"/>
      <c r="P1134" s="84"/>
      <c r="Q1134" s="84"/>
      <c r="R1134" s="84"/>
      <c r="S1134" s="84"/>
      <c r="T1134" s="84"/>
      <c r="U1134" s="84"/>
      <c r="V1134" s="84"/>
      <c r="W1134" s="84"/>
      <c r="X1134" s="84"/>
      <c r="Y1134" s="84"/>
      <c r="Z1134" s="84"/>
      <c r="AA1134" s="84"/>
      <c r="AB1134" s="84"/>
      <c r="AC1134" s="84"/>
      <c r="AD1134" s="84"/>
      <c r="AE1134" s="84"/>
      <c r="AF1134" s="84"/>
      <c r="AG1134" s="84"/>
      <c r="AH1134" s="84"/>
      <c r="AI1134" s="84"/>
    </row>
    <row r="1135">
      <c r="A1135" s="84"/>
      <c r="B1135" s="84"/>
      <c r="C1135" s="84"/>
      <c r="D1135" s="84"/>
      <c r="E1135" s="84"/>
      <c r="F1135" s="84"/>
      <c r="G1135" s="84"/>
      <c r="H1135" s="84"/>
      <c r="I1135" s="84"/>
      <c r="J1135" s="84"/>
      <c r="K1135" s="84"/>
      <c r="L1135" s="84"/>
      <c r="M1135" s="84"/>
      <c r="N1135" s="84"/>
      <c r="O1135" s="84"/>
      <c r="P1135" s="84"/>
      <c r="Q1135" s="84"/>
      <c r="R1135" s="84"/>
      <c r="S1135" s="84"/>
      <c r="T1135" s="84"/>
      <c r="U1135" s="84"/>
      <c r="V1135" s="84"/>
      <c r="W1135" s="84"/>
      <c r="X1135" s="84"/>
      <c r="Y1135" s="84"/>
      <c r="Z1135" s="84"/>
      <c r="AA1135" s="84"/>
      <c r="AB1135" s="84"/>
      <c r="AC1135" s="84"/>
      <c r="AD1135" s="84"/>
      <c r="AE1135" s="84"/>
      <c r="AF1135" s="84"/>
      <c r="AG1135" s="84"/>
      <c r="AH1135" s="84"/>
      <c r="AI1135" s="84"/>
    </row>
    <row r="1136">
      <c r="A1136" s="84"/>
      <c r="B1136" s="84"/>
      <c r="C1136" s="84"/>
      <c r="D1136" s="84"/>
      <c r="E1136" s="84"/>
      <c r="F1136" s="84"/>
      <c r="G1136" s="84"/>
      <c r="H1136" s="84"/>
      <c r="I1136" s="84"/>
      <c r="J1136" s="84"/>
      <c r="K1136" s="84"/>
      <c r="L1136" s="84"/>
      <c r="M1136" s="84"/>
      <c r="N1136" s="84"/>
      <c r="O1136" s="84"/>
      <c r="P1136" s="84"/>
      <c r="Q1136" s="84"/>
      <c r="R1136" s="84"/>
      <c r="S1136" s="84"/>
      <c r="T1136" s="84"/>
      <c r="U1136" s="84"/>
      <c r="V1136" s="84"/>
      <c r="W1136" s="84"/>
      <c r="X1136" s="84"/>
      <c r="Y1136" s="84"/>
      <c r="Z1136" s="84"/>
      <c r="AA1136" s="84"/>
      <c r="AB1136" s="84"/>
      <c r="AC1136" s="84"/>
      <c r="AD1136" s="84"/>
      <c r="AE1136" s="84"/>
      <c r="AF1136" s="84"/>
      <c r="AG1136" s="84"/>
      <c r="AH1136" s="84"/>
      <c r="AI1136" s="84"/>
    </row>
    <row r="1137">
      <c r="A1137" s="84"/>
      <c r="B1137" s="84"/>
      <c r="C1137" s="84"/>
      <c r="D1137" s="84"/>
      <c r="E1137" s="84"/>
      <c r="F1137" s="84"/>
      <c r="G1137" s="84"/>
      <c r="H1137" s="84"/>
      <c r="I1137" s="84"/>
      <c r="J1137" s="84"/>
      <c r="K1137" s="84"/>
      <c r="L1137" s="84"/>
      <c r="M1137" s="84"/>
      <c r="N1137" s="84"/>
      <c r="O1137" s="84"/>
      <c r="P1137" s="84"/>
      <c r="Q1137" s="84"/>
      <c r="R1137" s="84"/>
      <c r="S1137" s="84"/>
      <c r="T1137" s="84"/>
      <c r="U1137" s="84"/>
      <c r="V1137" s="84"/>
      <c r="W1137" s="84"/>
      <c r="X1137" s="84"/>
      <c r="Y1137" s="84"/>
      <c r="Z1137" s="84"/>
      <c r="AA1137" s="84"/>
      <c r="AB1137" s="84"/>
      <c r="AC1137" s="84"/>
      <c r="AD1137" s="84"/>
      <c r="AE1137" s="84"/>
      <c r="AF1137" s="84"/>
      <c r="AG1137" s="84"/>
      <c r="AH1137" s="84"/>
      <c r="AI1137" s="84"/>
    </row>
    <row r="1138">
      <c r="A1138" s="84"/>
      <c r="B1138" s="84"/>
      <c r="C1138" s="84"/>
      <c r="D1138" s="84"/>
      <c r="E1138" s="84"/>
      <c r="F1138" s="84"/>
      <c r="G1138" s="84"/>
      <c r="H1138" s="84"/>
      <c r="I1138" s="84"/>
      <c r="J1138" s="84"/>
      <c r="K1138" s="84"/>
      <c r="L1138" s="84"/>
      <c r="M1138" s="84"/>
      <c r="N1138" s="84"/>
      <c r="O1138" s="84"/>
      <c r="P1138" s="84"/>
      <c r="Q1138" s="84"/>
      <c r="R1138" s="84"/>
      <c r="S1138" s="84"/>
      <c r="T1138" s="84"/>
      <c r="U1138" s="84"/>
      <c r="V1138" s="84"/>
      <c r="W1138" s="84"/>
      <c r="X1138" s="84"/>
      <c r="Y1138" s="84"/>
      <c r="Z1138" s="84"/>
      <c r="AA1138" s="84"/>
      <c r="AB1138" s="84"/>
      <c r="AC1138" s="84"/>
      <c r="AD1138" s="84"/>
      <c r="AE1138" s="84"/>
      <c r="AF1138" s="84"/>
      <c r="AG1138" s="84"/>
      <c r="AH1138" s="84"/>
      <c r="AI1138" s="84"/>
    </row>
    <row r="1139">
      <c r="A1139" s="84"/>
      <c r="B1139" s="84"/>
      <c r="C1139" s="84"/>
      <c r="D1139" s="84"/>
      <c r="E1139" s="84"/>
      <c r="F1139" s="84"/>
      <c r="G1139" s="84"/>
      <c r="H1139" s="84"/>
      <c r="I1139" s="84"/>
      <c r="J1139" s="84"/>
      <c r="K1139" s="84"/>
      <c r="L1139" s="84"/>
      <c r="M1139" s="84"/>
      <c r="N1139" s="84"/>
      <c r="O1139" s="84"/>
      <c r="P1139" s="84"/>
      <c r="Q1139" s="84"/>
      <c r="R1139" s="84"/>
      <c r="S1139" s="84"/>
      <c r="T1139" s="84"/>
      <c r="U1139" s="84"/>
      <c r="V1139" s="84"/>
      <c r="W1139" s="84"/>
      <c r="X1139" s="84"/>
      <c r="Y1139" s="84"/>
      <c r="Z1139" s="84"/>
      <c r="AA1139" s="84"/>
      <c r="AB1139" s="84"/>
      <c r="AC1139" s="84"/>
      <c r="AD1139" s="84"/>
      <c r="AE1139" s="84"/>
      <c r="AF1139" s="84"/>
      <c r="AG1139" s="84"/>
      <c r="AH1139" s="84"/>
      <c r="AI1139" s="84"/>
    </row>
    <row r="1140">
      <c r="A1140" s="84"/>
      <c r="B1140" s="84"/>
      <c r="C1140" s="84"/>
      <c r="D1140" s="84"/>
      <c r="E1140" s="84"/>
      <c r="F1140" s="84"/>
      <c r="G1140" s="84"/>
      <c r="H1140" s="84"/>
      <c r="I1140" s="84"/>
      <c r="J1140" s="84"/>
      <c r="K1140" s="84"/>
      <c r="L1140" s="84"/>
      <c r="M1140" s="84"/>
      <c r="N1140" s="84"/>
      <c r="O1140" s="84"/>
      <c r="P1140" s="84"/>
      <c r="Q1140" s="84"/>
      <c r="R1140" s="84"/>
      <c r="S1140" s="84"/>
      <c r="T1140" s="84"/>
      <c r="U1140" s="84"/>
      <c r="V1140" s="84"/>
      <c r="W1140" s="84"/>
      <c r="X1140" s="84"/>
      <c r="Y1140" s="84"/>
      <c r="Z1140" s="84"/>
      <c r="AA1140" s="84"/>
      <c r="AB1140" s="84"/>
      <c r="AC1140" s="84"/>
      <c r="AD1140" s="84"/>
      <c r="AE1140" s="84"/>
      <c r="AF1140" s="84"/>
      <c r="AG1140" s="84"/>
      <c r="AH1140" s="84"/>
      <c r="AI1140" s="84"/>
    </row>
    <row r="1141">
      <c r="A1141" s="84"/>
      <c r="B1141" s="84"/>
      <c r="C1141" s="84"/>
      <c r="D1141" s="84"/>
      <c r="E1141" s="84"/>
      <c r="F1141" s="84"/>
      <c r="G1141" s="84"/>
      <c r="H1141" s="84"/>
      <c r="I1141" s="84"/>
      <c r="J1141" s="84"/>
      <c r="K1141" s="84"/>
      <c r="L1141" s="84"/>
      <c r="M1141" s="84"/>
      <c r="N1141" s="84"/>
      <c r="O1141" s="84"/>
      <c r="P1141" s="84"/>
      <c r="Q1141" s="84"/>
      <c r="R1141" s="84"/>
      <c r="S1141" s="84"/>
      <c r="T1141" s="84"/>
      <c r="U1141" s="84"/>
      <c r="V1141" s="84"/>
      <c r="W1141" s="84"/>
      <c r="X1141" s="84"/>
      <c r="Y1141" s="84"/>
      <c r="Z1141" s="84"/>
      <c r="AA1141" s="84"/>
      <c r="AB1141" s="84"/>
      <c r="AC1141" s="84"/>
      <c r="AD1141" s="84"/>
      <c r="AE1141" s="84"/>
      <c r="AF1141" s="84"/>
      <c r="AG1141" s="84"/>
      <c r="AH1141" s="84"/>
      <c r="AI1141" s="84"/>
    </row>
    <row r="1142">
      <c r="A1142" s="84"/>
      <c r="B1142" s="84"/>
      <c r="C1142" s="84"/>
      <c r="D1142" s="84"/>
      <c r="E1142" s="84"/>
      <c r="F1142" s="84"/>
      <c r="G1142" s="84"/>
      <c r="H1142" s="84"/>
      <c r="I1142" s="84"/>
      <c r="J1142" s="84"/>
      <c r="K1142" s="84"/>
      <c r="L1142" s="84"/>
      <c r="M1142" s="84"/>
      <c r="N1142" s="84"/>
      <c r="O1142" s="84"/>
      <c r="P1142" s="84"/>
      <c r="Q1142" s="84"/>
      <c r="R1142" s="84"/>
      <c r="S1142" s="84"/>
      <c r="T1142" s="84"/>
      <c r="U1142" s="84"/>
      <c r="V1142" s="84"/>
      <c r="W1142" s="84"/>
      <c r="X1142" s="84"/>
      <c r="Y1142" s="84"/>
      <c r="Z1142" s="84"/>
      <c r="AA1142" s="84"/>
      <c r="AB1142" s="84"/>
      <c r="AC1142" s="84"/>
      <c r="AD1142" s="84"/>
      <c r="AE1142" s="84"/>
      <c r="AF1142" s="84"/>
      <c r="AG1142" s="84"/>
      <c r="AH1142" s="84"/>
      <c r="AI1142" s="84"/>
    </row>
    <row r="1143">
      <c r="A1143" s="84"/>
      <c r="B1143" s="84"/>
      <c r="C1143" s="84"/>
      <c r="D1143" s="84"/>
      <c r="E1143" s="84"/>
      <c r="F1143" s="84"/>
      <c r="G1143" s="84"/>
      <c r="H1143" s="84"/>
      <c r="I1143" s="84"/>
      <c r="J1143" s="84"/>
      <c r="K1143" s="84"/>
      <c r="L1143" s="84"/>
      <c r="M1143" s="84"/>
      <c r="N1143" s="84"/>
      <c r="O1143" s="84"/>
      <c r="P1143" s="84"/>
      <c r="Q1143" s="84"/>
      <c r="R1143" s="84"/>
      <c r="S1143" s="84"/>
      <c r="T1143" s="84"/>
      <c r="U1143" s="84"/>
      <c r="V1143" s="84"/>
      <c r="W1143" s="84"/>
      <c r="X1143" s="84"/>
      <c r="Y1143" s="84"/>
      <c r="Z1143" s="84"/>
      <c r="AA1143" s="84"/>
      <c r="AB1143" s="84"/>
      <c r="AC1143" s="84"/>
      <c r="AD1143" s="84"/>
      <c r="AE1143" s="84"/>
      <c r="AF1143" s="84"/>
      <c r="AG1143" s="84"/>
      <c r="AH1143" s="84"/>
      <c r="AI1143" s="84"/>
    </row>
    <row r="1144">
      <c r="A1144" s="84"/>
      <c r="B1144" s="84"/>
      <c r="C1144" s="84"/>
      <c r="D1144" s="84"/>
      <c r="E1144" s="84"/>
      <c r="F1144" s="84"/>
      <c r="G1144" s="84"/>
      <c r="H1144" s="84"/>
      <c r="I1144" s="84"/>
      <c r="J1144" s="84"/>
      <c r="K1144" s="84"/>
      <c r="L1144" s="84"/>
      <c r="M1144" s="84"/>
      <c r="N1144" s="84"/>
      <c r="O1144" s="84"/>
      <c r="P1144" s="84"/>
      <c r="Q1144" s="84"/>
      <c r="R1144" s="84"/>
      <c r="S1144" s="84"/>
      <c r="T1144" s="84"/>
      <c r="U1144" s="84"/>
      <c r="V1144" s="84"/>
      <c r="W1144" s="84"/>
      <c r="X1144" s="84"/>
      <c r="Y1144" s="84"/>
      <c r="Z1144" s="84"/>
      <c r="AA1144" s="84"/>
      <c r="AB1144" s="84"/>
      <c r="AC1144" s="84"/>
      <c r="AD1144" s="84"/>
      <c r="AE1144" s="84"/>
      <c r="AF1144" s="84"/>
      <c r="AG1144" s="84"/>
      <c r="AH1144" s="84"/>
      <c r="AI1144" s="84"/>
    </row>
    <row r="1145">
      <c r="A1145" s="84"/>
      <c r="B1145" s="84"/>
      <c r="C1145" s="84"/>
      <c r="D1145" s="84"/>
      <c r="E1145" s="84"/>
      <c r="F1145" s="84"/>
      <c r="G1145" s="84"/>
      <c r="H1145" s="84"/>
      <c r="I1145" s="84"/>
      <c r="J1145" s="84"/>
      <c r="K1145" s="84"/>
      <c r="L1145" s="84"/>
      <c r="M1145" s="84"/>
      <c r="N1145" s="84"/>
      <c r="O1145" s="84"/>
      <c r="P1145" s="84"/>
      <c r="Q1145" s="84"/>
      <c r="R1145" s="84"/>
      <c r="S1145" s="84"/>
      <c r="T1145" s="84"/>
      <c r="U1145" s="84"/>
      <c r="V1145" s="84"/>
      <c r="W1145" s="84"/>
      <c r="X1145" s="84"/>
      <c r="Y1145" s="84"/>
      <c r="Z1145" s="84"/>
      <c r="AA1145" s="84"/>
      <c r="AB1145" s="84"/>
      <c r="AC1145" s="84"/>
      <c r="AD1145" s="84"/>
      <c r="AE1145" s="84"/>
      <c r="AF1145" s="84"/>
      <c r="AG1145" s="84"/>
      <c r="AH1145" s="84"/>
      <c r="AI1145" s="84"/>
    </row>
    <row r="1146">
      <c r="A1146" s="84"/>
      <c r="B1146" s="84"/>
      <c r="C1146" s="84"/>
      <c r="D1146" s="84"/>
      <c r="E1146" s="84"/>
      <c r="F1146" s="84"/>
      <c r="G1146" s="84"/>
      <c r="H1146" s="84"/>
      <c r="I1146" s="84"/>
      <c r="J1146" s="84"/>
      <c r="K1146" s="84"/>
      <c r="L1146" s="84"/>
      <c r="M1146" s="84"/>
      <c r="N1146" s="84"/>
      <c r="O1146" s="84"/>
      <c r="P1146" s="84"/>
      <c r="Q1146" s="84"/>
      <c r="R1146" s="84"/>
      <c r="S1146" s="84"/>
      <c r="T1146" s="84"/>
      <c r="U1146" s="84"/>
      <c r="V1146" s="84"/>
      <c r="W1146" s="84"/>
      <c r="X1146" s="84"/>
      <c r="Y1146" s="84"/>
      <c r="Z1146" s="84"/>
      <c r="AA1146" s="84"/>
      <c r="AB1146" s="84"/>
      <c r="AC1146" s="84"/>
      <c r="AD1146" s="84"/>
      <c r="AE1146" s="84"/>
      <c r="AF1146" s="84"/>
      <c r="AG1146" s="84"/>
      <c r="AH1146" s="84"/>
      <c r="AI1146" s="84"/>
    </row>
    <row r="1147">
      <c r="A1147" s="84"/>
      <c r="B1147" s="84"/>
      <c r="C1147" s="84"/>
      <c r="D1147" s="84"/>
      <c r="E1147" s="84"/>
      <c r="F1147" s="84"/>
      <c r="G1147" s="84"/>
      <c r="H1147" s="84"/>
      <c r="I1147" s="84"/>
      <c r="J1147" s="84"/>
      <c r="K1147" s="84"/>
      <c r="L1147" s="84"/>
      <c r="M1147" s="84"/>
      <c r="N1147" s="84"/>
      <c r="O1147" s="84"/>
      <c r="P1147" s="84"/>
      <c r="Q1147" s="84"/>
      <c r="R1147" s="84"/>
      <c r="S1147" s="84"/>
      <c r="T1147" s="84"/>
      <c r="U1147" s="84"/>
      <c r="V1147" s="84"/>
      <c r="W1147" s="84"/>
      <c r="X1147" s="84"/>
      <c r="Y1147" s="84"/>
      <c r="Z1147" s="84"/>
      <c r="AA1147" s="84"/>
      <c r="AB1147" s="84"/>
      <c r="AC1147" s="84"/>
      <c r="AD1147" s="84"/>
      <c r="AE1147" s="84"/>
      <c r="AF1147" s="84"/>
      <c r="AG1147" s="84"/>
      <c r="AH1147" s="84"/>
      <c r="AI1147" s="84"/>
    </row>
    <row r="1148">
      <c r="A1148" s="84"/>
      <c r="B1148" s="84"/>
      <c r="C1148" s="84"/>
      <c r="D1148" s="84"/>
      <c r="E1148" s="84"/>
      <c r="F1148" s="84"/>
      <c r="G1148" s="84"/>
      <c r="H1148" s="84"/>
      <c r="I1148" s="84"/>
      <c r="J1148" s="84"/>
      <c r="K1148" s="84"/>
      <c r="L1148" s="84"/>
      <c r="M1148" s="84"/>
      <c r="N1148" s="84"/>
      <c r="O1148" s="84"/>
      <c r="P1148" s="84"/>
      <c r="Q1148" s="84"/>
      <c r="R1148" s="84"/>
      <c r="S1148" s="84"/>
      <c r="T1148" s="84"/>
      <c r="U1148" s="84"/>
      <c r="V1148" s="84"/>
      <c r="W1148" s="84"/>
      <c r="X1148" s="84"/>
      <c r="Y1148" s="84"/>
      <c r="Z1148" s="84"/>
      <c r="AA1148" s="84"/>
      <c r="AB1148" s="84"/>
      <c r="AC1148" s="84"/>
      <c r="AD1148" s="84"/>
      <c r="AE1148" s="84"/>
      <c r="AF1148" s="84"/>
      <c r="AG1148" s="84"/>
      <c r="AH1148" s="84"/>
      <c r="AI1148" s="84"/>
    </row>
    <row r="1149">
      <c r="A1149" s="84"/>
      <c r="B1149" s="84"/>
      <c r="C1149" s="84"/>
      <c r="D1149" s="84"/>
      <c r="E1149" s="84"/>
      <c r="F1149" s="84"/>
      <c r="G1149" s="84"/>
      <c r="H1149" s="84"/>
      <c r="I1149" s="84"/>
      <c r="J1149" s="84"/>
      <c r="K1149" s="84"/>
      <c r="L1149" s="84"/>
      <c r="M1149" s="84"/>
      <c r="N1149" s="84"/>
      <c r="O1149" s="84"/>
      <c r="P1149" s="84"/>
      <c r="Q1149" s="84"/>
      <c r="R1149" s="84"/>
      <c r="S1149" s="84"/>
      <c r="T1149" s="84"/>
      <c r="U1149" s="84"/>
      <c r="V1149" s="84"/>
      <c r="W1149" s="84"/>
      <c r="X1149" s="84"/>
      <c r="Y1149" s="84"/>
      <c r="Z1149" s="84"/>
      <c r="AA1149" s="84"/>
      <c r="AB1149" s="84"/>
      <c r="AC1149" s="84"/>
      <c r="AD1149" s="84"/>
      <c r="AE1149" s="84"/>
      <c r="AF1149" s="84"/>
      <c r="AG1149" s="84"/>
      <c r="AH1149" s="84"/>
      <c r="AI1149" s="84"/>
    </row>
    <row r="1150">
      <c r="A1150" s="84"/>
      <c r="B1150" s="84"/>
      <c r="C1150" s="84"/>
      <c r="D1150" s="84"/>
      <c r="E1150" s="84"/>
      <c r="F1150" s="84"/>
      <c r="G1150" s="84"/>
      <c r="H1150" s="84"/>
      <c r="I1150" s="84"/>
      <c r="J1150" s="84"/>
      <c r="K1150" s="84"/>
      <c r="L1150" s="84"/>
      <c r="M1150" s="84"/>
      <c r="N1150" s="84"/>
      <c r="O1150" s="84"/>
      <c r="P1150" s="84"/>
      <c r="Q1150" s="84"/>
      <c r="R1150" s="84"/>
      <c r="S1150" s="84"/>
      <c r="T1150" s="84"/>
      <c r="U1150" s="84"/>
      <c r="V1150" s="84"/>
      <c r="W1150" s="84"/>
      <c r="X1150" s="84"/>
      <c r="Y1150" s="84"/>
      <c r="Z1150" s="84"/>
      <c r="AA1150" s="84"/>
      <c r="AB1150" s="84"/>
      <c r="AC1150" s="84"/>
      <c r="AD1150" s="84"/>
      <c r="AE1150" s="84"/>
      <c r="AF1150" s="84"/>
      <c r="AG1150" s="84"/>
      <c r="AH1150" s="84"/>
      <c r="AI1150" s="84"/>
    </row>
    <row r="1151">
      <c r="A1151" s="84"/>
      <c r="B1151" s="84"/>
      <c r="C1151" s="84"/>
      <c r="D1151" s="84"/>
      <c r="E1151" s="84"/>
      <c r="F1151" s="84"/>
      <c r="G1151" s="84"/>
      <c r="H1151" s="84"/>
      <c r="I1151" s="84"/>
      <c r="J1151" s="84"/>
      <c r="K1151" s="84"/>
      <c r="L1151" s="84"/>
      <c r="M1151" s="84"/>
      <c r="N1151" s="84"/>
      <c r="O1151" s="84"/>
      <c r="P1151" s="84"/>
      <c r="Q1151" s="84"/>
      <c r="R1151" s="84"/>
      <c r="S1151" s="84"/>
      <c r="T1151" s="84"/>
      <c r="U1151" s="84"/>
      <c r="V1151" s="84"/>
      <c r="W1151" s="84"/>
      <c r="X1151" s="84"/>
      <c r="Y1151" s="84"/>
      <c r="Z1151" s="84"/>
      <c r="AA1151" s="84"/>
      <c r="AB1151" s="84"/>
      <c r="AC1151" s="84"/>
      <c r="AD1151" s="84"/>
      <c r="AE1151" s="84"/>
      <c r="AF1151" s="84"/>
      <c r="AG1151" s="84"/>
      <c r="AH1151" s="84"/>
      <c r="AI1151" s="84"/>
    </row>
    <row r="1152">
      <c r="A1152" s="84"/>
      <c r="B1152" s="84"/>
      <c r="C1152" s="84"/>
      <c r="D1152" s="84"/>
      <c r="E1152" s="84"/>
      <c r="F1152" s="84"/>
      <c r="G1152" s="84"/>
      <c r="H1152" s="84"/>
      <c r="I1152" s="84"/>
      <c r="J1152" s="84"/>
      <c r="K1152" s="84"/>
      <c r="L1152" s="84"/>
      <c r="M1152" s="84"/>
      <c r="N1152" s="84"/>
      <c r="O1152" s="84"/>
      <c r="P1152" s="84"/>
      <c r="Q1152" s="84"/>
      <c r="R1152" s="84"/>
      <c r="S1152" s="84"/>
      <c r="T1152" s="84"/>
      <c r="U1152" s="84"/>
      <c r="V1152" s="84"/>
      <c r="W1152" s="84"/>
      <c r="X1152" s="84"/>
      <c r="Y1152" s="84"/>
      <c r="Z1152" s="84"/>
      <c r="AA1152" s="84"/>
      <c r="AB1152" s="84"/>
      <c r="AC1152" s="84"/>
      <c r="AD1152" s="84"/>
      <c r="AE1152" s="84"/>
      <c r="AF1152" s="84"/>
      <c r="AG1152" s="84"/>
      <c r="AH1152" s="84"/>
      <c r="AI1152" s="84"/>
    </row>
    <row r="1153">
      <c r="A1153" s="84"/>
      <c r="B1153" s="84"/>
      <c r="C1153" s="84"/>
      <c r="D1153" s="84"/>
      <c r="E1153" s="84"/>
      <c r="F1153" s="84"/>
      <c r="G1153" s="84"/>
      <c r="H1153" s="84"/>
      <c r="I1153" s="84"/>
      <c r="J1153" s="84"/>
      <c r="K1153" s="84"/>
      <c r="L1153" s="84"/>
      <c r="M1153" s="84"/>
      <c r="N1153" s="84"/>
      <c r="O1153" s="84"/>
      <c r="P1153" s="84"/>
      <c r="Q1153" s="84"/>
      <c r="R1153" s="84"/>
      <c r="S1153" s="84"/>
      <c r="T1153" s="84"/>
      <c r="U1153" s="84"/>
      <c r="V1153" s="84"/>
      <c r="W1153" s="84"/>
      <c r="X1153" s="84"/>
      <c r="Y1153" s="84"/>
      <c r="Z1153" s="84"/>
      <c r="AA1153" s="84"/>
      <c r="AB1153" s="84"/>
      <c r="AC1153" s="84"/>
      <c r="AD1153" s="84"/>
      <c r="AE1153" s="84"/>
      <c r="AF1153" s="84"/>
      <c r="AG1153" s="84"/>
      <c r="AH1153" s="84"/>
      <c r="AI1153" s="84"/>
    </row>
    <row r="1154">
      <c r="A1154" s="84"/>
      <c r="B1154" s="84"/>
      <c r="C1154" s="84"/>
      <c r="D1154" s="84"/>
      <c r="E1154" s="84"/>
      <c r="F1154" s="84"/>
      <c r="G1154" s="84"/>
      <c r="H1154" s="84"/>
      <c r="I1154" s="84"/>
      <c r="J1154" s="84"/>
      <c r="K1154" s="84"/>
      <c r="L1154" s="84"/>
      <c r="M1154" s="84"/>
      <c r="N1154" s="84"/>
      <c r="O1154" s="84"/>
      <c r="P1154" s="84"/>
      <c r="Q1154" s="84"/>
      <c r="R1154" s="84"/>
      <c r="S1154" s="84"/>
      <c r="T1154" s="84"/>
      <c r="U1154" s="84"/>
      <c r="V1154" s="84"/>
      <c r="W1154" s="84"/>
      <c r="X1154" s="84"/>
      <c r="Y1154" s="84"/>
      <c r="Z1154" s="84"/>
      <c r="AA1154" s="84"/>
      <c r="AB1154" s="84"/>
      <c r="AC1154" s="84"/>
      <c r="AD1154" s="84"/>
      <c r="AE1154" s="84"/>
      <c r="AF1154" s="84"/>
      <c r="AG1154" s="84"/>
      <c r="AH1154" s="84"/>
      <c r="AI1154" s="84"/>
    </row>
    <row r="1155">
      <c r="A1155" s="84"/>
      <c r="B1155" s="84"/>
      <c r="C1155" s="84"/>
      <c r="D1155" s="84"/>
      <c r="E1155" s="84"/>
      <c r="F1155" s="84"/>
      <c r="G1155" s="84"/>
      <c r="H1155" s="84"/>
      <c r="I1155" s="84"/>
      <c r="J1155" s="84"/>
      <c r="K1155" s="84"/>
      <c r="L1155" s="84"/>
      <c r="M1155" s="84"/>
      <c r="N1155" s="84"/>
      <c r="O1155" s="84"/>
      <c r="P1155" s="84"/>
      <c r="Q1155" s="84"/>
      <c r="R1155" s="84"/>
      <c r="S1155" s="84"/>
      <c r="T1155" s="84"/>
      <c r="U1155" s="84"/>
      <c r="V1155" s="84"/>
      <c r="W1155" s="84"/>
      <c r="X1155" s="84"/>
      <c r="Y1155" s="84"/>
      <c r="Z1155" s="84"/>
      <c r="AA1155" s="84"/>
      <c r="AB1155" s="84"/>
      <c r="AC1155" s="84"/>
      <c r="AD1155" s="84"/>
      <c r="AE1155" s="84"/>
      <c r="AF1155" s="84"/>
      <c r="AG1155" s="84"/>
      <c r="AH1155" s="84"/>
      <c r="AI1155" s="84"/>
    </row>
    <row r="1156">
      <c r="A1156" s="84"/>
      <c r="B1156" s="84"/>
      <c r="C1156" s="84"/>
      <c r="D1156" s="84"/>
      <c r="E1156" s="84"/>
      <c r="F1156" s="84"/>
      <c r="G1156" s="84"/>
      <c r="H1156" s="84"/>
      <c r="I1156" s="84"/>
      <c r="J1156" s="84"/>
      <c r="K1156" s="84"/>
      <c r="L1156" s="84"/>
      <c r="M1156" s="84"/>
      <c r="N1156" s="84"/>
      <c r="O1156" s="84"/>
      <c r="P1156" s="84"/>
      <c r="Q1156" s="84"/>
      <c r="R1156" s="84"/>
      <c r="S1156" s="84"/>
      <c r="T1156" s="84"/>
      <c r="U1156" s="84"/>
      <c r="V1156" s="84"/>
      <c r="W1156" s="84"/>
      <c r="X1156" s="84"/>
      <c r="Y1156" s="84"/>
      <c r="Z1156" s="84"/>
      <c r="AA1156" s="84"/>
      <c r="AB1156" s="84"/>
      <c r="AC1156" s="84"/>
      <c r="AD1156" s="84"/>
      <c r="AE1156" s="84"/>
      <c r="AF1156" s="84"/>
      <c r="AG1156" s="84"/>
      <c r="AH1156" s="84"/>
      <c r="AI1156" s="84"/>
    </row>
    <row r="1157">
      <c r="A1157" s="84"/>
      <c r="B1157" s="84"/>
      <c r="C1157" s="84"/>
      <c r="D1157" s="84"/>
      <c r="E1157" s="84"/>
      <c r="F1157" s="84"/>
      <c r="G1157" s="84"/>
      <c r="H1157" s="84"/>
      <c r="I1157" s="84"/>
      <c r="J1157" s="84"/>
      <c r="K1157" s="84"/>
      <c r="L1157" s="84"/>
      <c r="M1157" s="84"/>
      <c r="N1157" s="84"/>
      <c r="O1157" s="84"/>
      <c r="P1157" s="84"/>
      <c r="Q1157" s="84"/>
      <c r="R1157" s="84"/>
      <c r="S1157" s="84"/>
      <c r="T1157" s="84"/>
      <c r="U1157" s="84"/>
      <c r="V1157" s="84"/>
      <c r="W1157" s="84"/>
      <c r="X1157" s="84"/>
      <c r="Y1157" s="84"/>
      <c r="Z1157" s="84"/>
      <c r="AA1157" s="84"/>
      <c r="AB1157" s="84"/>
      <c r="AC1157" s="84"/>
      <c r="AD1157" s="84"/>
      <c r="AE1157" s="84"/>
      <c r="AF1157" s="84"/>
      <c r="AG1157" s="84"/>
      <c r="AH1157" s="84"/>
      <c r="AI1157" s="84"/>
    </row>
    <row r="1158">
      <c r="A1158" s="84"/>
      <c r="B1158" s="84"/>
      <c r="C1158" s="84"/>
      <c r="D1158" s="84"/>
      <c r="E1158" s="84"/>
      <c r="F1158" s="84"/>
      <c r="G1158" s="84"/>
      <c r="H1158" s="84"/>
      <c r="I1158" s="84"/>
      <c r="J1158" s="84"/>
      <c r="K1158" s="84"/>
      <c r="L1158" s="84"/>
      <c r="M1158" s="84"/>
      <c r="N1158" s="84"/>
      <c r="O1158" s="84"/>
      <c r="P1158" s="84"/>
      <c r="Q1158" s="84"/>
      <c r="R1158" s="84"/>
      <c r="S1158" s="84"/>
      <c r="T1158" s="84"/>
      <c r="U1158" s="84"/>
      <c r="V1158" s="84"/>
      <c r="W1158" s="84"/>
      <c r="X1158" s="84"/>
      <c r="Y1158" s="84"/>
      <c r="Z1158" s="84"/>
      <c r="AA1158" s="84"/>
      <c r="AB1158" s="84"/>
      <c r="AC1158" s="84"/>
      <c r="AD1158" s="84"/>
      <c r="AE1158" s="84"/>
      <c r="AF1158" s="84"/>
      <c r="AG1158" s="84"/>
      <c r="AH1158" s="84"/>
      <c r="AI1158" s="84"/>
    </row>
    <row r="1159">
      <c r="A1159" s="84"/>
      <c r="B1159" s="84"/>
      <c r="C1159" s="84"/>
      <c r="D1159" s="84"/>
      <c r="E1159" s="84"/>
      <c r="F1159" s="84"/>
      <c r="G1159" s="84"/>
      <c r="H1159" s="84"/>
      <c r="I1159" s="84"/>
      <c r="J1159" s="84"/>
      <c r="K1159" s="84"/>
      <c r="L1159" s="84"/>
      <c r="M1159" s="84"/>
      <c r="N1159" s="84"/>
      <c r="O1159" s="84"/>
      <c r="P1159" s="84"/>
      <c r="Q1159" s="84"/>
      <c r="R1159" s="84"/>
      <c r="S1159" s="84"/>
      <c r="T1159" s="84"/>
      <c r="U1159" s="84"/>
      <c r="V1159" s="84"/>
      <c r="W1159" s="84"/>
      <c r="X1159" s="84"/>
      <c r="Y1159" s="84"/>
      <c r="Z1159" s="84"/>
      <c r="AA1159" s="84"/>
      <c r="AB1159" s="84"/>
      <c r="AC1159" s="84"/>
      <c r="AD1159" s="84"/>
      <c r="AE1159" s="84"/>
      <c r="AF1159" s="84"/>
      <c r="AG1159" s="84"/>
      <c r="AH1159" s="84"/>
      <c r="AI1159" s="84"/>
    </row>
    <row r="1160">
      <c r="A1160" s="84"/>
      <c r="B1160" s="84"/>
      <c r="C1160" s="84"/>
      <c r="D1160" s="84"/>
      <c r="E1160" s="84"/>
      <c r="F1160" s="84"/>
      <c r="G1160" s="84"/>
      <c r="H1160" s="84"/>
      <c r="I1160" s="84"/>
      <c r="J1160" s="84"/>
      <c r="K1160" s="84"/>
      <c r="L1160" s="84"/>
      <c r="M1160" s="84"/>
      <c r="N1160" s="84"/>
      <c r="O1160" s="84"/>
      <c r="P1160" s="84"/>
      <c r="Q1160" s="84"/>
      <c r="R1160" s="84"/>
      <c r="S1160" s="84"/>
      <c r="T1160" s="84"/>
      <c r="U1160" s="84"/>
      <c r="V1160" s="84"/>
      <c r="W1160" s="84"/>
      <c r="X1160" s="84"/>
      <c r="Y1160" s="84"/>
      <c r="Z1160" s="84"/>
      <c r="AA1160" s="84"/>
      <c r="AB1160" s="84"/>
      <c r="AC1160" s="84"/>
      <c r="AD1160" s="84"/>
      <c r="AE1160" s="84"/>
      <c r="AF1160" s="84"/>
      <c r="AG1160" s="84"/>
      <c r="AH1160" s="84"/>
      <c r="AI1160" s="84"/>
    </row>
    <row r="1161">
      <c r="A1161" s="84"/>
      <c r="B1161" s="84"/>
      <c r="C1161" s="84"/>
      <c r="D1161" s="84"/>
      <c r="E1161" s="84"/>
      <c r="F1161" s="84"/>
      <c r="G1161" s="84"/>
      <c r="H1161" s="84"/>
      <c r="I1161" s="84"/>
      <c r="J1161" s="84"/>
      <c r="K1161" s="84"/>
      <c r="L1161" s="84"/>
      <c r="M1161" s="84"/>
      <c r="N1161" s="84"/>
      <c r="O1161" s="84"/>
      <c r="P1161" s="84"/>
      <c r="Q1161" s="84"/>
      <c r="R1161" s="84"/>
      <c r="S1161" s="84"/>
      <c r="T1161" s="84"/>
      <c r="U1161" s="84"/>
      <c r="V1161" s="84"/>
      <c r="W1161" s="84"/>
      <c r="X1161" s="84"/>
      <c r="Y1161" s="84"/>
      <c r="Z1161" s="84"/>
      <c r="AA1161" s="84"/>
      <c r="AB1161" s="84"/>
      <c r="AC1161" s="84"/>
      <c r="AD1161" s="84"/>
      <c r="AE1161" s="84"/>
      <c r="AF1161" s="84"/>
      <c r="AG1161" s="84"/>
      <c r="AH1161" s="84"/>
      <c r="AI1161" s="84"/>
    </row>
    <row r="1162">
      <c r="A1162" s="84"/>
      <c r="B1162" s="84"/>
      <c r="C1162" s="84"/>
      <c r="D1162" s="84"/>
      <c r="E1162" s="84"/>
      <c r="F1162" s="84"/>
      <c r="G1162" s="84"/>
      <c r="H1162" s="84"/>
      <c r="I1162" s="84"/>
      <c r="J1162" s="84"/>
      <c r="K1162" s="84"/>
      <c r="L1162" s="84"/>
      <c r="M1162" s="84"/>
      <c r="N1162" s="84"/>
      <c r="O1162" s="84"/>
      <c r="P1162" s="84"/>
      <c r="Q1162" s="84"/>
      <c r="R1162" s="84"/>
      <c r="S1162" s="84"/>
      <c r="T1162" s="84"/>
      <c r="U1162" s="84"/>
      <c r="V1162" s="84"/>
      <c r="W1162" s="84"/>
      <c r="X1162" s="84"/>
      <c r="Y1162" s="84"/>
      <c r="Z1162" s="84"/>
      <c r="AA1162" s="84"/>
      <c r="AB1162" s="84"/>
      <c r="AC1162" s="84"/>
      <c r="AD1162" s="84"/>
      <c r="AE1162" s="84"/>
      <c r="AF1162" s="84"/>
      <c r="AG1162" s="84"/>
      <c r="AH1162" s="84"/>
      <c r="AI1162" s="84"/>
    </row>
    <row r="1163">
      <c r="A1163" s="84"/>
      <c r="B1163" s="84"/>
      <c r="C1163" s="84"/>
      <c r="D1163" s="84"/>
      <c r="E1163" s="84"/>
      <c r="F1163" s="84"/>
      <c r="G1163" s="84"/>
      <c r="H1163" s="84"/>
      <c r="I1163" s="84"/>
      <c r="J1163" s="84"/>
      <c r="K1163" s="84"/>
      <c r="L1163" s="84"/>
      <c r="M1163" s="84"/>
      <c r="N1163" s="84"/>
      <c r="O1163" s="84"/>
      <c r="P1163" s="84"/>
      <c r="Q1163" s="84"/>
      <c r="R1163" s="84"/>
      <c r="S1163" s="84"/>
      <c r="T1163" s="84"/>
      <c r="U1163" s="84"/>
      <c r="V1163" s="84"/>
      <c r="W1163" s="84"/>
      <c r="X1163" s="84"/>
      <c r="Y1163" s="84"/>
      <c r="Z1163" s="84"/>
      <c r="AA1163" s="84"/>
      <c r="AB1163" s="84"/>
      <c r="AC1163" s="84"/>
      <c r="AD1163" s="84"/>
      <c r="AE1163" s="84"/>
      <c r="AF1163" s="84"/>
      <c r="AG1163" s="84"/>
      <c r="AH1163" s="84"/>
      <c r="AI1163" s="84"/>
    </row>
    <row r="1164">
      <c r="A1164" s="84"/>
      <c r="B1164" s="84"/>
      <c r="C1164" s="84"/>
      <c r="D1164" s="84"/>
      <c r="E1164" s="84"/>
      <c r="F1164" s="84"/>
      <c r="G1164" s="84"/>
      <c r="H1164" s="84"/>
      <c r="I1164" s="84"/>
      <c r="J1164" s="84"/>
      <c r="K1164" s="84"/>
      <c r="L1164" s="84"/>
      <c r="M1164" s="84"/>
      <c r="N1164" s="84"/>
      <c r="O1164" s="84"/>
      <c r="P1164" s="84"/>
      <c r="Q1164" s="84"/>
      <c r="R1164" s="84"/>
      <c r="S1164" s="84"/>
      <c r="T1164" s="84"/>
      <c r="U1164" s="84"/>
      <c r="V1164" s="84"/>
      <c r="W1164" s="84"/>
      <c r="X1164" s="84"/>
      <c r="Y1164" s="84"/>
      <c r="Z1164" s="84"/>
      <c r="AA1164" s="84"/>
      <c r="AB1164" s="84"/>
      <c r="AC1164" s="84"/>
      <c r="AD1164" s="84"/>
      <c r="AE1164" s="84"/>
      <c r="AF1164" s="84"/>
      <c r="AG1164" s="84"/>
      <c r="AH1164" s="84"/>
      <c r="AI1164" s="84"/>
    </row>
    <row r="1165">
      <c r="A1165" s="84"/>
      <c r="B1165" s="84"/>
      <c r="C1165" s="84"/>
      <c r="D1165" s="84"/>
      <c r="E1165" s="84"/>
      <c r="F1165" s="84"/>
      <c r="G1165" s="84"/>
      <c r="H1165" s="84"/>
      <c r="I1165" s="84"/>
      <c r="J1165" s="84"/>
      <c r="K1165" s="84"/>
      <c r="L1165" s="84"/>
      <c r="M1165" s="84"/>
      <c r="N1165" s="84"/>
      <c r="O1165" s="84"/>
      <c r="P1165" s="84"/>
      <c r="Q1165" s="84"/>
      <c r="R1165" s="84"/>
      <c r="S1165" s="84"/>
      <c r="T1165" s="84"/>
      <c r="U1165" s="84"/>
      <c r="V1165" s="84"/>
      <c r="W1165" s="84"/>
      <c r="X1165" s="84"/>
      <c r="Y1165" s="84"/>
      <c r="Z1165" s="84"/>
      <c r="AA1165" s="84"/>
      <c r="AB1165" s="84"/>
      <c r="AC1165" s="84"/>
      <c r="AD1165" s="84"/>
      <c r="AE1165" s="84"/>
      <c r="AF1165" s="84"/>
      <c r="AG1165" s="84"/>
      <c r="AH1165" s="84"/>
      <c r="AI1165" s="84"/>
    </row>
    <row r="1166">
      <c r="A1166" s="84"/>
      <c r="B1166" s="84"/>
      <c r="C1166" s="84"/>
      <c r="D1166" s="84"/>
      <c r="E1166" s="84"/>
      <c r="F1166" s="84"/>
      <c r="G1166" s="84"/>
      <c r="H1166" s="84"/>
      <c r="I1166" s="84"/>
      <c r="J1166" s="84"/>
      <c r="K1166" s="84"/>
      <c r="L1166" s="84"/>
      <c r="M1166" s="84"/>
      <c r="N1166" s="84"/>
      <c r="O1166" s="84"/>
      <c r="P1166" s="84"/>
      <c r="Q1166" s="84"/>
      <c r="R1166" s="84"/>
      <c r="S1166" s="84"/>
      <c r="T1166" s="84"/>
      <c r="U1166" s="84"/>
      <c r="V1166" s="84"/>
      <c r="W1166" s="84"/>
      <c r="X1166" s="84"/>
      <c r="Y1166" s="84"/>
      <c r="Z1166" s="84"/>
      <c r="AA1166" s="84"/>
      <c r="AB1166" s="84"/>
      <c r="AC1166" s="84"/>
      <c r="AD1166" s="84"/>
      <c r="AE1166" s="84"/>
      <c r="AF1166" s="84"/>
      <c r="AG1166" s="84"/>
      <c r="AH1166" s="84"/>
      <c r="AI1166" s="84"/>
    </row>
    <row r="1167">
      <c r="A1167" s="84"/>
      <c r="B1167" s="84"/>
      <c r="C1167" s="84"/>
      <c r="D1167" s="84"/>
      <c r="E1167" s="84"/>
      <c r="F1167" s="84"/>
      <c r="G1167" s="84"/>
      <c r="H1167" s="84"/>
      <c r="I1167" s="84"/>
      <c r="J1167" s="84"/>
      <c r="K1167" s="84"/>
      <c r="L1167" s="84"/>
      <c r="M1167" s="84"/>
      <c r="N1167" s="84"/>
      <c r="O1167" s="84"/>
      <c r="P1167" s="84"/>
      <c r="Q1167" s="84"/>
      <c r="R1167" s="84"/>
      <c r="S1167" s="84"/>
      <c r="T1167" s="84"/>
      <c r="U1167" s="84"/>
      <c r="V1167" s="84"/>
      <c r="W1167" s="84"/>
      <c r="X1167" s="84"/>
      <c r="Y1167" s="84"/>
      <c r="Z1167" s="84"/>
      <c r="AA1167" s="84"/>
      <c r="AB1167" s="84"/>
      <c r="AC1167" s="84"/>
      <c r="AD1167" s="84"/>
      <c r="AE1167" s="84"/>
      <c r="AF1167" s="84"/>
      <c r="AG1167" s="84"/>
      <c r="AH1167" s="84"/>
      <c r="AI1167" s="84"/>
    </row>
    <row r="1168">
      <c r="A1168" s="84"/>
      <c r="B1168" s="84"/>
      <c r="C1168" s="84"/>
      <c r="D1168" s="84"/>
      <c r="E1168" s="84"/>
      <c r="F1168" s="84"/>
      <c r="G1168" s="84"/>
      <c r="H1168" s="84"/>
      <c r="I1168" s="84"/>
      <c r="J1168" s="84"/>
      <c r="K1168" s="84"/>
      <c r="L1168" s="84"/>
      <c r="M1168" s="84"/>
      <c r="N1168" s="84"/>
      <c r="O1168" s="84"/>
      <c r="P1168" s="84"/>
      <c r="Q1168" s="84"/>
      <c r="R1168" s="84"/>
      <c r="S1168" s="84"/>
      <c r="T1168" s="84"/>
      <c r="U1168" s="84"/>
      <c r="V1168" s="84"/>
      <c r="W1168" s="84"/>
      <c r="X1168" s="84"/>
      <c r="Y1168" s="84"/>
      <c r="Z1168" s="84"/>
      <c r="AA1168" s="84"/>
      <c r="AB1168" s="84"/>
      <c r="AC1168" s="84"/>
      <c r="AD1168" s="84"/>
      <c r="AE1168" s="84"/>
      <c r="AF1168" s="84"/>
      <c r="AG1168" s="84"/>
      <c r="AH1168" s="84"/>
      <c r="AI1168" s="84"/>
    </row>
    <row r="1169">
      <c r="A1169" s="84"/>
      <c r="B1169" s="84"/>
      <c r="C1169" s="84"/>
      <c r="D1169" s="84"/>
      <c r="E1169" s="84"/>
      <c r="F1169" s="84"/>
      <c r="G1169" s="84"/>
      <c r="H1169" s="84"/>
      <c r="I1169" s="84"/>
      <c r="J1169" s="84"/>
      <c r="K1169" s="84"/>
      <c r="L1169" s="84"/>
      <c r="M1169" s="84"/>
      <c r="N1169" s="84"/>
      <c r="O1169" s="84"/>
      <c r="P1169" s="84"/>
      <c r="Q1169" s="84"/>
      <c r="R1169" s="84"/>
      <c r="S1169" s="84"/>
      <c r="T1169" s="84"/>
      <c r="U1169" s="84"/>
      <c r="V1169" s="84"/>
      <c r="W1169" s="84"/>
      <c r="X1169" s="84"/>
      <c r="Y1169" s="84"/>
      <c r="Z1169" s="84"/>
      <c r="AA1169" s="84"/>
      <c r="AB1169" s="84"/>
      <c r="AC1169" s="84"/>
      <c r="AD1169" s="84"/>
      <c r="AE1169" s="84"/>
      <c r="AF1169" s="84"/>
      <c r="AG1169" s="84"/>
      <c r="AH1169" s="84"/>
      <c r="AI1169" s="84"/>
    </row>
    <row r="1170">
      <c r="A1170" s="84"/>
      <c r="B1170" s="84"/>
      <c r="C1170" s="84"/>
      <c r="D1170" s="84"/>
      <c r="E1170" s="84"/>
      <c r="F1170" s="84"/>
      <c r="G1170" s="84"/>
      <c r="H1170" s="84"/>
      <c r="I1170" s="84"/>
      <c r="J1170" s="84"/>
      <c r="K1170" s="84"/>
      <c r="L1170" s="84"/>
      <c r="M1170" s="84"/>
      <c r="N1170" s="84"/>
      <c r="O1170" s="84"/>
      <c r="P1170" s="84"/>
      <c r="Q1170" s="84"/>
      <c r="R1170" s="84"/>
      <c r="S1170" s="84"/>
      <c r="T1170" s="84"/>
      <c r="U1170" s="84"/>
      <c r="V1170" s="84"/>
      <c r="W1170" s="84"/>
      <c r="X1170" s="84"/>
      <c r="Y1170" s="84"/>
      <c r="Z1170" s="84"/>
      <c r="AA1170" s="84"/>
      <c r="AB1170" s="84"/>
      <c r="AC1170" s="84"/>
      <c r="AD1170" s="84"/>
      <c r="AE1170" s="84"/>
      <c r="AF1170" s="84"/>
      <c r="AG1170" s="84"/>
      <c r="AH1170" s="84"/>
      <c r="AI1170" s="84"/>
    </row>
    <row r="1171">
      <c r="A1171" s="84"/>
      <c r="B1171" s="84"/>
      <c r="C1171" s="84"/>
      <c r="D1171" s="84"/>
      <c r="E1171" s="84"/>
      <c r="F1171" s="84"/>
      <c r="G1171" s="84"/>
      <c r="H1171" s="84"/>
      <c r="I1171" s="84"/>
      <c r="J1171" s="84"/>
      <c r="K1171" s="84"/>
      <c r="L1171" s="84"/>
      <c r="M1171" s="84"/>
      <c r="N1171" s="84"/>
      <c r="O1171" s="84"/>
      <c r="P1171" s="84"/>
      <c r="Q1171" s="84"/>
      <c r="R1171" s="84"/>
      <c r="S1171" s="84"/>
      <c r="T1171" s="84"/>
      <c r="U1171" s="84"/>
      <c r="V1171" s="84"/>
      <c r="W1171" s="84"/>
      <c r="X1171" s="84"/>
      <c r="Y1171" s="84"/>
      <c r="Z1171" s="84"/>
      <c r="AA1171" s="84"/>
      <c r="AB1171" s="84"/>
      <c r="AC1171" s="84"/>
      <c r="AD1171" s="84"/>
      <c r="AE1171" s="84"/>
      <c r="AF1171" s="84"/>
      <c r="AG1171" s="84"/>
      <c r="AH1171" s="84"/>
      <c r="AI1171" s="84"/>
    </row>
    <row r="1172">
      <c r="A1172" s="84"/>
      <c r="B1172" s="84"/>
      <c r="C1172" s="84"/>
      <c r="D1172" s="84"/>
      <c r="E1172" s="84"/>
      <c r="F1172" s="84"/>
      <c r="G1172" s="84"/>
      <c r="H1172" s="84"/>
      <c r="I1172" s="84"/>
      <c r="J1172" s="84"/>
      <c r="K1172" s="84"/>
      <c r="L1172" s="84"/>
      <c r="M1172" s="84"/>
      <c r="N1172" s="84"/>
      <c r="O1172" s="84"/>
      <c r="P1172" s="84"/>
      <c r="Q1172" s="84"/>
      <c r="R1172" s="84"/>
      <c r="S1172" s="84"/>
      <c r="T1172" s="84"/>
      <c r="U1172" s="84"/>
      <c r="V1172" s="84"/>
      <c r="W1172" s="84"/>
      <c r="X1172" s="84"/>
      <c r="Y1172" s="84"/>
      <c r="Z1172" s="84"/>
      <c r="AA1172" s="84"/>
      <c r="AB1172" s="84"/>
      <c r="AC1172" s="84"/>
      <c r="AD1172" s="84"/>
      <c r="AE1172" s="84"/>
      <c r="AF1172" s="84"/>
      <c r="AG1172" s="84"/>
      <c r="AH1172" s="84"/>
      <c r="AI1172" s="84"/>
    </row>
    <row r="1173">
      <c r="A1173" s="84"/>
      <c r="B1173" s="84"/>
      <c r="C1173" s="84"/>
      <c r="D1173" s="84"/>
      <c r="E1173" s="84"/>
      <c r="F1173" s="84"/>
      <c r="G1173" s="84"/>
      <c r="H1173" s="84"/>
      <c r="I1173" s="84"/>
      <c r="J1173" s="84"/>
      <c r="K1173" s="84"/>
      <c r="L1173" s="84"/>
      <c r="M1173" s="84"/>
      <c r="N1173" s="84"/>
      <c r="O1173" s="84"/>
      <c r="P1173" s="84"/>
      <c r="Q1173" s="84"/>
      <c r="R1173" s="84"/>
      <c r="S1173" s="84"/>
      <c r="T1173" s="84"/>
      <c r="U1173" s="84"/>
      <c r="V1173" s="84"/>
      <c r="W1173" s="84"/>
      <c r="X1173" s="84"/>
      <c r="Y1173" s="84"/>
      <c r="Z1173" s="84"/>
      <c r="AA1173" s="84"/>
      <c r="AB1173" s="84"/>
      <c r="AC1173" s="84"/>
      <c r="AD1173" s="84"/>
      <c r="AE1173" s="84"/>
      <c r="AF1173" s="84"/>
      <c r="AG1173" s="84"/>
      <c r="AH1173" s="84"/>
      <c r="AI1173" s="84"/>
    </row>
    <row r="1174">
      <c r="A1174" s="84"/>
      <c r="B1174" s="84"/>
      <c r="C1174" s="84"/>
      <c r="D1174" s="84"/>
      <c r="E1174" s="84"/>
      <c r="F1174" s="84"/>
      <c r="G1174" s="84"/>
      <c r="H1174" s="84"/>
      <c r="I1174" s="84"/>
      <c r="J1174" s="84"/>
      <c r="K1174" s="84"/>
      <c r="L1174" s="84"/>
      <c r="M1174" s="84"/>
      <c r="N1174" s="84"/>
      <c r="O1174" s="84"/>
      <c r="P1174" s="84"/>
      <c r="Q1174" s="84"/>
      <c r="R1174" s="84"/>
      <c r="S1174" s="84"/>
      <c r="T1174" s="84"/>
      <c r="U1174" s="84"/>
      <c r="V1174" s="84"/>
      <c r="W1174" s="84"/>
      <c r="X1174" s="84"/>
      <c r="Y1174" s="84"/>
      <c r="Z1174" s="84"/>
      <c r="AA1174" s="84"/>
      <c r="AB1174" s="84"/>
      <c r="AC1174" s="84"/>
      <c r="AD1174" s="84"/>
      <c r="AE1174" s="84"/>
      <c r="AF1174" s="84"/>
      <c r="AG1174" s="84"/>
      <c r="AH1174" s="84"/>
      <c r="AI1174" s="84"/>
    </row>
    <row r="1175">
      <c r="A1175" s="84"/>
      <c r="B1175" s="84"/>
      <c r="C1175" s="84"/>
      <c r="D1175" s="84"/>
      <c r="E1175" s="84"/>
      <c r="F1175" s="84"/>
      <c r="G1175" s="84"/>
      <c r="H1175" s="84"/>
      <c r="I1175" s="84"/>
      <c r="J1175" s="84"/>
      <c r="K1175" s="84"/>
      <c r="L1175" s="84"/>
      <c r="M1175" s="84"/>
      <c r="N1175" s="84"/>
      <c r="O1175" s="84"/>
      <c r="P1175" s="84"/>
      <c r="Q1175" s="84"/>
      <c r="R1175" s="84"/>
      <c r="S1175" s="84"/>
      <c r="T1175" s="84"/>
      <c r="U1175" s="84"/>
      <c r="V1175" s="84"/>
      <c r="W1175" s="84"/>
      <c r="X1175" s="84"/>
      <c r="Y1175" s="84"/>
      <c r="Z1175" s="84"/>
      <c r="AA1175" s="84"/>
      <c r="AB1175" s="84"/>
      <c r="AC1175" s="84"/>
      <c r="AD1175" s="84"/>
      <c r="AE1175" s="84"/>
      <c r="AF1175" s="84"/>
      <c r="AG1175" s="84"/>
      <c r="AH1175" s="84"/>
      <c r="AI1175" s="84"/>
    </row>
    <row r="1176">
      <c r="A1176" s="84"/>
      <c r="B1176" s="84"/>
      <c r="C1176" s="84"/>
      <c r="D1176" s="84"/>
      <c r="E1176" s="84"/>
      <c r="F1176" s="84"/>
      <c r="G1176" s="84"/>
      <c r="H1176" s="84"/>
      <c r="I1176" s="84"/>
      <c r="J1176" s="84"/>
      <c r="K1176" s="84"/>
      <c r="L1176" s="84"/>
      <c r="M1176" s="84"/>
      <c r="N1176" s="84"/>
      <c r="O1176" s="84"/>
      <c r="P1176" s="84"/>
      <c r="Q1176" s="84"/>
      <c r="R1176" s="84"/>
      <c r="S1176" s="84"/>
      <c r="T1176" s="84"/>
      <c r="U1176" s="84"/>
      <c r="V1176" s="84"/>
      <c r="W1176" s="84"/>
      <c r="X1176" s="84"/>
      <c r="Y1176" s="84"/>
      <c r="Z1176" s="84"/>
      <c r="AA1176" s="84"/>
      <c r="AB1176" s="84"/>
      <c r="AC1176" s="84"/>
      <c r="AD1176" s="84"/>
      <c r="AE1176" s="84"/>
      <c r="AF1176" s="84"/>
      <c r="AG1176" s="84"/>
      <c r="AH1176" s="84"/>
      <c r="AI1176" s="84"/>
    </row>
    <row r="1177">
      <c r="A1177" s="84"/>
      <c r="B1177" s="84"/>
      <c r="C1177" s="84"/>
      <c r="D1177" s="84"/>
      <c r="E1177" s="84"/>
      <c r="F1177" s="84"/>
      <c r="G1177" s="84"/>
      <c r="H1177" s="84"/>
      <c r="I1177" s="84"/>
      <c r="J1177" s="84"/>
      <c r="K1177" s="84"/>
      <c r="L1177" s="84"/>
      <c r="M1177" s="84"/>
      <c r="N1177" s="84"/>
      <c r="O1177" s="84"/>
      <c r="P1177" s="84"/>
      <c r="Q1177" s="84"/>
      <c r="R1177" s="84"/>
      <c r="S1177" s="84"/>
      <c r="T1177" s="84"/>
      <c r="U1177" s="84"/>
      <c r="V1177" s="84"/>
      <c r="W1177" s="84"/>
      <c r="X1177" s="84"/>
      <c r="Y1177" s="84"/>
      <c r="Z1177" s="84"/>
      <c r="AA1177" s="84"/>
      <c r="AB1177" s="84"/>
      <c r="AC1177" s="84"/>
      <c r="AD1177" s="84"/>
      <c r="AE1177" s="84"/>
      <c r="AF1177" s="84"/>
      <c r="AG1177" s="84"/>
      <c r="AH1177" s="84"/>
      <c r="AI1177" s="84"/>
    </row>
    <row r="1178">
      <c r="A1178" s="84"/>
      <c r="B1178" s="84"/>
      <c r="C1178" s="84"/>
      <c r="D1178" s="84"/>
      <c r="E1178" s="84"/>
      <c r="F1178" s="84"/>
      <c r="G1178" s="84"/>
      <c r="H1178" s="84"/>
      <c r="I1178" s="84"/>
      <c r="J1178" s="84"/>
      <c r="K1178" s="84"/>
      <c r="L1178" s="84"/>
      <c r="M1178" s="84"/>
      <c r="N1178" s="84"/>
      <c r="O1178" s="84"/>
      <c r="P1178" s="84"/>
      <c r="Q1178" s="84"/>
      <c r="R1178" s="84"/>
      <c r="S1178" s="84"/>
      <c r="T1178" s="84"/>
      <c r="U1178" s="84"/>
      <c r="V1178" s="84"/>
      <c r="W1178" s="84"/>
      <c r="X1178" s="84"/>
      <c r="Y1178" s="84"/>
      <c r="Z1178" s="84"/>
      <c r="AA1178" s="84"/>
      <c r="AB1178" s="84"/>
      <c r="AC1178" s="84"/>
      <c r="AD1178" s="84"/>
      <c r="AE1178" s="84"/>
      <c r="AF1178" s="84"/>
      <c r="AG1178" s="84"/>
      <c r="AH1178" s="84"/>
      <c r="AI1178" s="84"/>
    </row>
    <row r="1179">
      <c r="A1179" s="84"/>
      <c r="B1179" s="84"/>
      <c r="C1179" s="84"/>
      <c r="D1179" s="84"/>
      <c r="E1179" s="84"/>
      <c r="F1179" s="84"/>
      <c r="G1179" s="84"/>
      <c r="H1179" s="84"/>
      <c r="I1179" s="84"/>
      <c r="J1179" s="84"/>
      <c r="K1179" s="84"/>
      <c r="L1179" s="84"/>
      <c r="M1179" s="84"/>
      <c r="N1179" s="84"/>
      <c r="O1179" s="84"/>
      <c r="P1179" s="84"/>
      <c r="Q1179" s="84"/>
      <c r="R1179" s="84"/>
      <c r="S1179" s="84"/>
      <c r="T1179" s="84"/>
      <c r="U1179" s="84"/>
      <c r="V1179" s="84"/>
      <c r="W1179" s="84"/>
      <c r="X1179" s="84"/>
      <c r="Y1179" s="84"/>
      <c r="Z1179" s="84"/>
      <c r="AA1179" s="84"/>
      <c r="AB1179" s="84"/>
      <c r="AC1179" s="84"/>
      <c r="AD1179" s="84"/>
      <c r="AE1179" s="84"/>
      <c r="AF1179" s="84"/>
      <c r="AG1179" s="84"/>
      <c r="AH1179" s="84"/>
      <c r="AI1179" s="84"/>
    </row>
    <row r="1180">
      <c r="A1180" s="84"/>
      <c r="B1180" s="84"/>
      <c r="C1180" s="84"/>
      <c r="D1180" s="84"/>
      <c r="E1180" s="84"/>
      <c r="F1180" s="84"/>
      <c r="G1180" s="84"/>
      <c r="H1180" s="84"/>
      <c r="I1180" s="84"/>
      <c r="J1180" s="84"/>
      <c r="K1180" s="84"/>
      <c r="L1180" s="84"/>
      <c r="M1180" s="84"/>
      <c r="N1180" s="84"/>
      <c r="O1180" s="84"/>
      <c r="P1180" s="84"/>
      <c r="Q1180" s="84"/>
      <c r="R1180" s="84"/>
      <c r="S1180" s="84"/>
      <c r="T1180" s="84"/>
      <c r="U1180" s="84"/>
      <c r="V1180" s="84"/>
      <c r="W1180" s="84"/>
      <c r="X1180" s="84"/>
      <c r="Y1180" s="84"/>
      <c r="Z1180" s="84"/>
      <c r="AA1180" s="84"/>
      <c r="AB1180" s="84"/>
      <c r="AC1180" s="84"/>
      <c r="AD1180" s="84"/>
      <c r="AE1180" s="84"/>
      <c r="AF1180" s="84"/>
      <c r="AG1180" s="84"/>
      <c r="AH1180" s="84"/>
      <c r="AI1180" s="84"/>
    </row>
    <row r="1181">
      <c r="A1181" s="84"/>
      <c r="B1181" s="84"/>
      <c r="C1181" s="84"/>
      <c r="D1181" s="84"/>
      <c r="E1181" s="84"/>
      <c r="F1181" s="84"/>
      <c r="G1181" s="84"/>
      <c r="H1181" s="84"/>
      <c r="I1181" s="84"/>
      <c r="J1181" s="84"/>
      <c r="K1181" s="84"/>
      <c r="L1181" s="84"/>
      <c r="M1181" s="84"/>
      <c r="N1181" s="84"/>
      <c r="O1181" s="84"/>
      <c r="P1181" s="84"/>
      <c r="Q1181" s="84"/>
      <c r="R1181" s="84"/>
      <c r="S1181" s="84"/>
      <c r="T1181" s="84"/>
      <c r="U1181" s="84"/>
      <c r="V1181" s="84"/>
      <c r="W1181" s="84"/>
      <c r="X1181" s="84"/>
      <c r="Y1181" s="84"/>
      <c r="Z1181" s="84"/>
      <c r="AA1181" s="84"/>
      <c r="AB1181" s="84"/>
      <c r="AC1181" s="84"/>
      <c r="AD1181" s="84"/>
      <c r="AE1181" s="84"/>
      <c r="AF1181" s="84"/>
      <c r="AG1181" s="84"/>
      <c r="AH1181" s="84"/>
      <c r="AI1181" s="84"/>
    </row>
    <row r="1182">
      <c r="A1182" s="84"/>
      <c r="B1182" s="84"/>
      <c r="C1182" s="84"/>
      <c r="D1182" s="84"/>
      <c r="E1182" s="84"/>
      <c r="F1182" s="84"/>
      <c r="G1182" s="84"/>
      <c r="H1182" s="84"/>
      <c r="I1182" s="84"/>
      <c r="J1182" s="84"/>
      <c r="K1182" s="84"/>
      <c r="L1182" s="84"/>
      <c r="M1182" s="84"/>
      <c r="N1182" s="84"/>
      <c r="O1182" s="84"/>
      <c r="P1182" s="84"/>
      <c r="Q1182" s="84"/>
      <c r="R1182" s="84"/>
      <c r="S1182" s="84"/>
      <c r="T1182" s="84"/>
      <c r="U1182" s="84"/>
      <c r="V1182" s="84"/>
      <c r="W1182" s="84"/>
      <c r="X1182" s="84"/>
      <c r="Y1182" s="84"/>
      <c r="Z1182" s="84"/>
      <c r="AA1182" s="84"/>
      <c r="AB1182" s="84"/>
      <c r="AC1182" s="84"/>
      <c r="AD1182" s="84"/>
      <c r="AE1182" s="84"/>
      <c r="AF1182" s="84"/>
      <c r="AG1182" s="84"/>
      <c r="AH1182" s="84"/>
      <c r="AI1182" s="84"/>
    </row>
    <row r="1183">
      <c r="A1183" s="84"/>
      <c r="B1183" s="84"/>
      <c r="C1183" s="84"/>
      <c r="D1183" s="84"/>
      <c r="E1183" s="84"/>
      <c r="F1183" s="84"/>
      <c r="G1183" s="84"/>
      <c r="H1183" s="84"/>
      <c r="I1183" s="84"/>
      <c r="J1183" s="84"/>
      <c r="K1183" s="84"/>
      <c r="L1183" s="84"/>
      <c r="M1183" s="84"/>
      <c r="N1183" s="84"/>
      <c r="O1183" s="84"/>
      <c r="P1183" s="84"/>
      <c r="Q1183" s="84"/>
      <c r="R1183" s="84"/>
      <c r="S1183" s="84"/>
      <c r="T1183" s="84"/>
      <c r="U1183" s="84"/>
      <c r="V1183" s="84"/>
      <c r="W1183" s="84"/>
      <c r="X1183" s="84"/>
      <c r="Y1183" s="84"/>
      <c r="Z1183" s="84"/>
      <c r="AA1183" s="84"/>
      <c r="AB1183" s="84"/>
      <c r="AC1183" s="84"/>
      <c r="AD1183" s="84"/>
      <c r="AE1183" s="84"/>
      <c r="AF1183" s="84"/>
      <c r="AG1183" s="84"/>
      <c r="AH1183" s="84"/>
      <c r="AI1183" s="84"/>
    </row>
    <row r="1184">
      <c r="A1184" s="84"/>
      <c r="B1184" s="84"/>
      <c r="C1184" s="84"/>
      <c r="D1184" s="84"/>
      <c r="E1184" s="84"/>
      <c r="F1184" s="84"/>
      <c r="G1184" s="84"/>
      <c r="H1184" s="84"/>
      <c r="I1184" s="84"/>
      <c r="J1184" s="84"/>
      <c r="K1184" s="84"/>
      <c r="L1184" s="84"/>
      <c r="M1184" s="84"/>
      <c r="N1184" s="84"/>
      <c r="O1184" s="84"/>
      <c r="P1184" s="84"/>
      <c r="Q1184" s="84"/>
      <c r="R1184" s="84"/>
      <c r="S1184" s="84"/>
      <c r="T1184" s="84"/>
      <c r="U1184" s="84"/>
      <c r="V1184" s="84"/>
      <c r="W1184" s="84"/>
      <c r="X1184" s="84"/>
      <c r="Y1184" s="84"/>
      <c r="Z1184" s="84"/>
      <c r="AA1184" s="84"/>
      <c r="AB1184" s="84"/>
      <c r="AC1184" s="84"/>
      <c r="AD1184" s="84"/>
      <c r="AE1184" s="84"/>
      <c r="AF1184" s="84"/>
      <c r="AG1184" s="84"/>
      <c r="AH1184" s="84"/>
      <c r="AI1184" s="84"/>
    </row>
    <row r="1185">
      <c r="A1185" s="84"/>
      <c r="B1185" s="84"/>
      <c r="C1185" s="84"/>
      <c r="D1185" s="84"/>
      <c r="E1185" s="84"/>
      <c r="F1185" s="84"/>
      <c r="G1185" s="84"/>
      <c r="H1185" s="84"/>
      <c r="I1185" s="84"/>
      <c r="J1185" s="84"/>
      <c r="K1185" s="84"/>
      <c r="L1185" s="84"/>
      <c r="M1185" s="84"/>
      <c r="N1185" s="84"/>
      <c r="O1185" s="84"/>
      <c r="P1185" s="84"/>
      <c r="Q1185" s="84"/>
      <c r="R1185" s="84"/>
      <c r="S1185" s="84"/>
      <c r="T1185" s="84"/>
      <c r="U1185" s="84"/>
      <c r="V1185" s="84"/>
      <c r="W1185" s="84"/>
      <c r="X1185" s="84"/>
      <c r="Y1185" s="84"/>
      <c r="Z1185" s="84"/>
      <c r="AA1185" s="84"/>
      <c r="AB1185" s="84"/>
      <c r="AC1185" s="84"/>
      <c r="AD1185" s="84"/>
      <c r="AE1185" s="84"/>
      <c r="AF1185" s="84"/>
      <c r="AG1185" s="84"/>
      <c r="AH1185" s="84"/>
      <c r="AI1185" s="84"/>
    </row>
    <row r="1186">
      <c r="A1186" s="84"/>
      <c r="B1186" s="84"/>
      <c r="C1186" s="84"/>
      <c r="D1186" s="84"/>
      <c r="E1186" s="84"/>
      <c r="F1186" s="84"/>
      <c r="G1186" s="84"/>
      <c r="H1186" s="84"/>
      <c r="I1186" s="84"/>
      <c r="J1186" s="84"/>
      <c r="K1186" s="84"/>
      <c r="L1186" s="84"/>
      <c r="M1186" s="84"/>
      <c r="N1186" s="84"/>
      <c r="O1186" s="84"/>
      <c r="P1186" s="84"/>
      <c r="Q1186" s="84"/>
      <c r="R1186" s="84"/>
      <c r="S1186" s="84"/>
      <c r="T1186" s="84"/>
      <c r="U1186" s="84"/>
      <c r="V1186" s="84"/>
      <c r="W1186" s="84"/>
      <c r="X1186" s="84"/>
      <c r="Y1186" s="84"/>
      <c r="Z1186" s="84"/>
      <c r="AA1186" s="84"/>
      <c r="AB1186" s="84"/>
      <c r="AC1186" s="84"/>
      <c r="AD1186" s="84"/>
      <c r="AE1186" s="84"/>
      <c r="AF1186" s="84"/>
      <c r="AG1186" s="84"/>
      <c r="AH1186" s="84"/>
      <c r="AI1186" s="84"/>
    </row>
    <row r="1187">
      <c r="A1187" s="84"/>
      <c r="B1187" s="84"/>
      <c r="C1187" s="84"/>
      <c r="D1187" s="84"/>
      <c r="E1187" s="84"/>
      <c r="F1187" s="84"/>
      <c r="G1187" s="84"/>
      <c r="H1187" s="84"/>
      <c r="I1187" s="84"/>
      <c r="J1187" s="84"/>
      <c r="K1187" s="84"/>
      <c r="L1187" s="84"/>
      <c r="M1187" s="84"/>
      <c r="N1187" s="84"/>
      <c r="O1187" s="84"/>
      <c r="P1187" s="84"/>
      <c r="Q1187" s="84"/>
      <c r="R1187" s="84"/>
      <c r="S1187" s="84"/>
      <c r="T1187" s="84"/>
      <c r="U1187" s="84"/>
      <c r="V1187" s="84"/>
      <c r="W1187" s="84"/>
      <c r="X1187" s="84"/>
      <c r="Y1187" s="84"/>
      <c r="Z1187" s="84"/>
      <c r="AA1187" s="84"/>
      <c r="AB1187" s="84"/>
      <c r="AC1187" s="84"/>
      <c r="AD1187" s="84"/>
      <c r="AE1187" s="84"/>
      <c r="AF1187" s="84"/>
      <c r="AG1187" s="84"/>
      <c r="AH1187" s="84"/>
      <c r="AI1187" s="84"/>
    </row>
    <row r="1188">
      <c r="A1188" s="84"/>
      <c r="B1188" s="84"/>
      <c r="C1188" s="84"/>
      <c r="D1188" s="84"/>
      <c r="E1188" s="84"/>
      <c r="F1188" s="84"/>
      <c r="G1188" s="84"/>
      <c r="H1188" s="84"/>
      <c r="I1188" s="84"/>
      <c r="J1188" s="84"/>
      <c r="K1188" s="84"/>
      <c r="L1188" s="84"/>
      <c r="M1188" s="84"/>
      <c r="N1188" s="84"/>
      <c r="O1188" s="84"/>
      <c r="P1188" s="84"/>
      <c r="Q1188" s="84"/>
      <c r="R1188" s="84"/>
      <c r="S1188" s="84"/>
      <c r="T1188" s="84"/>
      <c r="U1188" s="84"/>
      <c r="V1188" s="84"/>
      <c r="W1188" s="84"/>
      <c r="X1188" s="84"/>
      <c r="Y1188" s="84"/>
      <c r="Z1188" s="84"/>
      <c r="AA1188" s="84"/>
      <c r="AB1188" s="84"/>
      <c r="AC1188" s="84"/>
      <c r="AD1188" s="84"/>
      <c r="AE1188" s="84"/>
      <c r="AF1188" s="84"/>
      <c r="AG1188" s="84"/>
      <c r="AH1188" s="84"/>
      <c r="AI1188" s="84"/>
    </row>
    <row r="1189">
      <c r="A1189" s="84"/>
      <c r="B1189" s="84"/>
      <c r="C1189" s="84"/>
      <c r="D1189" s="84"/>
      <c r="E1189" s="84"/>
      <c r="F1189" s="84"/>
      <c r="G1189" s="84"/>
      <c r="H1189" s="84"/>
      <c r="I1189" s="84"/>
      <c r="J1189" s="84"/>
      <c r="K1189" s="84"/>
      <c r="L1189" s="84"/>
      <c r="M1189" s="84"/>
      <c r="N1189" s="84"/>
      <c r="O1189" s="84"/>
      <c r="P1189" s="84"/>
      <c r="Q1189" s="84"/>
      <c r="R1189" s="84"/>
      <c r="S1189" s="84"/>
      <c r="T1189" s="84"/>
      <c r="U1189" s="84"/>
      <c r="V1189" s="84"/>
      <c r="W1189" s="84"/>
      <c r="X1189" s="84"/>
      <c r="Y1189" s="84"/>
      <c r="Z1189" s="84"/>
      <c r="AA1189" s="84"/>
      <c r="AB1189" s="84"/>
      <c r="AC1189" s="84"/>
      <c r="AD1189" s="84"/>
      <c r="AE1189" s="84"/>
      <c r="AF1189" s="84"/>
      <c r="AG1189" s="84"/>
      <c r="AH1189" s="84"/>
      <c r="AI1189" s="84"/>
    </row>
  </sheetData>
  <dataValidations>
    <dataValidation type="list" allowBlank="1" showErrorMessage="1" sqref="U2:U68 U80:U109 U111:U116 U118:U132 U134:U151 U153:U162 U164:U337">
      <formula1>"REACTIVADO"</formula1>
    </dataValidation>
    <dataValidation type="list" allowBlank="1" showErrorMessage="1" sqref="S2:S68 S80:S109 S111:S116 S118:S132 S134:S151 S153:S162 S164:S176 S178:S201 S203:S217 S219:S232 S234:S239 S242:S251 S253:S263 S265:S271 S273:S281 S283:S292 S294:S301 S303:S308 S310:S313 S315:S322 S324:S332 S334:S337">
      <formula1>"SUSPENDIDO,ACTIVO,NO HABILITADO"</formula1>
    </dataValidation>
  </dataValidations>
  <drawing r:id="rId1"/>
</worksheet>
</file>